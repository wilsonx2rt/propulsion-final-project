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showInkAnnotation="0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madja\Desktop\Ilya_Stewart\"/>
    </mc:Choice>
  </mc:AlternateContent>
  <xr:revisionPtr revIDLastSave="0" documentId="13_ncr:1_{A4F7B0BC-666D-4D12-8C9D-9024EC508D23}" xr6:coauthVersionLast="32" xr6:coauthVersionMax="32" xr10:uidLastSave="{00000000-0000-0000-0000-000000000000}"/>
  <bookViews>
    <workbookView minimized="1" xWindow="0" yWindow="0" windowWidth="28800" windowHeight="11700" tabRatio="784" activeTab="1" xr2:uid="{00000000-000D-0000-FFFF-FFFF00000000}"/>
  </bookViews>
  <sheets>
    <sheet name="Projektportfolio" sheetId="1" r:id="rId1"/>
    <sheet name="Projekt-Cockpit" sheetId="4" r:id="rId2"/>
    <sheet name="Cockpit-Daten" sheetId="17" r:id="rId3"/>
    <sheet name="Quellendaten" sheetId="5" r:id="rId4"/>
    <sheet name="Auswertungen" sheetId="16" r:id="rId5"/>
    <sheet name="Grundstock_MAs" sheetId="18" r:id="rId6"/>
    <sheet name="Pensen_MAs" sheetId="19" r:id="rId7"/>
    <sheet name="Ausdruck_Projektfinanzierung" sheetId="20" r:id="rId8"/>
    <sheet name="Ausdruck_Projektfinanzierung_T1" sheetId="21" r:id="rId9"/>
  </sheets>
  <functionGroups builtInGroupCount="19"/>
  <externalReferences>
    <externalReference r:id="rId10"/>
  </externalReferences>
  <definedNames>
    <definedName name="_xlnm._FilterDatabase" localSheetId="0" hidden="1">Projektportfolio!$A$5:$DF$245</definedName>
    <definedName name="_xlcn.WorksheetConnection_ProjektportfolioD9D26311" hidden="1">Projektportfolio!$D$9:$D$245</definedName>
    <definedName name="Abhängigkeit">Quellendaten!$L$5:$L$7</definedName>
    <definedName name="Abhängigkeiten">Quellendaten!$AL$3:$AL$5</definedName>
    <definedName name="Art">Quellendaten!$E$4:$E$37</definedName>
    <definedName name="Aufwand" localSheetId="2">[1]Quellendaten!$AE$6:$AE$22</definedName>
    <definedName name="Aufwand">Quellendaten!$AE$6:$AE$22</definedName>
    <definedName name="Bedürfnisabklärung" localSheetId="2">[1]Quellendaten!$AB$3:$AB$5</definedName>
    <definedName name="Bedürfnisabklärung">Quellendaten!$AB$3:$AB$5</definedName>
    <definedName name="Begleitprojekt">Quellendaten!$E$4:$E$10</definedName>
    <definedName name="Fachgruppe" localSheetId="2">[1]Quellendaten!$R$3:$R$8</definedName>
    <definedName name="Fachgruppe">Quellendaten!$R$3:$R$8</definedName>
    <definedName name="Federführung" localSheetId="2">[1]Quellendaten!$Q$3:$Q$16</definedName>
    <definedName name="Federführung">Quellendaten!$Q$3:$Q$16</definedName>
    <definedName name="Finanzierungsart" localSheetId="2">[1]Quellendaten!#REF!</definedName>
    <definedName name="Finanzierungsart">Quellendaten!#REF!</definedName>
    <definedName name="Finanzierungsart_">Quellendaten!$AA$5:$AA$24</definedName>
    <definedName name="Finazierungsart">Quellendaten!$AA$5:$AA$24</definedName>
    <definedName name="Geschäftsantrag">Quellendaten!$B$5:$B$7</definedName>
    <definedName name="Infrastruktur_Werterhalt">Quellendaten!$E$29:$E$35</definedName>
    <definedName name="Infrastruktur_Wertvermehrung">Quellendaten!$E$22:$E$28</definedName>
    <definedName name="Involviert">Quellendaten!$Z$3:$Z$21</definedName>
    <definedName name="Jahr">Quellendaten!$AM$3:$AM$11</definedName>
    <definedName name="Kommunikation">Quellendaten!$AK$3:$AK$7</definedName>
    <definedName name="Konto_MIP_Rubrik" localSheetId="2">[1]Quellendaten!#REF!</definedName>
    <definedName name="Konto_MIP_Rubrik">Quellendaten!#REF!</definedName>
    <definedName name="KontoMIPRubrik" localSheetId="2">[1]Quellendaten!#REF!</definedName>
    <definedName name="KontoMIPRubrik">Quellendaten!#REF!</definedName>
    <definedName name="Meilensteine">Quellendaten!$AN$3:$AN$33</definedName>
    <definedName name="Namen" localSheetId="2">[1]Projektportfolio!$A$9:$A$336</definedName>
    <definedName name="Namen">Projektportfolio!$A$9:$A$306</definedName>
    <definedName name="Natur___Ökologie">Projektart</definedName>
    <definedName name="offen">Quellendaten!$E$3:$E$35</definedName>
    <definedName name="Politische_Bedeutung" localSheetId="2">[1]Quellendaten!$F$3:$F$5</definedName>
    <definedName name="Politische_Bedeutung">Quellendaten!$F$3:$F$5</definedName>
    <definedName name="Politisches_Projekt">Quellendaten!$E$20:$E$21</definedName>
    <definedName name="_xlnm.Print_Area" localSheetId="1">'Projekt-Cockpit'!$A$1:$Y$52</definedName>
    <definedName name="_xlnm.Print_Area" localSheetId="0">Projektportfolio!$A$1:$CV$248</definedName>
    <definedName name="Prognosen">Quellendaten!$AK$3:$AK$12</definedName>
    <definedName name="Projektart">Quellendaten!$E$4:$E$40</definedName>
    <definedName name="Projektcharakter" localSheetId="2">[1]Quellendaten!$H$3:$H$7</definedName>
    <definedName name="Projektcharakter">Quellendaten!$H$3:$H$7</definedName>
    <definedName name="Projekte">Projektportfolio!$A$9:$A$470</definedName>
    <definedName name="Projekthandbuch">Quellendaten!$M$4:$M$5</definedName>
    <definedName name="Projektleitung" localSheetId="2">[1]Quellendaten!$U$3:$U$24</definedName>
    <definedName name="Projektleitung">Quellendaten!$U$3:$U$24</definedName>
    <definedName name="Projektpriorität" localSheetId="2">[1]Quellendaten!$G$4:$G$7</definedName>
    <definedName name="Projektpriorität">Quellendaten!$G$4:$G$7</definedName>
    <definedName name="Projektselektion">Quellendaten!$C$4:$C$7</definedName>
    <definedName name="Projekttyp" localSheetId="2">[1]Quellendaten!$C$3:$C$8</definedName>
    <definedName name="Projekttyp">Quellendaten!$C$3:$C$8</definedName>
    <definedName name="Projektverantwortung" localSheetId="2">[1]Quellendaten!$S$3:$S$10</definedName>
    <definedName name="Projektverantwortung">Quellendaten!$S$3:$S$10</definedName>
    <definedName name="Quartal" localSheetId="2">[1]Quellendaten!$AL$3:$AL$7</definedName>
    <definedName name="Quartal">Quellendaten!$AL$3:$AL$7</definedName>
    <definedName name="Radar">Quellendaten!$A$3:$A$8</definedName>
    <definedName name="Radar_oder_PP">Quellendaten!$A$3:$A$8</definedName>
    <definedName name="Risikobeurteilung">Quellendaten!$I$4:$I$6</definedName>
    <definedName name="SIA_112">Quellendaten!$AF$4:$AF$19</definedName>
    <definedName name="SIA_Phasen_112">Quellendaten!$AF$4:$AF$19</definedName>
    <definedName name="Status" localSheetId="2">[1]Quellendaten!$AH$3:$AH$5</definedName>
    <definedName name="Status">Quellendaten!$AH$3:$AH$5</definedName>
    <definedName name="Status_Projektkedit" localSheetId="2">[1]Quellendaten!$AC$3:$AC$6</definedName>
    <definedName name="Status_Projektkedit">Quellendaten!$AC$3:$AC$6</definedName>
    <definedName name="Strategisches_Projekt">Quellendaten!$E$11:$E$19</definedName>
    <definedName name="Tendenz">Quellendaten!$AI$3:$AI$5</definedName>
    <definedName name="Wahl_Fachgruppe">Quellendaten!$R$3:$R$8</definedName>
  </definedNames>
  <calcPr calcId="179017"/>
  <pivotCaches>
    <pivotCache cacheId="0" r:id="rId1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e 1" name="Range 1" connection="WorksheetConnection_Projektportfolio!$D$9:$D$2631"/>
        </x15:modelTables>
      </x15:dataModel>
    </ext>
  </extLst>
</workbook>
</file>

<file path=xl/calcChain.xml><?xml version="1.0" encoding="utf-8"?>
<calcChain xmlns="http://schemas.openxmlformats.org/spreadsheetml/2006/main">
  <c r="H245" i="21" l="1"/>
  <c r="G245" i="21"/>
  <c r="E238" i="21"/>
  <c r="E237" i="21"/>
  <c r="E236" i="21"/>
  <c r="E235" i="21"/>
  <c r="E234" i="21"/>
  <c r="E233" i="21"/>
  <c r="E232" i="21"/>
  <c r="E231" i="21"/>
  <c r="E230" i="21"/>
  <c r="E229" i="21"/>
  <c r="E228" i="21"/>
  <c r="E226" i="21"/>
  <c r="E225" i="21"/>
  <c r="E224" i="21"/>
  <c r="E223" i="21"/>
  <c r="E222" i="21"/>
  <c r="E221" i="21"/>
  <c r="E220" i="21"/>
  <c r="E219" i="21"/>
  <c r="E218" i="21"/>
  <c r="E217" i="21"/>
  <c r="E216" i="21"/>
  <c r="E215" i="21"/>
  <c r="E214" i="21"/>
  <c r="E211" i="21"/>
  <c r="E210" i="21"/>
  <c r="E209" i="21"/>
  <c r="E208" i="21"/>
  <c r="E207" i="21"/>
  <c r="E206" i="21"/>
  <c r="E205" i="21"/>
  <c r="E204" i="21"/>
  <c r="E203" i="21"/>
  <c r="E202" i="21"/>
  <c r="E201" i="21"/>
  <c r="E200" i="21"/>
  <c r="E199" i="21"/>
  <c r="E198" i="21"/>
  <c r="E197" i="21"/>
  <c r="E195" i="21"/>
  <c r="E194" i="21"/>
  <c r="E193" i="21"/>
  <c r="E190" i="21"/>
  <c r="E189" i="21"/>
  <c r="E187" i="21"/>
  <c r="E186" i="21"/>
  <c r="E185" i="21"/>
  <c r="E184" i="21"/>
  <c r="E182" i="21"/>
  <c r="E181" i="21"/>
  <c r="E179" i="21"/>
  <c r="E178" i="21"/>
  <c r="D177" i="21"/>
  <c r="E176" i="21"/>
  <c r="E173" i="21"/>
  <c r="E172" i="21"/>
  <c r="E171" i="21"/>
  <c r="E169" i="21"/>
  <c r="E168" i="21"/>
  <c r="E166" i="21"/>
  <c r="E164" i="21"/>
  <c r="E163" i="21"/>
  <c r="E160" i="21"/>
  <c r="E159" i="21"/>
  <c r="E157" i="21"/>
  <c r="E155" i="21"/>
  <c r="E154" i="21"/>
  <c r="E152" i="21"/>
  <c r="E150" i="21"/>
  <c r="E147" i="21"/>
  <c r="E146" i="21"/>
  <c r="E144" i="21"/>
  <c r="E140" i="21"/>
  <c r="E138" i="21"/>
  <c r="E137" i="21"/>
  <c r="E136" i="21"/>
  <c r="E135" i="21"/>
  <c r="E134" i="21"/>
  <c r="E133" i="21"/>
  <c r="E132" i="21"/>
  <c r="E131" i="21"/>
  <c r="E130" i="21"/>
  <c r="E129" i="21"/>
  <c r="E127" i="21"/>
  <c r="E126" i="21"/>
  <c r="E125" i="21"/>
  <c r="E124" i="21"/>
  <c r="E123" i="21"/>
  <c r="E122" i="21"/>
  <c r="E119" i="21"/>
  <c r="E117" i="21"/>
  <c r="E116" i="21"/>
  <c r="E115" i="21"/>
  <c r="E114" i="21"/>
  <c r="E113" i="21"/>
  <c r="E112" i="21"/>
  <c r="E111" i="21"/>
  <c r="E110" i="21"/>
  <c r="E108" i="21"/>
  <c r="E107" i="21"/>
  <c r="E106" i="21"/>
  <c r="E105" i="21"/>
  <c r="E104" i="21"/>
  <c r="E103" i="21"/>
  <c r="E102" i="21"/>
  <c r="E101" i="21"/>
  <c r="E100" i="21"/>
  <c r="E99" i="21"/>
  <c r="E98" i="21"/>
  <c r="E97" i="21"/>
  <c r="E96" i="21"/>
  <c r="E95" i="21"/>
  <c r="E93" i="21"/>
  <c r="E92" i="21"/>
  <c r="E89" i="21"/>
  <c r="E88" i="21"/>
  <c r="E87" i="21"/>
  <c r="E86" i="21"/>
  <c r="E85" i="21"/>
  <c r="E84" i="21"/>
  <c r="E81" i="21"/>
  <c r="E80" i="21"/>
  <c r="E77" i="21"/>
  <c r="E76" i="21"/>
  <c r="E75" i="21"/>
  <c r="E73" i="21"/>
  <c r="E72" i="21"/>
  <c r="E71" i="21"/>
  <c r="E70" i="21"/>
  <c r="E68" i="21"/>
  <c r="E67" i="21"/>
  <c r="E65" i="21"/>
  <c r="E64" i="21"/>
  <c r="E63" i="21"/>
  <c r="E61" i="21"/>
  <c r="E60" i="21"/>
  <c r="E59" i="21"/>
  <c r="E56" i="21"/>
  <c r="E54" i="21"/>
  <c r="E52" i="21"/>
  <c r="E51" i="21"/>
  <c r="E50" i="21"/>
  <c r="E49" i="21"/>
  <c r="E48" i="21"/>
  <c r="E47" i="21"/>
  <c r="E46" i="21"/>
  <c r="E45" i="21"/>
  <c r="E44" i="21"/>
  <c r="E43" i="21"/>
  <c r="E42" i="21"/>
  <c r="E40" i="21"/>
  <c r="E39" i="21"/>
  <c r="E37" i="21"/>
  <c r="E36" i="21"/>
  <c r="E35" i="21"/>
  <c r="E34" i="21"/>
  <c r="E33" i="21"/>
  <c r="E32" i="21"/>
  <c r="E31" i="21"/>
  <c r="E26" i="21"/>
  <c r="E25" i="21"/>
  <c r="E24" i="21"/>
  <c r="E22" i="21"/>
  <c r="E21" i="21"/>
  <c r="E20" i="21"/>
  <c r="E18" i="21"/>
  <c r="E17" i="21"/>
  <c r="E16" i="21"/>
  <c r="E15" i="21"/>
  <c r="E14" i="21"/>
  <c r="E13" i="21"/>
  <c r="E12" i="21"/>
  <c r="E10" i="21"/>
  <c r="E8" i="21"/>
  <c r="E7" i="21"/>
  <c r="G245" i="20"/>
  <c r="L242" i="20"/>
  <c r="I193" i="20"/>
  <c r="H177" i="20"/>
  <c r="V10" i="18" l="1"/>
  <c r="V11" i="18"/>
  <c r="V12" i="18"/>
  <c r="V13" i="18"/>
  <c r="V14" i="18"/>
  <c r="V15" i="18"/>
  <c r="V16" i="18"/>
  <c r="V17" i="18"/>
  <c r="V18" i="18"/>
  <c r="V19" i="18"/>
  <c r="V20" i="18"/>
  <c r="V21" i="18"/>
  <c r="V22" i="18"/>
  <c r="V23" i="18"/>
  <c r="V24" i="18"/>
  <c r="V25" i="18"/>
  <c r="V26" i="18"/>
  <c r="V27" i="18"/>
  <c r="V28" i="18"/>
  <c r="V29" i="18"/>
  <c r="V30" i="18"/>
  <c r="V31" i="18"/>
  <c r="V32" i="18"/>
  <c r="V33" i="18"/>
  <c r="V34" i="18"/>
  <c r="V35" i="18"/>
  <c r="V36" i="18"/>
  <c r="V37" i="18"/>
  <c r="V38" i="18"/>
  <c r="V39" i="18"/>
  <c r="V40" i="18"/>
  <c r="V41" i="18"/>
  <c r="V42" i="18"/>
  <c r="V43" i="18"/>
  <c r="V44" i="18"/>
  <c r="V45" i="18"/>
  <c r="V46" i="18"/>
  <c r="V47" i="18"/>
  <c r="V48" i="18"/>
  <c r="V49" i="18"/>
  <c r="V50" i="18"/>
  <c r="V51" i="18"/>
  <c r="V52" i="18"/>
  <c r="V53" i="18"/>
  <c r="V9" i="18"/>
  <c r="V4" i="18"/>
  <c r="V5" i="18"/>
  <c r="V6" i="18"/>
  <c r="V7" i="18"/>
  <c r="V3" i="18"/>
  <c r="U54" i="18" l="1"/>
  <c r="U56" i="18" s="1"/>
  <c r="D54" i="18" l="1"/>
  <c r="D56" i="18" s="1"/>
  <c r="E54" i="18"/>
  <c r="E56" i="18" s="1"/>
  <c r="F54" i="18"/>
  <c r="F56" i="18" s="1"/>
  <c r="G54" i="18"/>
  <c r="G56" i="18" s="1"/>
  <c r="H54" i="18"/>
  <c r="H56" i="18" s="1"/>
  <c r="I54" i="18"/>
  <c r="I56" i="18" s="1"/>
  <c r="J54" i="18"/>
  <c r="J56" i="18" s="1"/>
  <c r="K54" i="18"/>
  <c r="K56" i="18" s="1"/>
  <c r="L54" i="18"/>
  <c r="L56" i="18" s="1"/>
  <c r="M54" i="18"/>
  <c r="M56" i="18" s="1"/>
  <c r="N54" i="18"/>
  <c r="N56" i="18" s="1"/>
  <c r="O54" i="18"/>
  <c r="O56" i="18" s="1"/>
  <c r="P54" i="18"/>
  <c r="P56" i="18" s="1"/>
  <c r="Q54" i="18"/>
  <c r="Q56" i="18" s="1"/>
  <c r="R54" i="18"/>
  <c r="R56" i="18" s="1"/>
  <c r="S54" i="18"/>
  <c r="S56" i="18" s="1"/>
  <c r="T54" i="18"/>
  <c r="T56" i="18" s="1"/>
  <c r="V54" i="18"/>
  <c r="C54" i="18"/>
  <c r="C56" i="18" s="1"/>
  <c r="M47" i="4" l="1"/>
  <c r="L47" i="4"/>
  <c r="K47" i="4"/>
  <c r="J47" i="4"/>
  <c r="M46" i="4"/>
  <c r="L46" i="4"/>
  <c r="K46" i="4"/>
  <c r="J46" i="4"/>
  <c r="M45" i="4"/>
  <c r="L45" i="4"/>
  <c r="K45" i="4"/>
  <c r="J45" i="4"/>
  <c r="M44" i="4"/>
  <c r="L44" i="4"/>
  <c r="K44" i="4"/>
  <c r="J44" i="4"/>
  <c r="M43" i="4"/>
  <c r="L43" i="4"/>
  <c r="K43" i="4"/>
  <c r="J43" i="4"/>
  <c r="M42" i="4"/>
  <c r="L42" i="4"/>
  <c r="K42" i="4"/>
  <c r="J42" i="4"/>
  <c r="M41" i="4"/>
  <c r="L41" i="4"/>
  <c r="K41" i="4"/>
  <c r="J41" i="4"/>
  <c r="M40" i="4"/>
  <c r="L40" i="4"/>
  <c r="K40" i="4"/>
  <c r="J40" i="4"/>
  <c r="M39" i="4"/>
  <c r="L39" i="4"/>
  <c r="K39" i="4"/>
  <c r="J39" i="4"/>
  <c r="M38" i="4"/>
  <c r="L38" i="4"/>
  <c r="K38" i="4"/>
  <c r="J38" i="4"/>
  <c r="H47" i="4"/>
  <c r="G47" i="4"/>
  <c r="F47" i="4"/>
  <c r="E47" i="4"/>
  <c r="H46" i="4"/>
  <c r="G46" i="4"/>
  <c r="F46" i="4"/>
  <c r="E46" i="4"/>
  <c r="H45" i="4"/>
  <c r="G45" i="4"/>
  <c r="F45" i="4"/>
  <c r="E45" i="4"/>
  <c r="H44" i="4"/>
  <c r="G44" i="4"/>
  <c r="F44" i="4"/>
  <c r="E44" i="4"/>
  <c r="H43" i="4"/>
  <c r="G43" i="4"/>
  <c r="F43" i="4"/>
  <c r="E43" i="4"/>
  <c r="H42" i="4"/>
  <c r="G42" i="4"/>
  <c r="F42" i="4"/>
  <c r="E42" i="4"/>
  <c r="H41" i="4"/>
  <c r="G41" i="4"/>
  <c r="F41" i="4"/>
  <c r="E41" i="4"/>
  <c r="H40" i="4"/>
  <c r="G40" i="4"/>
  <c r="F40" i="4"/>
  <c r="E40" i="4"/>
  <c r="H39" i="4"/>
  <c r="G39" i="4"/>
  <c r="F39" i="4"/>
  <c r="E39" i="4"/>
  <c r="H38" i="4"/>
  <c r="G38" i="4"/>
  <c r="F38" i="4"/>
  <c r="E38" i="4"/>
  <c r="Q33" i="4"/>
  <c r="Q32" i="4"/>
  <c r="Q31" i="4"/>
  <c r="Q30" i="4"/>
  <c r="Q29" i="4"/>
  <c r="K33" i="4"/>
  <c r="K32" i="4"/>
  <c r="K31" i="4"/>
  <c r="K30" i="4"/>
  <c r="K29" i="4"/>
  <c r="E33" i="4"/>
  <c r="E32" i="4"/>
  <c r="E31" i="4"/>
  <c r="E30" i="4"/>
  <c r="E29" i="4"/>
  <c r="C52" i="4"/>
  <c r="C51" i="4"/>
  <c r="BL20" i="4"/>
  <c r="BL5" i="4"/>
  <c r="BK20" i="4"/>
  <c r="BK5" i="4"/>
  <c r="BJ20" i="4"/>
  <c r="BJ5" i="4"/>
  <c r="BI20" i="4"/>
  <c r="BI5" i="4"/>
  <c r="BH20" i="4"/>
  <c r="BH5" i="4"/>
  <c r="BG20" i="4"/>
  <c r="BG5" i="4"/>
  <c r="BF20" i="4"/>
  <c r="BF5" i="4"/>
  <c r="BE20" i="4"/>
  <c r="BE5" i="4"/>
  <c r="BD20" i="4"/>
  <c r="BD5" i="4"/>
  <c r="BC20" i="4"/>
  <c r="BC5" i="4"/>
  <c r="BB20" i="4"/>
  <c r="BB5" i="4"/>
  <c r="BA20" i="4"/>
  <c r="BA5" i="4"/>
  <c r="AZ20" i="4"/>
  <c r="AZ5" i="4"/>
  <c r="AY20" i="4"/>
  <c r="AY5" i="4"/>
  <c r="AX20" i="4"/>
  <c r="AX5" i="4"/>
  <c r="AW20" i="4"/>
  <c r="AW5" i="4"/>
  <c r="AV20" i="4"/>
  <c r="AV5" i="4"/>
  <c r="AU20" i="4"/>
  <c r="AU5" i="4"/>
  <c r="AT20" i="4"/>
  <c r="AT5" i="4"/>
  <c r="AS20" i="4"/>
  <c r="AS5" i="4"/>
  <c r="AR20" i="4"/>
  <c r="AR5" i="4"/>
  <c r="AQ20" i="4"/>
  <c r="AQ5" i="4"/>
  <c r="AP20" i="4"/>
  <c r="AP5" i="4"/>
  <c r="AO20" i="4"/>
  <c r="AO5" i="4"/>
  <c r="AN20" i="4"/>
  <c r="AN5" i="4"/>
  <c r="AM20" i="4"/>
  <c r="AM5" i="4"/>
  <c r="AL20" i="4"/>
  <c r="AL5" i="4"/>
  <c r="AK20" i="4"/>
  <c r="AK5" i="4"/>
  <c r="AJ20" i="4"/>
  <c r="AJ5" i="4"/>
  <c r="AI20" i="4"/>
  <c r="AI5" i="4"/>
  <c r="AH20" i="4"/>
  <c r="AH5" i="4"/>
  <c r="AG20" i="4"/>
  <c r="AG5" i="4"/>
  <c r="AF20" i="4"/>
  <c r="AF5" i="4"/>
  <c r="AE20" i="4"/>
  <c r="AE5" i="4"/>
  <c r="AD20" i="4"/>
  <c r="AD5" i="4"/>
  <c r="AC20" i="4"/>
  <c r="AC5" i="4"/>
  <c r="AB20" i="4"/>
  <c r="AB5" i="4"/>
  <c r="AA20" i="4"/>
  <c r="AA5" i="4"/>
  <c r="Z20" i="4"/>
  <c r="Z5" i="4"/>
  <c r="Y20" i="4"/>
  <c r="Y5" i="4"/>
  <c r="X20" i="4"/>
  <c r="X5" i="4"/>
  <c r="W20" i="4"/>
  <c r="W5" i="4"/>
  <c r="V20" i="4"/>
  <c r="V5" i="4"/>
  <c r="U20" i="4"/>
  <c r="U5" i="4"/>
  <c r="T20" i="4"/>
  <c r="T5" i="4"/>
  <c r="S20" i="4"/>
  <c r="S5" i="4"/>
  <c r="R20" i="4"/>
  <c r="R5" i="4"/>
  <c r="Q20" i="4"/>
  <c r="Q5" i="4"/>
  <c r="P20" i="4"/>
  <c r="P5" i="4"/>
  <c r="O20" i="4"/>
  <c r="O5" i="4"/>
  <c r="N20" i="4"/>
  <c r="N5" i="4"/>
  <c r="M20" i="4"/>
  <c r="M5" i="4"/>
  <c r="L20" i="4"/>
  <c r="L5" i="4"/>
  <c r="K20" i="4"/>
  <c r="K5" i="4"/>
  <c r="J20" i="4"/>
  <c r="J5" i="4"/>
  <c r="I20" i="4"/>
  <c r="I5" i="4"/>
  <c r="H20" i="4"/>
  <c r="H5" i="4"/>
  <c r="G20" i="4"/>
  <c r="G5" i="4"/>
  <c r="F20" i="4"/>
  <c r="F5" i="4"/>
  <c r="E20" i="4"/>
  <c r="E5" i="4"/>
  <c r="C8" i="4" l="1"/>
  <c r="BT14" i="1" l="1"/>
  <c r="CC14" i="1"/>
  <c r="CL14" i="1"/>
  <c r="CU14" i="1"/>
  <c r="DE14" i="1"/>
  <c r="DN14" i="1"/>
  <c r="DW14" i="1"/>
  <c r="EB14" i="1"/>
  <c r="CV14" i="1" l="1"/>
  <c r="BT142" i="1"/>
  <c r="CC142" i="1"/>
  <c r="CL142" i="1"/>
  <c r="CU142" i="1"/>
  <c r="DE142" i="1"/>
  <c r="DN142" i="1"/>
  <c r="DW142" i="1"/>
  <c r="EB142" i="1"/>
  <c r="BT156" i="1"/>
  <c r="CC156" i="1"/>
  <c r="CL156" i="1"/>
  <c r="CU156" i="1"/>
  <c r="DE156" i="1"/>
  <c r="DN156" i="1"/>
  <c r="DW156" i="1"/>
  <c r="EB156" i="1"/>
  <c r="BT154" i="1"/>
  <c r="CC154" i="1"/>
  <c r="CL154" i="1"/>
  <c r="CU154" i="1"/>
  <c r="DE154" i="1"/>
  <c r="DN154" i="1"/>
  <c r="DW154" i="1"/>
  <c r="EB154" i="1"/>
  <c r="BT216" i="1"/>
  <c r="CC216" i="1"/>
  <c r="CL216" i="1"/>
  <c r="CU216" i="1"/>
  <c r="DE216" i="1"/>
  <c r="DN216" i="1"/>
  <c r="DW216" i="1"/>
  <c r="EB216" i="1"/>
  <c r="AR32" i="1"/>
  <c r="BT32" i="1"/>
  <c r="CC32" i="1"/>
  <c r="CL32" i="1"/>
  <c r="CU32" i="1"/>
  <c r="DE32" i="1"/>
  <c r="DN32" i="1"/>
  <c r="DW32" i="1"/>
  <c r="EB32" i="1"/>
  <c r="CV142" i="1" l="1"/>
  <c r="CV156" i="1"/>
  <c r="CV154" i="1"/>
  <c r="CV216" i="1"/>
  <c r="CV32" i="1"/>
  <c r="C38" i="4" l="1"/>
  <c r="E19" i="4"/>
  <c r="E24" i="4"/>
  <c r="BT22" i="1" l="1"/>
  <c r="CC22" i="1"/>
  <c r="CL22" i="1"/>
  <c r="CU22" i="1"/>
  <c r="DE22" i="1"/>
  <c r="DN22" i="1"/>
  <c r="DW22" i="1"/>
  <c r="EB22" i="1"/>
  <c r="AO36" i="1"/>
  <c r="CV22" i="1" l="1"/>
  <c r="BT56" i="1"/>
  <c r="CC56" i="1"/>
  <c r="CL56" i="1"/>
  <c r="CU56" i="1"/>
  <c r="DE56" i="1"/>
  <c r="DN56" i="1"/>
  <c r="DW56" i="1"/>
  <c r="EB56" i="1"/>
  <c r="BT215" i="1"/>
  <c r="CC215" i="1"/>
  <c r="CL215" i="1"/>
  <c r="CU215" i="1"/>
  <c r="DE215" i="1"/>
  <c r="DN215" i="1"/>
  <c r="DW215" i="1"/>
  <c r="EB215" i="1"/>
  <c r="BT85" i="1"/>
  <c r="CC85" i="1"/>
  <c r="CL85" i="1"/>
  <c r="CU85" i="1"/>
  <c r="DE85" i="1"/>
  <c r="DN85" i="1"/>
  <c r="DW85" i="1"/>
  <c r="EB85" i="1"/>
  <c r="CV56" i="1" l="1"/>
  <c r="CV215" i="1"/>
  <c r="CV85" i="1"/>
  <c r="BT240" i="1"/>
  <c r="C47" i="4" l="1"/>
  <c r="C46" i="4"/>
  <c r="C45" i="4"/>
  <c r="C44" i="4"/>
  <c r="C43" i="4"/>
  <c r="C42" i="4"/>
  <c r="C41" i="4"/>
  <c r="C40" i="4"/>
  <c r="C39" i="4"/>
  <c r="C36" i="4"/>
  <c r="C28" i="4"/>
  <c r="C27" i="4"/>
  <c r="C22" i="4" l="1"/>
  <c r="C20" i="4"/>
  <c r="C18" i="4"/>
  <c r="C16" i="4"/>
  <c r="C14" i="4"/>
  <c r="C12" i="4"/>
  <c r="C10" i="4"/>
  <c r="C9" i="4"/>
  <c r="BI248" i="1" l="1"/>
  <c r="BJ248" i="1"/>
  <c r="BK248" i="1"/>
  <c r="BL248" i="1"/>
  <c r="BM248" i="1"/>
  <c r="BN248" i="1"/>
  <c r="BO248" i="1"/>
  <c r="BP248" i="1"/>
  <c r="BQ248" i="1"/>
  <c r="BR248" i="1"/>
  <c r="BS248" i="1"/>
  <c r="BU248" i="1"/>
  <c r="BV248" i="1"/>
  <c r="BW248" i="1"/>
  <c r="BX248" i="1"/>
  <c r="BY248" i="1"/>
  <c r="BZ248" i="1"/>
  <c r="CA248" i="1"/>
  <c r="CB248" i="1"/>
  <c r="CD248" i="1"/>
  <c r="CE248" i="1"/>
  <c r="CF248" i="1"/>
  <c r="CG248" i="1"/>
  <c r="CH248" i="1"/>
  <c r="CI248" i="1"/>
  <c r="CJ248" i="1"/>
  <c r="CK248" i="1"/>
  <c r="CM248" i="1"/>
  <c r="CN248" i="1"/>
  <c r="CO248" i="1"/>
  <c r="CP248" i="1"/>
  <c r="CQ248" i="1"/>
  <c r="CR248" i="1"/>
  <c r="CS248" i="1"/>
  <c r="CT248" i="1"/>
  <c r="CW248" i="1"/>
  <c r="CX248" i="1"/>
  <c r="CY248" i="1"/>
  <c r="CZ248" i="1"/>
  <c r="DA248" i="1"/>
  <c r="DB248" i="1"/>
  <c r="DC248" i="1"/>
  <c r="DD248" i="1"/>
  <c r="DF248" i="1"/>
  <c r="DG248" i="1"/>
  <c r="DH248" i="1"/>
  <c r="DI248" i="1"/>
  <c r="DJ248" i="1"/>
  <c r="DK248" i="1"/>
  <c r="DL248" i="1"/>
  <c r="DM248" i="1"/>
  <c r="DO248" i="1"/>
  <c r="DP248" i="1"/>
  <c r="DQ248" i="1"/>
  <c r="DR248" i="1"/>
  <c r="DS248" i="1"/>
  <c r="DT248" i="1"/>
  <c r="DU248" i="1"/>
  <c r="DV248" i="1"/>
  <c r="DX248" i="1"/>
  <c r="DZ248" i="1"/>
  <c r="AS248" i="1"/>
  <c r="AU248" i="1"/>
  <c r="AW248" i="1"/>
  <c r="AY248" i="1"/>
  <c r="BA248" i="1"/>
  <c r="BB248" i="1"/>
  <c r="BC248" i="1"/>
  <c r="BD248" i="1"/>
  <c r="BE248" i="1"/>
  <c r="BF248" i="1"/>
  <c r="BG248" i="1"/>
  <c r="BH248" i="1"/>
  <c r="AM248" i="1"/>
  <c r="AN94" i="1"/>
  <c r="E94" i="21" s="1"/>
  <c r="AR178" i="1"/>
  <c r="BT178" i="1"/>
  <c r="CC178" i="1"/>
  <c r="CL178" i="1"/>
  <c r="CU178" i="1"/>
  <c r="DE178" i="1"/>
  <c r="DN178" i="1"/>
  <c r="DW178" i="1"/>
  <c r="EB178" i="1"/>
  <c r="AN180" i="1"/>
  <c r="E180" i="21" s="1"/>
  <c r="AR180" i="1"/>
  <c r="BT180" i="1"/>
  <c r="CC180" i="1"/>
  <c r="CL180" i="1"/>
  <c r="CU180" i="1"/>
  <c r="DE180" i="1"/>
  <c r="DN180" i="1"/>
  <c r="DW180" i="1"/>
  <c r="EB180" i="1"/>
  <c r="AO45" i="1"/>
  <c r="AR45" i="1" s="1"/>
  <c r="BT45" i="1"/>
  <c r="CC45" i="1"/>
  <c r="CL45" i="1"/>
  <c r="CU45" i="1"/>
  <c r="DE45" i="1"/>
  <c r="DN45" i="1"/>
  <c r="DW45" i="1"/>
  <c r="EB45" i="1"/>
  <c r="CV178" i="1" l="1"/>
  <c r="CV180" i="1"/>
  <c r="CV45" i="1"/>
  <c r="AN191" i="1"/>
  <c r="E191" i="21" s="1"/>
  <c r="AN58" i="1" l="1"/>
  <c r="E58" i="21" s="1"/>
  <c r="AO202" i="1"/>
  <c r="AN30" i="1"/>
  <c r="E30" i="21" s="1"/>
  <c r="AN242" i="1"/>
  <c r="AN121" i="1"/>
  <c r="E121" i="21" s="1"/>
  <c r="AR82" i="1"/>
  <c r="BT82" i="1"/>
  <c r="CC82" i="1"/>
  <c r="CL82" i="1"/>
  <c r="CU82" i="1"/>
  <c r="DE82" i="1"/>
  <c r="DN82" i="1"/>
  <c r="DW82" i="1"/>
  <c r="EB82" i="1"/>
  <c r="AO89" i="1"/>
  <c r="AR89" i="1" s="1"/>
  <c r="BT89" i="1"/>
  <c r="CC89" i="1"/>
  <c r="CL89" i="1"/>
  <c r="CU89" i="1"/>
  <c r="DE89" i="1"/>
  <c r="DN89" i="1"/>
  <c r="DW89" i="1"/>
  <c r="AO139" i="1"/>
  <c r="CV70" i="1"/>
  <c r="AN41" i="1"/>
  <c r="E41" i="21" s="1"/>
  <c r="E245" i="21" l="1"/>
  <c r="AN248" i="1"/>
  <c r="CV82" i="1"/>
  <c r="CV89" i="1"/>
  <c r="EB89" i="1" s="1"/>
  <c r="EC89" i="1" s="1"/>
  <c r="BT65" i="1"/>
  <c r="CC65" i="1"/>
  <c r="CL65" i="1"/>
  <c r="CU65" i="1"/>
  <c r="DE65" i="1"/>
  <c r="DN65" i="1"/>
  <c r="DW65" i="1"/>
  <c r="EB65" i="1"/>
  <c r="BT161" i="1"/>
  <c r="CC161" i="1"/>
  <c r="CL161" i="1"/>
  <c r="CU161" i="1"/>
  <c r="DE161" i="1"/>
  <c r="DN161" i="1"/>
  <c r="DW161" i="1"/>
  <c r="EB161" i="1"/>
  <c r="AR244" i="1"/>
  <c r="AR245" i="1"/>
  <c r="AR8" i="1"/>
  <c r="DW242" i="1"/>
  <c r="DN242" i="1"/>
  <c r="DE242" i="1"/>
  <c r="CU242" i="1"/>
  <c r="CL242" i="1"/>
  <c r="CC242" i="1"/>
  <c r="BT242" i="1"/>
  <c r="AR242" i="1"/>
  <c r="CV65" i="1" l="1"/>
  <c r="CV161" i="1"/>
  <c r="CV242" i="1"/>
  <c r="EB242" i="1" s="1"/>
  <c r="EC242" i="1" s="1"/>
  <c r="BT123" i="1" l="1"/>
  <c r="CC123" i="1"/>
  <c r="CL123" i="1"/>
  <c r="CU123" i="1"/>
  <c r="DE123" i="1"/>
  <c r="DN123" i="1"/>
  <c r="DW123" i="1"/>
  <c r="EB123" i="1"/>
  <c r="BT26" i="1"/>
  <c r="CC26" i="1"/>
  <c r="CL26" i="1"/>
  <c r="CU26" i="1"/>
  <c r="DE26" i="1"/>
  <c r="DN26" i="1"/>
  <c r="DW26" i="1"/>
  <c r="EB26" i="1"/>
  <c r="BT86" i="1"/>
  <c r="CC86" i="1"/>
  <c r="CL86" i="1"/>
  <c r="CU86" i="1"/>
  <c r="DE86" i="1"/>
  <c r="DN86" i="1"/>
  <c r="DW86" i="1"/>
  <c r="EB86" i="1"/>
  <c r="BT165" i="1"/>
  <c r="CC165" i="1"/>
  <c r="CL165" i="1"/>
  <c r="CU165" i="1"/>
  <c r="DE165" i="1"/>
  <c r="DN165" i="1"/>
  <c r="DW165" i="1"/>
  <c r="EB165" i="1"/>
  <c r="BT195" i="1"/>
  <c r="CC195" i="1"/>
  <c r="CL195" i="1"/>
  <c r="CU195" i="1"/>
  <c r="DE195" i="1"/>
  <c r="DN195" i="1"/>
  <c r="DW195" i="1"/>
  <c r="EB195" i="1"/>
  <c r="C6" i="4"/>
  <c r="AO115" i="1"/>
  <c r="AR115" i="1" s="1"/>
  <c r="AO61" i="1"/>
  <c r="AR61" i="1" s="1"/>
  <c r="AO241" i="1"/>
  <c r="AR241" i="1" s="1"/>
  <c r="AO240" i="1"/>
  <c r="AR240" i="1" s="1"/>
  <c r="AO239" i="1"/>
  <c r="AO236" i="1"/>
  <c r="AR236" i="1" s="1"/>
  <c r="AO238" i="1"/>
  <c r="AR238" i="1" s="1"/>
  <c r="AO237" i="1"/>
  <c r="AR237" i="1" s="1"/>
  <c r="AO235" i="1"/>
  <c r="AR235" i="1" s="1"/>
  <c r="AO234" i="1"/>
  <c r="AR234" i="1" s="1"/>
  <c r="AO233" i="1"/>
  <c r="AR233" i="1" s="1"/>
  <c r="AO232" i="1"/>
  <c r="AR232" i="1" s="1"/>
  <c r="AO231" i="1"/>
  <c r="AR231" i="1" s="1"/>
  <c r="AO229" i="1"/>
  <c r="AR229" i="1" s="1"/>
  <c r="AO227" i="1"/>
  <c r="AR227" i="1" s="1"/>
  <c r="AO228" i="1"/>
  <c r="AR228" i="1" s="1"/>
  <c r="AO226" i="1"/>
  <c r="AR226" i="1" s="1"/>
  <c r="AO225" i="1"/>
  <c r="AR225" i="1" s="1"/>
  <c r="AO224" i="1"/>
  <c r="AR224" i="1" s="1"/>
  <c r="AO223" i="1"/>
  <c r="AR223" i="1" s="1"/>
  <c r="AO222" i="1"/>
  <c r="AR222" i="1" s="1"/>
  <c r="AO221" i="1"/>
  <c r="AR221" i="1" s="1"/>
  <c r="AO220" i="1"/>
  <c r="AR220" i="1" s="1"/>
  <c r="AO219" i="1"/>
  <c r="AR219" i="1" s="1"/>
  <c r="AO218" i="1"/>
  <c r="AR218" i="1" s="1"/>
  <c r="AO217" i="1"/>
  <c r="AR217" i="1" s="1"/>
  <c r="AO214" i="1"/>
  <c r="AR214" i="1" s="1"/>
  <c r="AO213" i="1"/>
  <c r="AR213" i="1" s="1"/>
  <c r="AO212" i="1"/>
  <c r="AR212" i="1" s="1"/>
  <c r="AO210" i="1"/>
  <c r="AR210" i="1" s="1"/>
  <c r="AO211" i="1"/>
  <c r="AR211" i="1" s="1"/>
  <c r="AO209" i="1"/>
  <c r="AR209" i="1" s="1"/>
  <c r="AO208" i="1"/>
  <c r="AR208" i="1" s="1"/>
  <c r="AO207" i="1"/>
  <c r="AR207" i="1" s="1"/>
  <c r="AO206" i="1"/>
  <c r="AR206" i="1" s="1"/>
  <c r="AO205" i="1"/>
  <c r="AR205" i="1" s="1"/>
  <c r="AO204" i="1"/>
  <c r="AR204" i="1" s="1"/>
  <c r="AO203" i="1"/>
  <c r="AR203" i="1" s="1"/>
  <c r="AR202" i="1"/>
  <c r="AO201" i="1"/>
  <c r="AR201" i="1" s="1"/>
  <c r="AO200" i="1"/>
  <c r="AR200" i="1" s="1"/>
  <c r="AO198" i="1"/>
  <c r="AR198" i="1" s="1"/>
  <c r="AO197" i="1"/>
  <c r="AR197" i="1" s="1"/>
  <c r="AO196" i="1"/>
  <c r="AR196" i="1" s="1"/>
  <c r="AO194" i="1"/>
  <c r="AR194" i="1" s="1"/>
  <c r="AO193" i="1"/>
  <c r="AO192" i="1"/>
  <c r="AR192" i="1" s="1"/>
  <c r="AR191" i="1"/>
  <c r="AO190" i="1"/>
  <c r="AR190" i="1" s="1"/>
  <c r="AO189" i="1"/>
  <c r="AR189" i="1" s="1"/>
  <c r="AO188" i="1"/>
  <c r="AO187" i="1"/>
  <c r="AR187" i="1" s="1"/>
  <c r="AO185" i="1"/>
  <c r="AR185" i="1" s="1"/>
  <c r="AO184" i="1"/>
  <c r="AR184" i="1" s="1"/>
  <c r="AO183" i="1"/>
  <c r="AR183" i="1" s="1"/>
  <c r="AO182" i="1"/>
  <c r="AR182" i="1" s="1"/>
  <c r="AO181" i="1"/>
  <c r="AR181" i="1" s="1"/>
  <c r="AO179" i="1"/>
  <c r="AR179" i="1" s="1"/>
  <c r="AO176" i="1"/>
  <c r="AR176" i="1" s="1"/>
  <c r="AO175" i="1"/>
  <c r="AR175" i="1" s="1"/>
  <c r="AO174" i="1"/>
  <c r="AR174" i="1" s="1"/>
  <c r="AO172" i="1"/>
  <c r="AR172" i="1" s="1"/>
  <c r="AO171" i="1"/>
  <c r="AR171" i="1" s="1"/>
  <c r="AO169" i="1"/>
  <c r="AR169" i="1" s="1"/>
  <c r="AO167" i="1"/>
  <c r="AR167" i="1" s="1"/>
  <c r="AO166" i="1"/>
  <c r="AR166" i="1" s="1"/>
  <c r="AO163" i="1"/>
  <c r="AR163" i="1" s="1"/>
  <c r="AO162" i="1"/>
  <c r="AR162" i="1" s="1"/>
  <c r="AO160" i="1"/>
  <c r="AR160" i="1" s="1"/>
  <c r="AO158" i="1"/>
  <c r="AR158" i="1" s="1"/>
  <c r="AO157" i="1"/>
  <c r="AR157" i="1" s="1"/>
  <c r="AO155" i="1"/>
  <c r="AR155" i="1" s="1"/>
  <c r="AO153" i="1"/>
  <c r="AR153" i="1" s="1"/>
  <c r="AO150" i="1"/>
  <c r="AR150" i="1" s="1"/>
  <c r="AO149" i="1"/>
  <c r="AR149" i="1" s="1"/>
  <c r="AO147" i="1"/>
  <c r="AR147" i="1" s="1"/>
  <c r="AR144" i="1"/>
  <c r="AO143" i="1"/>
  <c r="AR143" i="1" s="1"/>
  <c r="AO141" i="1"/>
  <c r="AR141" i="1" s="1"/>
  <c r="AO140" i="1"/>
  <c r="AR140" i="1" s="1"/>
  <c r="AR139" i="1"/>
  <c r="AO138" i="1"/>
  <c r="AR138" i="1" s="1"/>
  <c r="AO137" i="1"/>
  <c r="AR137" i="1" s="1"/>
  <c r="AO136" i="1"/>
  <c r="AR136" i="1" s="1"/>
  <c r="AO135" i="1"/>
  <c r="AR135" i="1" s="1"/>
  <c r="AO134" i="1"/>
  <c r="AR134" i="1" s="1"/>
  <c r="AO133" i="1"/>
  <c r="AR133" i="1" s="1"/>
  <c r="AO132" i="1"/>
  <c r="AR132" i="1" s="1"/>
  <c r="AO130" i="1"/>
  <c r="AR130" i="1" s="1"/>
  <c r="AO129" i="1"/>
  <c r="AR129" i="1" s="1"/>
  <c r="AO128" i="1"/>
  <c r="AR128" i="1" s="1"/>
  <c r="AO127" i="1"/>
  <c r="AR127" i="1" s="1"/>
  <c r="AO126" i="1"/>
  <c r="AR126" i="1" s="1"/>
  <c r="AO125" i="1"/>
  <c r="AR125" i="1" s="1"/>
  <c r="AO124" i="1"/>
  <c r="AR124" i="1" s="1"/>
  <c r="AO122" i="1"/>
  <c r="AR122" i="1" s="1"/>
  <c r="AR121" i="1"/>
  <c r="AO120" i="1"/>
  <c r="AR120" i="1" s="1"/>
  <c r="AO119" i="1"/>
  <c r="AR119" i="1" s="1"/>
  <c r="AO118" i="1"/>
  <c r="AO117" i="1"/>
  <c r="AR117" i="1" s="1"/>
  <c r="AO116" i="1"/>
  <c r="AR116" i="1" s="1"/>
  <c r="AO114" i="1"/>
  <c r="AR114" i="1" s="1"/>
  <c r="AO113" i="1"/>
  <c r="AR113" i="1" s="1"/>
  <c r="AO111" i="1"/>
  <c r="AR111" i="1" s="1"/>
  <c r="AO110" i="1"/>
  <c r="AR110" i="1" s="1"/>
  <c r="AO109" i="1"/>
  <c r="AR109" i="1" s="1"/>
  <c r="AO108" i="1"/>
  <c r="AR108" i="1" s="1"/>
  <c r="AO107" i="1"/>
  <c r="AR107" i="1" s="1"/>
  <c r="AO106" i="1"/>
  <c r="AR106" i="1" s="1"/>
  <c r="AO105" i="1"/>
  <c r="AR105" i="1" s="1"/>
  <c r="AO104" i="1"/>
  <c r="AR104" i="1" s="1"/>
  <c r="AO103" i="1"/>
  <c r="AR103" i="1" s="1"/>
  <c r="AO102" i="1"/>
  <c r="AR102" i="1" s="1"/>
  <c r="AO101" i="1"/>
  <c r="AR101" i="1" s="1"/>
  <c r="AO100" i="1"/>
  <c r="AR100" i="1" s="1"/>
  <c r="AO99" i="1"/>
  <c r="AR99" i="1" s="1"/>
  <c r="AO98" i="1"/>
  <c r="AR98" i="1" s="1"/>
  <c r="AO97" i="1"/>
  <c r="AR97" i="1" s="1"/>
  <c r="AO96" i="1"/>
  <c r="AR96" i="1" s="1"/>
  <c r="AO95" i="1"/>
  <c r="AR95" i="1" s="1"/>
  <c r="AR94" i="1"/>
  <c r="AO92" i="1"/>
  <c r="AR92" i="1" s="1"/>
  <c r="AO91" i="1"/>
  <c r="AO90" i="1"/>
  <c r="AR90" i="1" s="1"/>
  <c r="AO88" i="1"/>
  <c r="AR88" i="1" s="1"/>
  <c r="AO87" i="1"/>
  <c r="AR87" i="1" s="1"/>
  <c r="AO84" i="1"/>
  <c r="AR84" i="1" s="1"/>
  <c r="AO83" i="1"/>
  <c r="AR83" i="1" s="1"/>
  <c r="AO80" i="1"/>
  <c r="AR80" i="1" s="1"/>
  <c r="AO79" i="1"/>
  <c r="AR79" i="1" s="1"/>
  <c r="AO78" i="1"/>
  <c r="AR78" i="1" s="1"/>
  <c r="AO76" i="1"/>
  <c r="AR76" i="1" s="1"/>
  <c r="AO75" i="1"/>
  <c r="AR75" i="1" s="1"/>
  <c r="AO74" i="1"/>
  <c r="AR74" i="1" s="1"/>
  <c r="AO73" i="1"/>
  <c r="AR73" i="1" s="1"/>
  <c r="AO71" i="1"/>
  <c r="AR71" i="1" s="1"/>
  <c r="AO70" i="1"/>
  <c r="AR70" i="1" s="1"/>
  <c r="AO68" i="1"/>
  <c r="AR68" i="1" s="1"/>
  <c r="AO66" i="1"/>
  <c r="AR66" i="1" s="1"/>
  <c r="AO67" i="1"/>
  <c r="AR67" i="1" s="1"/>
  <c r="AO64" i="1"/>
  <c r="AR64" i="1" s="1"/>
  <c r="AO63" i="1"/>
  <c r="AR63" i="1" s="1"/>
  <c r="AO62" i="1"/>
  <c r="AR62" i="1" s="1"/>
  <c r="AO59" i="1"/>
  <c r="AR59" i="1" s="1"/>
  <c r="AR58" i="1"/>
  <c r="AO57" i="1"/>
  <c r="AR57" i="1" s="1"/>
  <c r="AO55" i="1"/>
  <c r="AO53" i="1"/>
  <c r="AO54" i="1"/>
  <c r="AR54" i="1" s="1"/>
  <c r="AO52" i="1"/>
  <c r="AR52" i="1" s="1"/>
  <c r="AO51" i="1"/>
  <c r="AO50" i="1"/>
  <c r="AO49" i="1"/>
  <c r="AR49" i="1" s="1"/>
  <c r="AO48" i="1"/>
  <c r="AR48" i="1" s="1"/>
  <c r="AO47" i="1"/>
  <c r="AR47" i="1" s="1"/>
  <c r="AO46" i="1"/>
  <c r="AR46" i="1" s="1"/>
  <c r="AO44" i="1"/>
  <c r="AR44" i="1" s="1"/>
  <c r="AO43" i="1"/>
  <c r="AR43" i="1" s="1"/>
  <c r="AO42" i="1"/>
  <c r="AR41" i="1"/>
  <c r="AO40" i="1"/>
  <c r="AO39" i="1"/>
  <c r="AR39" i="1" s="1"/>
  <c r="AO38" i="1"/>
  <c r="AO37" i="1"/>
  <c r="AR37" i="1" s="1"/>
  <c r="AO35" i="1"/>
  <c r="AR35" i="1" s="1"/>
  <c r="AO34" i="1"/>
  <c r="AR34" i="1" s="1"/>
  <c r="AO33" i="1"/>
  <c r="AR33" i="1" s="1"/>
  <c r="AR30" i="1"/>
  <c r="AO29" i="1"/>
  <c r="AR29" i="1" s="1"/>
  <c r="AO28" i="1"/>
  <c r="AR28" i="1" s="1"/>
  <c r="AO27" i="1"/>
  <c r="AO25" i="1"/>
  <c r="AR25" i="1" s="1"/>
  <c r="AO24" i="1"/>
  <c r="AR24" i="1" s="1"/>
  <c r="AO23" i="1"/>
  <c r="AR23" i="1" s="1"/>
  <c r="AO21" i="1"/>
  <c r="AR21" i="1" s="1"/>
  <c r="AO20" i="1"/>
  <c r="AR20" i="1" s="1"/>
  <c r="AO19" i="1"/>
  <c r="AR19" i="1" s="1"/>
  <c r="AO18" i="1"/>
  <c r="AR18" i="1" s="1"/>
  <c r="AO17" i="1"/>
  <c r="AR17" i="1" s="1"/>
  <c r="AO16" i="1"/>
  <c r="AO15" i="1"/>
  <c r="AR15" i="1" s="1"/>
  <c r="AO13" i="1"/>
  <c r="AO11" i="1"/>
  <c r="AR11" i="1" s="1"/>
  <c r="AO10" i="1"/>
  <c r="AO9" i="1"/>
  <c r="AR9" i="1" s="1"/>
  <c r="AR188" i="1" l="1"/>
  <c r="D188" i="21"/>
  <c r="H188" i="20"/>
  <c r="AR27" i="1"/>
  <c r="D27" i="21"/>
  <c r="H27" i="20"/>
  <c r="AR38" i="1"/>
  <c r="D38" i="21"/>
  <c r="H38" i="20"/>
  <c r="AR91" i="1"/>
  <c r="H91" i="20"/>
  <c r="D91" i="21"/>
  <c r="AR118" i="1"/>
  <c r="D118" i="21"/>
  <c r="H118" i="20"/>
  <c r="AR193" i="1"/>
  <c r="L193" i="20"/>
  <c r="AR239" i="1"/>
  <c r="D239" i="21"/>
  <c r="H239" i="20"/>
  <c r="AR55" i="1"/>
  <c r="D55" i="21"/>
  <c r="H55" i="20"/>
  <c r="AR13" i="1"/>
  <c r="C37" i="4"/>
  <c r="AR10" i="1"/>
  <c r="AO248" i="1"/>
  <c r="CV123" i="1"/>
  <c r="CV26" i="1"/>
  <c r="CV86" i="1"/>
  <c r="CV165" i="1"/>
  <c r="CV195" i="1"/>
  <c r="C7" i="4"/>
  <c r="C5" i="4"/>
  <c r="C4" i="4"/>
  <c r="D245" i="21" l="1"/>
  <c r="H245" i="20"/>
  <c r="AR248" i="1"/>
  <c r="C49" i="4"/>
  <c r="C48" i="4"/>
  <c r="CL239" i="1"/>
  <c r="CU226" i="1"/>
  <c r="CL226" i="1"/>
  <c r="CC226" i="1"/>
  <c r="CU222" i="1"/>
  <c r="CL222" i="1"/>
  <c r="CC222" i="1"/>
  <c r="CC51" i="1" l="1"/>
  <c r="BT51" i="1"/>
  <c r="BT164" i="1" l="1"/>
  <c r="CC164" i="1"/>
  <c r="CL164" i="1"/>
  <c r="CU164" i="1"/>
  <c r="DE164" i="1"/>
  <c r="DN164" i="1"/>
  <c r="DW164" i="1"/>
  <c r="EB164" i="1"/>
  <c r="CV164" i="1" l="1"/>
  <c r="DW243" i="1"/>
  <c r="DW241" i="1"/>
  <c r="DW240" i="1"/>
  <c r="DW239" i="1"/>
  <c r="DW236" i="1"/>
  <c r="DW238" i="1"/>
  <c r="DW237" i="1"/>
  <c r="DW235" i="1"/>
  <c r="DW234" i="1"/>
  <c r="DW233" i="1"/>
  <c r="DW232" i="1"/>
  <c r="DW231" i="1"/>
  <c r="DW230" i="1"/>
  <c r="DW229" i="1"/>
  <c r="DW227" i="1"/>
  <c r="DW228" i="1"/>
  <c r="DW226" i="1"/>
  <c r="DW225" i="1"/>
  <c r="DW224" i="1"/>
  <c r="DW223" i="1"/>
  <c r="DW222" i="1"/>
  <c r="DW221" i="1"/>
  <c r="DW220" i="1"/>
  <c r="DW219" i="1"/>
  <c r="DW7" i="1"/>
  <c r="DW218" i="1"/>
  <c r="DW217" i="1"/>
  <c r="DW214" i="1"/>
  <c r="DW213" i="1"/>
  <c r="DW212" i="1"/>
  <c r="DW210" i="1"/>
  <c r="DW211" i="1"/>
  <c r="DW209" i="1"/>
  <c r="DW208" i="1"/>
  <c r="DW207" i="1"/>
  <c r="DW206" i="1"/>
  <c r="DW205" i="1"/>
  <c r="DW204" i="1"/>
  <c r="DW203" i="1"/>
  <c r="DW202" i="1"/>
  <c r="DW201" i="1"/>
  <c r="DW200" i="1"/>
  <c r="DW199" i="1"/>
  <c r="DW198" i="1"/>
  <c r="DW197" i="1"/>
  <c r="DW196" i="1"/>
  <c r="DW194" i="1"/>
  <c r="DW193" i="1"/>
  <c r="DW192" i="1"/>
  <c r="DW191" i="1"/>
  <c r="DW190" i="1"/>
  <c r="DW189" i="1"/>
  <c r="DW188" i="1"/>
  <c r="DW187" i="1"/>
  <c r="DW186" i="1"/>
  <c r="DW185" i="1"/>
  <c r="DW184" i="1"/>
  <c r="DW183" i="1"/>
  <c r="DW182" i="1"/>
  <c r="DW181" i="1"/>
  <c r="DW179" i="1"/>
  <c r="DW176" i="1"/>
  <c r="DW175" i="1"/>
  <c r="DW174" i="1"/>
  <c r="DW173" i="1"/>
  <c r="DW172" i="1"/>
  <c r="DW171" i="1"/>
  <c r="DW170" i="1"/>
  <c r="DW169" i="1"/>
  <c r="DW168" i="1"/>
  <c r="DW167" i="1"/>
  <c r="DW166" i="1"/>
  <c r="DW163" i="1"/>
  <c r="DW162" i="1"/>
  <c r="DW160" i="1"/>
  <c r="DW159" i="1"/>
  <c r="DW158" i="1"/>
  <c r="DW157" i="1"/>
  <c r="DW155" i="1"/>
  <c r="DW153" i="1"/>
  <c r="DW152" i="1"/>
  <c r="DW151" i="1"/>
  <c r="DW150" i="1"/>
  <c r="DW149" i="1"/>
  <c r="DW148" i="1"/>
  <c r="DW147" i="1"/>
  <c r="DW145" i="1"/>
  <c r="DW146" i="1"/>
  <c r="DW144" i="1"/>
  <c r="DW143" i="1"/>
  <c r="DW141" i="1"/>
  <c r="DW140" i="1"/>
  <c r="DW139" i="1"/>
  <c r="DW138" i="1"/>
  <c r="DW137" i="1"/>
  <c r="DW136" i="1"/>
  <c r="DW135" i="1"/>
  <c r="DW134" i="1"/>
  <c r="DW133" i="1"/>
  <c r="DW132" i="1"/>
  <c r="DW131" i="1"/>
  <c r="DW130" i="1"/>
  <c r="DW129" i="1"/>
  <c r="DW128" i="1"/>
  <c r="DW127" i="1"/>
  <c r="DW126" i="1"/>
  <c r="DW125" i="1"/>
  <c r="DW124" i="1"/>
  <c r="DW122" i="1"/>
  <c r="DW121" i="1"/>
  <c r="DW120" i="1"/>
  <c r="DW119" i="1"/>
  <c r="DW118" i="1"/>
  <c r="DW117" i="1"/>
  <c r="DW115" i="1"/>
  <c r="DW116" i="1"/>
  <c r="DW114" i="1"/>
  <c r="DW113" i="1"/>
  <c r="DW112" i="1"/>
  <c r="DW111" i="1"/>
  <c r="DW110" i="1"/>
  <c r="DW109" i="1"/>
  <c r="DW108" i="1"/>
  <c r="DW107" i="1"/>
  <c r="DW106" i="1"/>
  <c r="DW105" i="1"/>
  <c r="DW104" i="1"/>
  <c r="DW103" i="1"/>
  <c r="DW102" i="1"/>
  <c r="DW101" i="1"/>
  <c r="DW100" i="1"/>
  <c r="DW99" i="1"/>
  <c r="DW98" i="1"/>
  <c r="DW97" i="1"/>
  <c r="DW96" i="1"/>
  <c r="DW95" i="1"/>
  <c r="DW94" i="1"/>
  <c r="DW93" i="1"/>
  <c r="DW92" i="1"/>
  <c r="DW91" i="1"/>
  <c r="DW90" i="1"/>
  <c r="DW88" i="1"/>
  <c r="DW87" i="1"/>
  <c r="DW84" i="1"/>
  <c r="DW83" i="1"/>
  <c r="DW81" i="1"/>
  <c r="DW80" i="1"/>
  <c r="DW79" i="1"/>
  <c r="DW78" i="1"/>
  <c r="DW77" i="1"/>
  <c r="DW76" i="1"/>
  <c r="DW75" i="1"/>
  <c r="DW74" i="1"/>
  <c r="DW73" i="1"/>
  <c r="DW72" i="1"/>
  <c r="DW71" i="1"/>
  <c r="DW70" i="1"/>
  <c r="DW69" i="1"/>
  <c r="DW68" i="1"/>
  <c r="DW66" i="1"/>
  <c r="DW67" i="1"/>
  <c r="DW64" i="1"/>
  <c r="DW63" i="1"/>
  <c r="DW62" i="1"/>
  <c r="DW61" i="1"/>
  <c r="DW60" i="1"/>
  <c r="DW59" i="1"/>
  <c r="DW58" i="1"/>
  <c r="DW57" i="1"/>
  <c r="DW55" i="1"/>
  <c r="DW53" i="1"/>
  <c r="DW54" i="1"/>
  <c r="DW52" i="1"/>
  <c r="DW51" i="1"/>
  <c r="DW50" i="1"/>
  <c r="DW49" i="1"/>
  <c r="DW48" i="1"/>
  <c r="DW47" i="1"/>
  <c r="DW46" i="1"/>
  <c r="DW44" i="1"/>
  <c r="DW43" i="1"/>
  <c r="DW42" i="1"/>
  <c r="DW41" i="1"/>
  <c r="DW40" i="1"/>
  <c r="DW177" i="1"/>
  <c r="DW39" i="1"/>
  <c r="DW38" i="1"/>
  <c r="DW37" i="1"/>
  <c r="DW36" i="1"/>
  <c r="DW35" i="1"/>
  <c r="DW34" i="1"/>
  <c r="DW33" i="1"/>
  <c r="DW31" i="1"/>
  <c r="DW30" i="1"/>
  <c r="DW29" i="1"/>
  <c r="DW28" i="1"/>
  <c r="DW27" i="1"/>
  <c r="DW25" i="1"/>
  <c r="DW24" i="1"/>
  <c r="DW23" i="1"/>
  <c r="DW21" i="1"/>
  <c r="DW20" i="1"/>
  <c r="DW19" i="1"/>
  <c r="DW18" i="1"/>
  <c r="DW17" i="1"/>
  <c r="DW16" i="1"/>
  <c r="DW15" i="1"/>
  <c r="DW13" i="1"/>
  <c r="DW11" i="1"/>
  <c r="DW12" i="1"/>
  <c r="DW10" i="1"/>
  <c r="DW9" i="1"/>
  <c r="DW8" i="1"/>
  <c r="BT25" i="1" l="1"/>
  <c r="CC25" i="1"/>
  <c r="CL25" i="1"/>
  <c r="CU25" i="1"/>
  <c r="DE25" i="1"/>
  <c r="DN25" i="1"/>
  <c r="CV25" i="1" l="1"/>
  <c r="EB25" i="1" s="1"/>
  <c r="EC25" i="1" s="1"/>
  <c r="BT227" i="1" l="1"/>
  <c r="CC227" i="1"/>
  <c r="CL227" i="1"/>
  <c r="CU227" i="1"/>
  <c r="DE227" i="1"/>
  <c r="DN227" i="1"/>
  <c r="BT179" i="1"/>
  <c r="CC179" i="1"/>
  <c r="CL179" i="1"/>
  <c r="CU179" i="1"/>
  <c r="DE179" i="1"/>
  <c r="DN179" i="1"/>
  <c r="CL51" i="1"/>
  <c r="CU51" i="1"/>
  <c r="DE51" i="1"/>
  <c r="DN51" i="1"/>
  <c r="CV227" i="1" l="1"/>
  <c r="EB227" i="1" s="1"/>
  <c r="EC227" i="1" s="1"/>
  <c r="CV179" i="1"/>
  <c r="EB179" i="1" s="1"/>
  <c r="EC179" i="1" s="1"/>
  <c r="CV51" i="1"/>
  <c r="EB51" i="1" s="1"/>
  <c r="EC51" i="1" s="1"/>
  <c r="BT218" i="1"/>
  <c r="CC218" i="1"/>
  <c r="CL218" i="1"/>
  <c r="CU218" i="1"/>
  <c r="DE218" i="1"/>
  <c r="DN218" i="1"/>
  <c r="BT146" i="1"/>
  <c r="CC146" i="1"/>
  <c r="CL146" i="1"/>
  <c r="CU146" i="1"/>
  <c r="DE146" i="1"/>
  <c r="DN146" i="1"/>
  <c r="BT167" i="1"/>
  <c r="CC167" i="1"/>
  <c r="CL167" i="1"/>
  <c r="CU167" i="1"/>
  <c r="DE167" i="1"/>
  <c r="DN167" i="1"/>
  <c r="BT152" i="1"/>
  <c r="CC152" i="1"/>
  <c r="CL152" i="1"/>
  <c r="CU152" i="1"/>
  <c r="DE152" i="1"/>
  <c r="DN152" i="1"/>
  <c r="BT7" i="1"/>
  <c r="CC7" i="1"/>
  <c r="CL7" i="1"/>
  <c r="CU7" i="1"/>
  <c r="DE7" i="1"/>
  <c r="DN7" i="1"/>
  <c r="CV218" i="1" l="1"/>
  <c r="EB218" i="1" s="1"/>
  <c r="EC218" i="1" s="1"/>
  <c r="CV146" i="1"/>
  <c r="EB146" i="1" s="1"/>
  <c r="EC146" i="1" s="1"/>
  <c r="CV167" i="1"/>
  <c r="EB167" i="1" s="1"/>
  <c r="EC167" i="1" s="1"/>
  <c r="CV152" i="1"/>
  <c r="EB152" i="1" s="1"/>
  <c r="EC152" i="1" s="1"/>
  <c r="CV7" i="1"/>
  <c r="EB7" i="1" s="1"/>
  <c r="EC7" i="1" s="1"/>
  <c r="BT95" i="1"/>
  <c r="CC95" i="1"/>
  <c r="CL95" i="1"/>
  <c r="CU95" i="1"/>
  <c r="DE95" i="1"/>
  <c r="DN95" i="1"/>
  <c r="BT67" i="1"/>
  <c r="CC67" i="1"/>
  <c r="CL67" i="1"/>
  <c r="CU67" i="1"/>
  <c r="DE67" i="1"/>
  <c r="DN67" i="1"/>
  <c r="BT238" i="1"/>
  <c r="CC238" i="1"/>
  <c r="CL238" i="1"/>
  <c r="CU238" i="1"/>
  <c r="DE238" i="1"/>
  <c r="DN238" i="1"/>
  <c r="DN188" i="1"/>
  <c r="DE188" i="1"/>
  <c r="BT188" i="1"/>
  <c r="CC188" i="1"/>
  <c r="CL188" i="1"/>
  <c r="CU188" i="1"/>
  <c r="BT15" i="1"/>
  <c r="CC15" i="1"/>
  <c r="CL15" i="1"/>
  <c r="CU15" i="1"/>
  <c r="DE15" i="1"/>
  <c r="DN15" i="1"/>
  <c r="BT237" i="1"/>
  <c r="CC237" i="1"/>
  <c r="CL237" i="1"/>
  <c r="CU237" i="1"/>
  <c r="DE237" i="1"/>
  <c r="DN237" i="1"/>
  <c r="BT11" i="1"/>
  <c r="CC11" i="1"/>
  <c r="CL11" i="1"/>
  <c r="CU11" i="1"/>
  <c r="DE11" i="1"/>
  <c r="DN11" i="1"/>
  <c r="BT12" i="1"/>
  <c r="CC12" i="1"/>
  <c r="CL12" i="1"/>
  <c r="CU12" i="1"/>
  <c r="DE12" i="1"/>
  <c r="DN12" i="1"/>
  <c r="BT87" i="1"/>
  <c r="CC87" i="1"/>
  <c r="CL87" i="1"/>
  <c r="CU87" i="1"/>
  <c r="DE87" i="1"/>
  <c r="DN87" i="1"/>
  <c r="BT210" i="1"/>
  <c r="CC210" i="1"/>
  <c r="CL210" i="1"/>
  <c r="CU210" i="1"/>
  <c r="DE210" i="1"/>
  <c r="DN210" i="1"/>
  <c r="BT115" i="1"/>
  <c r="CC115" i="1"/>
  <c r="CL115" i="1"/>
  <c r="CU115" i="1"/>
  <c r="DE115" i="1"/>
  <c r="DN115" i="1"/>
  <c r="BT244" i="1"/>
  <c r="CC244" i="1"/>
  <c r="CL244" i="1"/>
  <c r="CU244" i="1"/>
  <c r="DE244" i="1"/>
  <c r="DN244" i="1"/>
  <c r="DW6" i="1"/>
  <c r="BT8" i="1"/>
  <c r="BT9" i="1"/>
  <c r="BT10" i="1"/>
  <c r="BT13" i="1"/>
  <c r="BT16" i="1"/>
  <c r="BT17" i="1"/>
  <c r="BT18" i="1"/>
  <c r="BT19" i="1"/>
  <c r="BT20" i="1"/>
  <c r="BT21" i="1"/>
  <c r="BT23" i="1"/>
  <c r="BT24" i="1"/>
  <c r="BT27" i="1"/>
  <c r="BT28" i="1"/>
  <c r="BT29" i="1"/>
  <c r="BT30" i="1"/>
  <c r="BT31" i="1"/>
  <c r="BT33" i="1"/>
  <c r="BT34" i="1"/>
  <c r="BT35" i="1"/>
  <c r="BT36" i="1"/>
  <c r="BT37" i="1"/>
  <c r="BT38" i="1"/>
  <c r="BT39" i="1"/>
  <c r="BT177" i="1"/>
  <c r="BT40" i="1"/>
  <c r="BT41" i="1"/>
  <c r="BT42" i="1"/>
  <c r="BT43" i="1"/>
  <c r="BT44" i="1"/>
  <c r="BT46" i="1"/>
  <c r="BT47" i="1"/>
  <c r="BT48" i="1"/>
  <c r="BT49" i="1"/>
  <c r="BT50" i="1"/>
  <c r="BT52" i="1"/>
  <c r="BT54" i="1"/>
  <c r="BT53" i="1"/>
  <c r="BT55" i="1"/>
  <c r="BT57" i="1"/>
  <c r="BT58" i="1"/>
  <c r="BT59" i="1"/>
  <c r="BT60" i="1"/>
  <c r="BT61" i="1"/>
  <c r="BT62" i="1"/>
  <c r="BT63" i="1"/>
  <c r="BT64" i="1"/>
  <c r="BT66" i="1"/>
  <c r="BT68" i="1"/>
  <c r="BT69" i="1"/>
  <c r="BT71" i="1"/>
  <c r="BT72" i="1"/>
  <c r="BT73" i="1"/>
  <c r="BT74" i="1"/>
  <c r="BT75" i="1"/>
  <c r="BT76" i="1"/>
  <c r="BT77" i="1"/>
  <c r="BT78" i="1"/>
  <c r="BT79" i="1"/>
  <c r="BT80" i="1"/>
  <c r="BT81" i="1"/>
  <c r="BT83" i="1"/>
  <c r="BT84" i="1"/>
  <c r="BT88" i="1"/>
  <c r="BT90" i="1"/>
  <c r="BT91" i="1"/>
  <c r="BT92" i="1"/>
  <c r="BT93" i="1"/>
  <c r="BT94" i="1"/>
  <c r="BT96" i="1"/>
  <c r="BT97" i="1"/>
  <c r="BT98" i="1"/>
  <c r="BT99" i="1"/>
  <c r="BT100" i="1"/>
  <c r="BT101" i="1"/>
  <c r="BT102" i="1"/>
  <c r="BT103" i="1"/>
  <c r="BT104" i="1"/>
  <c r="BT105" i="1"/>
  <c r="BT106" i="1"/>
  <c r="BT107" i="1"/>
  <c r="BT108" i="1"/>
  <c r="BT109" i="1"/>
  <c r="BT110" i="1"/>
  <c r="BT111" i="1"/>
  <c r="BT112" i="1"/>
  <c r="BT113" i="1"/>
  <c r="BT114" i="1"/>
  <c r="BT116" i="1"/>
  <c r="BT117" i="1"/>
  <c r="BT118" i="1"/>
  <c r="BT119" i="1"/>
  <c r="BT120" i="1"/>
  <c r="BT121" i="1"/>
  <c r="BT122" i="1"/>
  <c r="BT124" i="1"/>
  <c r="BT125" i="1"/>
  <c r="BT126" i="1"/>
  <c r="BT127" i="1"/>
  <c r="BT128" i="1"/>
  <c r="BT129" i="1"/>
  <c r="BT130" i="1"/>
  <c r="BT131" i="1"/>
  <c r="BT132" i="1"/>
  <c r="BT133" i="1"/>
  <c r="BT134" i="1"/>
  <c r="BT135" i="1"/>
  <c r="BT136" i="1"/>
  <c r="BT137" i="1"/>
  <c r="BT138" i="1"/>
  <c r="BT139" i="1"/>
  <c r="BT140" i="1"/>
  <c r="BT141" i="1"/>
  <c r="BT143" i="1"/>
  <c r="BT144" i="1"/>
  <c r="BT145" i="1"/>
  <c r="BT147" i="1"/>
  <c r="BT148" i="1"/>
  <c r="BT149" i="1"/>
  <c r="BT150" i="1"/>
  <c r="BT151" i="1"/>
  <c r="BT153" i="1"/>
  <c r="BT155" i="1"/>
  <c r="BT157" i="1"/>
  <c r="BT158" i="1"/>
  <c r="BT159" i="1"/>
  <c r="BT160" i="1"/>
  <c r="BT162" i="1"/>
  <c r="BT163" i="1"/>
  <c r="BT166" i="1"/>
  <c r="BT168" i="1"/>
  <c r="BT169" i="1"/>
  <c r="BT170" i="1"/>
  <c r="BT171" i="1"/>
  <c r="BT172" i="1"/>
  <c r="BT173" i="1"/>
  <c r="BT174" i="1"/>
  <c r="BT175" i="1"/>
  <c r="BT176" i="1"/>
  <c r="BT181" i="1"/>
  <c r="BT182" i="1"/>
  <c r="BT183" i="1"/>
  <c r="BT184" i="1"/>
  <c r="BT185" i="1"/>
  <c r="BT186" i="1"/>
  <c r="BT187" i="1"/>
  <c r="BT189" i="1"/>
  <c r="BT190" i="1"/>
  <c r="BT191" i="1"/>
  <c r="BT192" i="1"/>
  <c r="BT193" i="1"/>
  <c r="BT194" i="1"/>
  <c r="BT196" i="1"/>
  <c r="BT197" i="1"/>
  <c r="BT198" i="1"/>
  <c r="BT199" i="1"/>
  <c r="BT200" i="1"/>
  <c r="BT201" i="1"/>
  <c r="BT202" i="1"/>
  <c r="BT203" i="1"/>
  <c r="BT204" i="1"/>
  <c r="BT205" i="1"/>
  <c r="BT206" i="1"/>
  <c r="BT207" i="1"/>
  <c r="BT208" i="1"/>
  <c r="BT209" i="1"/>
  <c r="BT211" i="1"/>
  <c r="BT212" i="1"/>
  <c r="BT213" i="1"/>
  <c r="BT214" i="1"/>
  <c r="BT217" i="1"/>
  <c r="BT219" i="1"/>
  <c r="BT220" i="1"/>
  <c r="BT221" i="1"/>
  <c r="BT222" i="1"/>
  <c r="BT223" i="1"/>
  <c r="BT224" i="1"/>
  <c r="BT225" i="1"/>
  <c r="BT226" i="1"/>
  <c r="BT228" i="1"/>
  <c r="BT229" i="1"/>
  <c r="BT230" i="1"/>
  <c r="BT231" i="1"/>
  <c r="BT232" i="1"/>
  <c r="BT233" i="1"/>
  <c r="BT234" i="1"/>
  <c r="BT235" i="1"/>
  <c r="BT236" i="1"/>
  <c r="BT239" i="1"/>
  <c r="BT241" i="1"/>
  <c r="BT243" i="1"/>
  <c r="CC8" i="1"/>
  <c r="CC9" i="1"/>
  <c r="CC10" i="1"/>
  <c r="CC13" i="1"/>
  <c r="CC16" i="1"/>
  <c r="CC17" i="1"/>
  <c r="CC18" i="1"/>
  <c r="CC19" i="1"/>
  <c r="CC20" i="1"/>
  <c r="CC21" i="1"/>
  <c r="CC23" i="1"/>
  <c r="CC24" i="1"/>
  <c r="CC27" i="1"/>
  <c r="CC28" i="1"/>
  <c r="CC29" i="1"/>
  <c r="CC30" i="1"/>
  <c r="CC31" i="1"/>
  <c r="CC33" i="1"/>
  <c r="CC34" i="1"/>
  <c r="CC35" i="1"/>
  <c r="CC36" i="1"/>
  <c r="CC37" i="1"/>
  <c r="CC38" i="1"/>
  <c r="CC39" i="1"/>
  <c r="CC177" i="1"/>
  <c r="CC40" i="1"/>
  <c r="CC41" i="1"/>
  <c r="CC42" i="1"/>
  <c r="CC43" i="1"/>
  <c r="CC44" i="1"/>
  <c r="CC46" i="1"/>
  <c r="CC47" i="1"/>
  <c r="CC48" i="1"/>
  <c r="CC49" i="1"/>
  <c r="CC50" i="1"/>
  <c r="CC52" i="1"/>
  <c r="CC54" i="1"/>
  <c r="CC53" i="1"/>
  <c r="CC55" i="1"/>
  <c r="CC57" i="1"/>
  <c r="CC58" i="1"/>
  <c r="CC59" i="1"/>
  <c r="CC60" i="1"/>
  <c r="CC61" i="1"/>
  <c r="CC62" i="1"/>
  <c r="CC63" i="1"/>
  <c r="CC64" i="1"/>
  <c r="CC66" i="1"/>
  <c r="CC68" i="1"/>
  <c r="CC69" i="1"/>
  <c r="CC71" i="1"/>
  <c r="CC72" i="1"/>
  <c r="CC73" i="1"/>
  <c r="CC74" i="1"/>
  <c r="CC75" i="1"/>
  <c r="CC76" i="1"/>
  <c r="CC77" i="1"/>
  <c r="CC78" i="1"/>
  <c r="CC79" i="1"/>
  <c r="CC80" i="1"/>
  <c r="CC81" i="1"/>
  <c r="CC83" i="1"/>
  <c r="CC84" i="1"/>
  <c r="CC88" i="1"/>
  <c r="CC90" i="1"/>
  <c r="CC91" i="1"/>
  <c r="CC92" i="1"/>
  <c r="CC93" i="1"/>
  <c r="CC94" i="1"/>
  <c r="CC96" i="1"/>
  <c r="CC97" i="1"/>
  <c r="CC98" i="1"/>
  <c r="CC99" i="1"/>
  <c r="CC100" i="1"/>
  <c r="CC101" i="1"/>
  <c r="CC102" i="1"/>
  <c r="CC103" i="1"/>
  <c r="CC104" i="1"/>
  <c r="CC105" i="1"/>
  <c r="CC106" i="1"/>
  <c r="CC107" i="1"/>
  <c r="CC108" i="1"/>
  <c r="CC109" i="1"/>
  <c r="CC110" i="1"/>
  <c r="CC111" i="1"/>
  <c r="CC112" i="1"/>
  <c r="CC113" i="1"/>
  <c r="CC114" i="1"/>
  <c r="CC116" i="1"/>
  <c r="CC117" i="1"/>
  <c r="CC118" i="1"/>
  <c r="CC119" i="1"/>
  <c r="CC120" i="1"/>
  <c r="CC121" i="1"/>
  <c r="CC122" i="1"/>
  <c r="CC124" i="1"/>
  <c r="CC125" i="1"/>
  <c r="CC126" i="1"/>
  <c r="CC127" i="1"/>
  <c r="CC128" i="1"/>
  <c r="CC129" i="1"/>
  <c r="CC130" i="1"/>
  <c r="CC131" i="1"/>
  <c r="CC132" i="1"/>
  <c r="CC133" i="1"/>
  <c r="CC134" i="1"/>
  <c r="CC135" i="1"/>
  <c r="CC136" i="1"/>
  <c r="CC137" i="1"/>
  <c r="CC138" i="1"/>
  <c r="CC139" i="1"/>
  <c r="CC140" i="1"/>
  <c r="CC141" i="1"/>
  <c r="CC143" i="1"/>
  <c r="CC144" i="1"/>
  <c r="CC145" i="1"/>
  <c r="CC147" i="1"/>
  <c r="CC148" i="1"/>
  <c r="CC149" i="1"/>
  <c r="CC150" i="1"/>
  <c r="CC151" i="1"/>
  <c r="CC153" i="1"/>
  <c r="CC155" i="1"/>
  <c r="CC157" i="1"/>
  <c r="CC158" i="1"/>
  <c r="CC159" i="1"/>
  <c r="CC160" i="1"/>
  <c r="CC162" i="1"/>
  <c r="CC163" i="1"/>
  <c r="CC166" i="1"/>
  <c r="CC168" i="1"/>
  <c r="CC169" i="1"/>
  <c r="CC170" i="1"/>
  <c r="CC171" i="1"/>
  <c r="CC172" i="1"/>
  <c r="CC173" i="1"/>
  <c r="CC174" i="1"/>
  <c r="CC175" i="1"/>
  <c r="CC176" i="1"/>
  <c r="CC181" i="1"/>
  <c r="CC182" i="1"/>
  <c r="CC183" i="1"/>
  <c r="CC184" i="1"/>
  <c r="CC185" i="1"/>
  <c r="CC186" i="1"/>
  <c r="CC187" i="1"/>
  <c r="CC189" i="1"/>
  <c r="CC190" i="1"/>
  <c r="CC191" i="1"/>
  <c r="CC192" i="1"/>
  <c r="CC193" i="1"/>
  <c r="CC194" i="1"/>
  <c r="CC196" i="1"/>
  <c r="CC197" i="1"/>
  <c r="CC198" i="1"/>
  <c r="CC199" i="1"/>
  <c r="CC200" i="1"/>
  <c r="CC201" i="1"/>
  <c r="CC202" i="1"/>
  <c r="CC203" i="1"/>
  <c r="CC204" i="1"/>
  <c r="CC205" i="1"/>
  <c r="CC206" i="1"/>
  <c r="CC207" i="1"/>
  <c r="CC208" i="1"/>
  <c r="CC209" i="1"/>
  <c r="CC211" i="1"/>
  <c r="CC212" i="1"/>
  <c r="CC213" i="1"/>
  <c r="CC214" i="1"/>
  <c r="CC217" i="1"/>
  <c r="CC219" i="1"/>
  <c r="CC220" i="1"/>
  <c r="CC221" i="1"/>
  <c r="CC223" i="1"/>
  <c r="CC224" i="1"/>
  <c r="CC225" i="1"/>
  <c r="CC228" i="1"/>
  <c r="CC229" i="1"/>
  <c r="CC230" i="1"/>
  <c r="CC231" i="1"/>
  <c r="CC232" i="1"/>
  <c r="CC233" i="1"/>
  <c r="CC234" i="1"/>
  <c r="CC235" i="1"/>
  <c r="CC236" i="1"/>
  <c r="CC239" i="1"/>
  <c r="CC240" i="1"/>
  <c r="CC241" i="1"/>
  <c r="CC243" i="1"/>
  <c r="CL8" i="1"/>
  <c r="CL9" i="1"/>
  <c r="CL10" i="1"/>
  <c r="CL13" i="1"/>
  <c r="CL16" i="1"/>
  <c r="CL17" i="1"/>
  <c r="CL18" i="1"/>
  <c r="CL19" i="1"/>
  <c r="CL20" i="1"/>
  <c r="CL21" i="1"/>
  <c r="CL23" i="1"/>
  <c r="CL24" i="1"/>
  <c r="CL27" i="1"/>
  <c r="CL28" i="1"/>
  <c r="CL29" i="1"/>
  <c r="CL30" i="1"/>
  <c r="CL31" i="1"/>
  <c r="CL33" i="1"/>
  <c r="CL34" i="1"/>
  <c r="CL35" i="1"/>
  <c r="CL36" i="1"/>
  <c r="CL37" i="1"/>
  <c r="CL38" i="1"/>
  <c r="CL39" i="1"/>
  <c r="CL177" i="1"/>
  <c r="CL40" i="1"/>
  <c r="CL41" i="1"/>
  <c r="CL42" i="1"/>
  <c r="CL43" i="1"/>
  <c r="CL44" i="1"/>
  <c r="CL46" i="1"/>
  <c r="CL47" i="1"/>
  <c r="CL48" i="1"/>
  <c r="CL49" i="1"/>
  <c r="CL50" i="1"/>
  <c r="CL52" i="1"/>
  <c r="CL54" i="1"/>
  <c r="CL53" i="1"/>
  <c r="CL55" i="1"/>
  <c r="CL57" i="1"/>
  <c r="CL58" i="1"/>
  <c r="CL59" i="1"/>
  <c r="CL60" i="1"/>
  <c r="CL61" i="1"/>
  <c r="CL62" i="1"/>
  <c r="CL63" i="1"/>
  <c r="CL64" i="1"/>
  <c r="CL66" i="1"/>
  <c r="CL68" i="1"/>
  <c r="CL69" i="1"/>
  <c r="CL71" i="1"/>
  <c r="CL72" i="1"/>
  <c r="CL73" i="1"/>
  <c r="CL74" i="1"/>
  <c r="CL75" i="1"/>
  <c r="CL76" i="1"/>
  <c r="CL77" i="1"/>
  <c r="CL78" i="1"/>
  <c r="CL79" i="1"/>
  <c r="CL80" i="1"/>
  <c r="CL81" i="1"/>
  <c r="CL83" i="1"/>
  <c r="CL84" i="1"/>
  <c r="CL88" i="1"/>
  <c r="CL90" i="1"/>
  <c r="CL91" i="1"/>
  <c r="CL92" i="1"/>
  <c r="CL93" i="1"/>
  <c r="CL94" i="1"/>
  <c r="CL96" i="1"/>
  <c r="CL97" i="1"/>
  <c r="CL98" i="1"/>
  <c r="CL99" i="1"/>
  <c r="CL100" i="1"/>
  <c r="CL101" i="1"/>
  <c r="CL102" i="1"/>
  <c r="CL103" i="1"/>
  <c r="CL104" i="1"/>
  <c r="CL105" i="1"/>
  <c r="CL106" i="1"/>
  <c r="CL107" i="1"/>
  <c r="CL108" i="1"/>
  <c r="CL109" i="1"/>
  <c r="CL110" i="1"/>
  <c r="CL111" i="1"/>
  <c r="CL112" i="1"/>
  <c r="CL113" i="1"/>
  <c r="CL114" i="1"/>
  <c r="CL116" i="1"/>
  <c r="CL117" i="1"/>
  <c r="CL118" i="1"/>
  <c r="CL119" i="1"/>
  <c r="CL120" i="1"/>
  <c r="CL121" i="1"/>
  <c r="CL122" i="1"/>
  <c r="CL124" i="1"/>
  <c r="CL125" i="1"/>
  <c r="CL126" i="1"/>
  <c r="CL127" i="1"/>
  <c r="CL128" i="1"/>
  <c r="CL129" i="1"/>
  <c r="CL130" i="1"/>
  <c r="CL131" i="1"/>
  <c r="CL132" i="1"/>
  <c r="CL133" i="1"/>
  <c r="CL134" i="1"/>
  <c r="CL135" i="1"/>
  <c r="CL136" i="1"/>
  <c r="CL137" i="1"/>
  <c r="CL138" i="1"/>
  <c r="CL139" i="1"/>
  <c r="CL140" i="1"/>
  <c r="CL141" i="1"/>
  <c r="CL143" i="1"/>
  <c r="CL144" i="1"/>
  <c r="CL145" i="1"/>
  <c r="CL147" i="1"/>
  <c r="CL148" i="1"/>
  <c r="CL149" i="1"/>
  <c r="CL150" i="1"/>
  <c r="CL151" i="1"/>
  <c r="CL153" i="1"/>
  <c r="CL155" i="1"/>
  <c r="CL157" i="1"/>
  <c r="CL158" i="1"/>
  <c r="CL159" i="1"/>
  <c r="CL160" i="1"/>
  <c r="CL162" i="1"/>
  <c r="CL163" i="1"/>
  <c r="CL166" i="1"/>
  <c r="CL168" i="1"/>
  <c r="CL169" i="1"/>
  <c r="CL170" i="1"/>
  <c r="CL171" i="1"/>
  <c r="CL172" i="1"/>
  <c r="CL173" i="1"/>
  <c r="CL174" i="1"/>
  <c r="CL175" i="1"/>
  <c r="CL176" i="1"/>
  <c r="CL181" i="1"/>
  <c r="CL182" i="1"/>
  <c r="CL183" i="1"/>
  <c r="CL184" i="1"/>
  <c r="CL185" i="1"/>
  <c r="CL186" i="1"/>
  <c r="CL187" i="1"/>
  <c r="CL189" i="1"/>
  <c r="CL190" i="1"/>
  <c r="CL191" i="1"/>
  <c r="CL192" i="1"/>
  <c r="CL193" i="1"/>
  <c r="CL194" i="1"/>
  <c r="CL196" i="1"/>
  <c r="CL197" i="1"/>
  <c r="CL198" i="1"/>
  <c r="CL199" i="1"/>
  <c r="CL200" i="1"/>
  <c r="CL201" i="1"/>
  <c r="CL202" i="1"/>
  <c r="CL203" i="1"/>
  <c r="CL204" i="1"/>
  <c r="CL205" i="1"/>
  <c r="CL206" i="1"/>
  <c r="CL207" i="1"/>
  <c r="CL208" i="1"/>
  <c r="CL209" i="1"/>
  <c r="CL211" i="1"/>
  <c r="CL212" i="1"/>
  <c r="CL213" i="1"/>
  <c r="CL214" i="1"/>
  <c r="CL217" i="1"/>
  <c r="CL219" i="1"/>
  <c r="CL220" i="1"/>
  <c r="CL221" i="1"/>
  <c r="CL223" i="1"/>
  <c r="CL224" i="1"/>
  <c r="CL225" i="1"/>
  <c r="CL228" i="1"/>
  <c r="CL229" i="1"/>
  <c r="CL230" i="1"/>
  <c r="CL231" i="1"/>
  <c r="CL232" i="1"/>
  <c r="CL233" i="1"/>
  <c r="CL234" i="1"/>
  <c r="CL235" i="1"/>
  <c r="CL236" i="1"/>
  <c r="CL240" i="1"/>
  <c r="CL241" i="1"/>
  <c r="CL243" i="1"/>
  <c r="CU8" i="1"/>
  <c r="CU9" i="1"/>
  <c r="CU10" i="1"/>
  <c r="CU13" i="1"/>
  <c r="CU16" i="1"/>
  <c r="CU17" i="1"/>
  <c r="CU18" i="1"/>
  <c r="CU19" i="1"/>
  <c r="CU20" i="1"/>
  <c r="CU21" i="1"/>
  <c r="CU23" i="1"/>
  <c r="CU24" i="1"/>
  <c r="CU27" i="1"/>
  <c r="CU28" i="1"/>
  <c r="CU29" i="1"/>
  <c r="CU30" i="1"/>
  <c r="CU31" i="1"/>
  <c r="CU33" i="1"/>
  <c r="CU34" i="1"/>
  <c r="CU35" i="1"/>
  <c r="CU36" i="1"/>
  <c r="CU37" i="1"/>
  <c r="CU38" i="1"/>
  <c r="CU39" i="1"/>
  <c r="CU177" i="1"/>
  <c r="CU40" i="1"/>
  <c r="CU41" i="1"/>
  <c r="CU42" i="1"/>
  <c r="CU43" i="1"/>
  <c r="CU44" i="1"/>
  <c r="CU46" i="1"/>
  <c r="CU47" i="1"/>
  <c r="CU48" i="1"/>
  <c r="CU49" i="1"/>
  <c r="CU50" i="1"/>
  <c r="CU52" i="1"/>
  <c r="CU54" i="1"/>
  <c r="CU53" i="1"/>
  <c r="CU55" i="1"/>
  <c r="CU57" i="1"/>
  <c r="CU58" i="1"/>
  <c r="CU59" i="1"/>
  <c r="CU60" i="1"/>
  <c r="CU61" i="1"/>
  <c r="CU62" i="1"/>
  <c r="CU63" i="1"/>
  <c r="CU64" i="1"/>
  <c r="CU66" i="1"/>
  <c r="CU68" i="1"/>
  <c r="CU69" i="1"/>
  <c r="CU71" i="1"/>
  <c r="CU72" i="1"/>
  <c r="CU73" i="1"/>
  <c r="CU74" i="1"/>
  <c r="CU75" i="1"/>
  <c r="CU76" i="1"/>
  <c r="CU77" i="1"/>
  <c r="CU78" i="1"/>
  <c r="CU79" i="1"/>
  <c r="CU80" i="1"/>
  <c r="CU81" i="1"/>
  <c r="CU83" i="1"/>
  <c r="CU84" i="1"/>
  <c r="CU88" i="1"/>
  <c r="CU90" i="1"/>
  <c r="CU91" i="1"/>
  <c r="CU92" i="1"/>
  <c r="CU93" i="1"/>
  <c r="CU94" i="1"/>
  <c r="CU96" i="1"/>
  <c r="CU97" i="1"/>
  <c r="CU98" i="1"/>
  <c r="CU99" i="1"/>
  <c r="CU100" i="1"/>
  <c r="CU101" i="1"/>
  <c r="CU102" i="1"/>
  <c r="CU103" i="1"/>
  <c r="CU104" i="1"/>
  <c r="CU105" i="1"/>
  <c r="CU106" i="1"/>
  <c r="CU107" i="1"/>
  <c r="CU108" i="1"/>
  <c r="CU109" i="1"/>
  <c r="CU110" i="1"/>
  <c r="CU111" i="1"/>
  <c r="CU112" i="1"/>
  <c r="CU113" i="1"/>
  <c r="CU114" i="1"/>
  <c r="CU116" i="1"/>
  <c r="CU117" i="1"/>
  <c r="CU118" i="1"/>
  <c r="CU119" i="1"/>
  <c r="CU120" i="1"/>
  <c r="CU121" i="1"/>
  <c r="CU122" i="1"/>
  <c r="CU124" i="1"/>
  <c r="CU125" i="1"/>
  <c r="CU126" i="1"/>
  <c r="CU127" i="1"/>
  <c r="CU128" i="1"/>
  <c r="CU129" i="1"/>
  <c r="CU130" i="1"/>
  <c r="CU131" i="1"/>
  <c r="CU132" i="1"/>
  <c r="CU133" i="1"/>
  <c r="CU134" i="1"/>
  <c r="CU135" i="1"/>
  <c r="CU136" i="1"/>
  <c r="CU137" i="1"/>
  <c r="CU138" i="1"/>
  <c r="CU139" i="1"/>
  <c r="CU140" i="1"/>
  <c r="CU141" i="1"/>
  <c r="CU143" i="1"/>
  <c r="CU144" i="1"/>
  <c r="CU145" i="1"/>
  <c r="CU147" i="1"/>
  <c r="CU148" i="1"/>
  <c r="CU149" i="1"/>
  <c r="CU150" i="1"/>
  <c r="CU151" i="1"/>
  <c r="CU153" i="1"/>
  <c r="CU155" i="1"/>
  <c r="CU157" i="1"/>
  <c r="CU158" i="1"/>
  <c r="CU159" i="1"/>
  <c r="CU160" i="1"/>
  <c r="CU162" i="1"/>
  <c r="CU163" i="1"/>
  <c r="CU166" i="1"/>
  <c r="CU168" i="1"/>
  <c r="CU169" i="1"/>
  <c r="CU170" i="1"/>
  <c r="CU171" i="1"/>
  <c r="CU172" i="1"/>
  <c r="CU173" i="1"/>
  <c r="CU174" i="1"/>
  <c r="CU175" i="1"/>
  <c r="CU176" i="1"/>
  <c r="CU181" i="1"/>
  <c r="CU182" i="1"/>
  <c r="CU183" i="1"/>
  <c r="CU184" i="1"/>
  <c r="CU185" i="1"/>
  <c r="CU186" i="1"/>
  <c r="CU187" i="1"/>
  <c r="CU189" i="1"/>
  <c r="CU190" i="1"/>
  <c r="CU191" i="1"/>
  <c r="CU192" i="1"/>
  <c r="CU193" i="1"/>
  <c r="CU194" i="1"/>
  <c r="CU196" i="1"/>
  <c r="CU197" i="1"/>
  <c r="CU198" i="1"/>
  <c r="CU199" i="1"/>
  <c r="CU200" i="1"/>
  <c r="CU201" i="1"/>
  <c r="CU202" i="1"/>
  <c r="CU203" i="1"/>
  <c r="CU204" i="1"/>
  <c r="CU205" i="1"/>
  <c r="CU206" i="1"/>
  <c r="CU207" i="1"/>
  <c r="CU208" i="1"/>
  <c r="CU209" i="1"/>
  <c r="CU211" i="1"/>
  <c r="CU212" i="1"/>
  <c r="CU213" i="1"/>
  <c r="CU214" i="1"/>
  <c r="CU217" i="1"/>
  <c r="CU219" i="1"/>
  <c r="CU220" i="1"/>
  <c r="CU221" i="1"/>
  <c r="CU223" i="1"/>
  <c r="CU224" i="1"/>
  <c r="CU225" i="1"/>
  <c r="CU228" i="1"/>
  <c r="CU229" i="1"/>
  <c r="CU230" i="1"/>
  <c r="CU231" i="1"/>
  <c r="CU232" i="1"/>
  <c r="CU233" i="1"/>
  <c r="CU234" i="1"/>
  <c r="CU235" i="1"/>
  <c r="CU236" i="1"/>
  <c r="CU239" i="1"/>
  <c r="CU240" i="1"/>
  <c r="CU241" i="1"/>
  <c r="CU243" i="1"/>
  <c r="DN6" i="1"/>
  <c r="DN8" i="1"/>
  <c r="DN9" i="1"/>
  <c r="DN10" i="1"/>
  <c r="DN13" i="1"/>
  <c r="DN16" i="1"/>
  <c r="DN17" i="1"/>
  <c r="DN18" i="1"/>
  <c r="DN19" i="1"/>
  <c r="DN20" i="1"/>
  <c r="DN21" i="1"/>
  <c r="DN23" i="1"/>
  <c r="DN24" i="1"/>
  <c r="DN27" i="1"/>
  <c r="DN28" i="1"/>
  <c r="DN29" i="1"/>
  <c r="DN30" i="1"/>
  <c r="DN31" i="1"/>
  <c r="DN33" i="1"/>
  <c r="DN34" i="1"/>
  <c r="DN35" i="1"/>
  <c r="DN36" i="1"/>
  <c r="DN37" i="1"/>
  <c r="DN38" i="1"/>
  <c r="DN39" i="1"/>
  <c r="DN177" i="1"/>
  <c r="DN40" i="1"/>
  <c r="DN41" i="1"/>
  <c r="DN42" i="1"/>
  <c r="DN43" i="1"/>
  <c r="DN44" i="1"/>
  <c r="DN46" i="1"/>
  <c r="DN47" i="1"/>
  <c r="DN48" i="1"/>
  <c r="DN49" i="1"/>
  <c r="DN50" i="1"/>
  <c r="DN52" i="1"/>
  <c r="DN54" i="1"/>
  <c r="DN53" i="1"/>
  <c r="DN55" i="1"/>
  <c r="DN57" i="1"/>
  <c r="DN58" i="1"/>
  <c r="DN59" i="1"/>
  <c r="DN60" i="1"/>
  <c r="DN61" i="1"/>
  <c r="DN62" i="1"/>
  <c r="DN63" i="1"/>
  <c r="DN64" i="1"/>
  <c r="DN66" i="1"/>
  <c r="DN68" i="1"/>
  <c r="DN69" i="1"/>
  <c r="DN70" i="1"/>
  <c r="DN71" i="1"/>
  <c r="DN72" i="1"/>
  <c r="DN73" i="1"/>
  <c r="DN74" i="1"/>
  <c r="DN75" i="1"/>
  <c r="DN76" i="1"/>
  <c r="DN77" i="1"/>
  <c r="DN78" i="1"/>
  <c r="DN79" i="1"/>
  <c r="DN80" i="1"/>
  <c r="DN81" i="1"/>
  <c r="DN83" i="1"/>
  <c r="DN84" i="1"/>
  <c r="DN88" i="1"/>
  <c r="DN90" i="1"/>
  <c r="DN91" i="1"/>
  <c r="DN92" i="1"/>
  <c r="DN93" i="1"/>
  <c r="DN94" i="1"/>
  <c r="DN96" i="1"/>
  <c r="DN97" i="1"/>
  <c r="DN98" i="1"/>
  <c r="DN99" i="1"/>
  <c r="DN100" i="1"/>
  <c r="DN101" i="1"/>
  <c r="DN102" i="1"/>
  <c r="DN103" i="1"/>
  <c r="DN104" i="1"/>
  <c r="DN105" i="1"/>
  <c r="DN106" i="1"/>
  <c r="DN107" i="1"/>
  <c r="DN108" i="1"/>
  <c r="DN109" i="1"/>
  <c r="DN110" i="1"/>
  <c r="DN111" i="1"/>
  <c r="DN112" i="1"/>
  <c r="DN113" i="1"/>
  <c r="DN114" i="1"/>
  <c r="DN116" i="1"/>
  <c r="DN117" i="1"/>
  <c r="DN118" i="1"/>
  <c r="DN119" i="1"/>
  <c r="DN120" i="1"/>
  <c r="DN121" i="1"/>
  <c r="DN122" i="1"/>
  <c r="DN124" i="1"/>
  <c r="DN125" i="1"/>
  <c r="DN126" i="1"/>
  <c r="DN127" i="1"/>
  <c r="DN128" i="1"/>
  <c r="DN129" i="1"/>
  <c r="DN130" i="1"/>
  <c r="DN131" i="1"/>
  <c r="DN132" i="1"/>
  <c r="DN133" i="1"/>
  <c r="DN134" i="1"/>
  <c r="DN135" i="1"/>
  <c r="DN136" i="1"/>
  <c r="DN137" i="1"/>
  <c r="DN138" i="1"/>
  <c r="DN139" i="1"/>
  <c r="DN140" i="1"/>
  <c r="DN141" i="1"/>
  <c r="DN143" i="1"/>
  <c r="DN144" i="1"/>
  <c r="DN145" i="1"/>
  <c r="DN147" i="1"/>
  <c r="DN148" i="1"/>
  <c r="DN149" i="1"/>
  <c r="DN150" i="1"/>
  <c r="DN151" i="1"/>
  <c r="DN153" i="1"/>
  <c r="DN155" i="1"/>
  <c r="DN157" i="1"/>
  <c r="DN158" i="1"/>
  <c r="DN159" i="1"/>
  <c r="DN160" i="1"/>
  <c r="DN162" i="1"/>
  <c r="DN163" i="1"/>
  <c r="DN166" i="1"/>
  <c r="DN168" i="1"/>
  <c r="DN169" i="1"/>
  <c r="DN170" i="1"/>
  <c r="DN171" i="1"/>
  <c r="DN172" i="1"/>
  <c r="DN173" i="1"/>
  <c r="DN174" i="1"/>
  <c r="DN175" i="1"/>
  <c r="DN176" i="1"/>
  <c r="DN181" i="1"/>
  <c r="DN182" i="1"/>
  <c r="DN183" i="1"/>
  <c r="DN184" i="1"/>
  <c r="DN185" i="1"/>
  <c r="DN186" i="1"/>
  <c r="DN187" i="1"/>
  <c r="DN189" i="1"/>
  <c r="DN190" i="1"/>
  <c r="DN191" i="1"/>
  <c r="DN192" i="1"/>
  <c r="DN193" i="1"/>
  <c r="DN194" i="1"/>
  <c r="DN196" i="1"/>
  <c r="DN197" i="1"/>
  <c r="DN198" i="1"/>
  <c r="DN199" i="1"/>
  <c r="DN200" i="1"/>
  <c r="DN201" i="1"/>
  <c r="DN202" i="1"/>
  <c r="DN203" i="1"/>
  <c r="DN204" i="1"/>
  <c r="DN205" i="1"/>
  <c r="DN206" i="1"/>
  <c r="DN207" i="1"/>
  <c r="DN208" i="1"/>
  <c r="DN209" i="1"/>
  <c r="DN211" i="1"/>
  <c r="DN212" i="1"/>
  <c r="DN213" i="1"/>
  <c r="DN214" i="1"/>
  <c r="DN217" i="1"/>
  <c r="DN219" i="1"/>
  <c r="DN220" i="1"/>
  <c r="DN221" i="1"/>
  <c r="DN222" i="1"/>
  <c r="DN223" i="1"/>
  <c r="DN224" i="1"/>
  <c r="DN225" i="1"/>
  <c r="DN226" i="1"/>
  <c r="DN228" i="1"/>
  <c r="DN229" i="1"/>
  <c r="DN230" i="1"/>
  <c r="DN231" i="1"/>
  <c r="DN232" i="1"/>
  <c r="DN233" i="1"/>
  <c r="DN234" i="1"/>
  <c r="DN235" i="1"/>
  <c r="DN236" i="1"/>
  <c r="DN239" i="1"/>
  <c r="DN240" i="1"/>
  <c r="DN241" i="1"/>
  <c r="DN243" i="1"/>
  <c r="DE9" i="1"/>
  <c r="DE10" i="1"/>
  <c r="DE13" i="1"/>
  <c r="DE16" i="1"/>
  <c r="DE17" i="1"/>
  <c r="DE18" i="1"/>
  <c r="DE19" i="1"/>
  <c r="DE20" i="1"/>
  <c r="DE21" i="1"/>
  <c r="DE23" i="1"/>
  <c r="DE24" i="1"/>
  <c r="DE27" i="1"/>
  <c r="DE28" i="1"/>
  <c r="DE29" i="1"/>
  <c r="DE30" i="1"/>
  <c r="DE31" i="1"/>
  <c r="DE33" i="1"/>
  <c r="DE34" i="1"/>
  <c r="DE35" i="1"/>
  <c r="DE36" i="1"/>
  <c r="DE37" i="1"/>
  <c r="DE38" i="1"/>
  <c r="DE39" i="1"/>
  <c r="DE177" i="1"/>
  <c r="DE40" i="1"/>
  <c r="DE41" i="1"/>
  <c r="DE42" i="1"/>
  <c r="DE43" i="1"/>
  <c r="DE44" i="1"/>
  <c r="DE46" i="1"/>
  <c r="DE47" i="1"/>
  <c r="DE48" i="1"/>
  <c r="DE49" i="1"/>
  <c r="DE50" i="1"/>
  <c r="DE52" i="1"/>
  <c r="DE54" i="1"/>
  <c r="DE53" i="1"/>
  <c r="DE55" i="1"/>
  <c r="DE57" i="1"/>
  <c r="DE58" i="1"/>
  <c r="DE59" i="1"/>
  <c r="DE60" i="1"/>
  <c r="DE61" i="1"/>
  <c r="DE62" i="1"/>
  <c r="DE63" i="1"/>
  <c r="DE64" i="1"/>
  <c r="DE66" i="1"/>
  <c r="DE68" i="1"/>
  <c r="DE69" i="1"/>
  <c r="DE70" i="1"/>
  <c r="DE71" i="1"/>
  <c r="DE72" i="1"/>
  <c r="DE73" i="1"/>
  <c r="DE74" i="1"/>
  <c r="DE75" i="1"/>
  <c r="DE76" i="1"/>
  <c r="DE77" i="1"/>
  <c r="DE78" i="1"/>
  <c r="DE79" i="1"/>
  <c r="DE80" i="1"/>
  <c r="DE81" i="1"/>
  <c r="DE83" i="1"/>
  <c r="DE84" i="1"/>
  <c r="DE88" i="1"/>
  <c r="DE90" i="1"/>
  <c r="DE91" i="1"/>
  <c r="DE92" i="1"/>
  <c r="DE93" i="1"/>
  <c r="DE94" i="1"/>
  <c r="DE96" i="1"/>
  <c r="DE97" i="1"/>
  <c r="DE98" i="1"/>
  <c r="DE99" i="1"/>
  <c r="DE100" i="1"/>
  <c r="DE101" i="1"/>
  <c r="DE102" i="1"/>
  <c r="DE103" i="1"/>
  <c r="DE104" i="1"/>
  <c r="DE105" i="1"/>
  <c r="DE106" i="1"/>
  <c r="DE107" i="1"/>
  <c r="DE108" i="1"/>
  <c r="DE109" i="1"/>
  <c r="DE110" i="1"/>
  <c r="DE111" i="1"/>
  <c r="DE112" i="1"/>
  <c r="DE113" i="1"/>
  <c r="DE114" i="1"/>
  <c r="DE116" i="1"/>
  <c r="DE117" i="1"/>
  <c r="DE118" i="1"/>
  <c r="DE119" i="1"/>
  <c r="DE120" i="1"/>
  <c r="DE121" i="1"/>
  <c r="DE122" i="1"/>
  <c r="DE124" i="1"/>
  <c r="DE125" i="1"/>
  <c r="DE126" i="1"/>
  <c r="DE127" i="1"/>
  <c r="DE128" i="1"/>
  <c r="DE129" i="1"/>
  <c r="DE130" i="1"/>
  <c r="DE131" i="1"/>
  <c r="DE132" i="1"/>
  <c r="DE133" i="1"/>
  <c r="DE134" i="1"/>
  <c r="DE135" i="1"/>
  <c r="DE136" i="1"/>
  <c r="DE137" i="1"/>
  <c r="DE138" i="1"/>
  <c r="DE139" i="1"/>
  <c r="DE140" i="1"/>
  <c r="DE141" i="1"/>
  <c r="DE143" i="1"/>
  <c r="DE144" i="1"/>
  <c r="DE145" i="1"/>
  <c r="DE147" i="1"/>
  <c r="DE148" i="1"/>
  <c r="DE149" i="1"/>
  <c r="DE150" i="1"/>
  <c r="DE151" i="1"/>
  <c r="DE153" i="1"/>
  <c r="DE155" i="1"/>
  <c r="DE157" i="1"/>
  <c r="DE158" i="1"/>
  <c r="DE159" i="1"/>
  <c r="DE160" i="1"/>
  <c r="DE162" i="1"/>
  <c r="DE163" i="1"/>
  <c r="DE166" i="1"/>
  <c r="DE168" i="1"/>
  <c r="DE169" i="1"/>
  <c r="DE170" i="1"/>
  <c r="DE171" i="1"/>
  <c r="DE172" i="1"/>
  <c r="DE173" i="1"/>
  <c r="DE174" i="1"/>
  <c r="DE175" i="1"/>
  <c r="DE176" i="1"/>
  <c r="DE181" i="1"/>
  <c r="DE182" i="1"/>
  <c r="DE183" i="1"/>
  <c r="DE184" i="1"/>
  <c r="DE185" i="1"/>
  <c r="DE186" i="1"/>
  <c r="DE187" i="1"/>
  <c r="DE189" i="1"/>
  <c r="DE190" i="1"/>
  <c r="DE191" i="1"/>
  <c r="DE192" i="1"/>
  <c r="DE193" i="1"/>
  <c r="DE194" i="1"/>
  <c r="DE196" i="1"/>
  <c r="DE197" i="1"/>
  <c r="DE198" i="1"/>
  <c r="DE199" i="1"/>
  <c r="DE200" i="1"/>
  <c r="DE201" i="1"/>
  <c r="DE202" i="1"/>
  <c r="DE203" i="1"/>
  <c r="DE204" i="1"/>
  <c r="DE205" i="1"/>
  <c r="DE206" i="1"/>
  <c r="DE207" i="1"/>
  <c r="DE208" i="1"/>
  <c r="DE209" i="1"/>
  <c r="DE211" i="1"/>
  <c r="DE212" i="1"/>
  <c r="DE213" i="1"/>
  <c r="DE214" i="1"/>
  <c r="DE217" i="1"/>
  <c r="DE219" i="1"/>
  <c r="DE220" i="1"/>
  <c r="DE221" i="1"/>
  <c r="DE222" i="1"/>
  <c r="DE223" i="1"/>
  <c r="DE224" i="1"/>
  <c r="DE225" i="1"/>
  <c r="DE226" i="1"/>
  <c r="DE228" i="1"/>
  <c r="DE229" i="1"/>
  <c r="DE230" i="1"/>
  <c r="DE231" i="1"/>
  <c r="DE232" i="1"/>
  <c r="DE233" i="1"/>
  <c r="DE234" i="1"/>
  <c r="DE235" i="1"/>
  <c r="DE236" i="1"/>
  <c r="DE239" i="1"/>
  <c r="DE240" i="1"/>
  <c r="DE241" i="1"/>
  <c r="DE243" i="1"/>
  <c r="DE6" i="1"/>
  <c r="DE8" i="1"/>
  <c r="CV6" i="1"/>
  <c r="EA6" i="1"/>
  <c r="EA248" i="1" s="1"/>
  <c r="DY6" i="1"/>
  <c r="DY248" i="1" s="1"/>
  <c r="AZ6" i="1"/>
  <c r="AZ248" i="1" s="1"/>
  <c r="AX6" i="1"/>
  <c r="AX248" i="1" s="1"/>
  <c r="AV6" i="1"/>
  <c r="AV248" i="1" s="1"/>
  <c r="AT6" i="1"/>
  <c r="AT248" i="1" s="1"/>
  <c r="AQ6" i="1"/>
  <c r="AQ248" i="1" s="1"/>
  <c r="A2" i="1"/>
  <c r="AR6" i="1" l="1"/>
  <c r="DE248" i="1"/>
  <c r="DN248" i="1"/>
  <c r="CC248" i="1"/>
  <c r="CL248" i="1"/>
  <c r="BT248" i="1"/>
  <c r="CU248" i="1"/>
  <c r="DW244" i="1"/>
  <c r="DW248" i="1" s="1"/>
  <c r="DX250" i="1"/>
  <c r="DZ250" i="1"/>
  <c r="AL6" i="1"/>
  <c r="E6" i="21" s="1"/>
  <c r="CV119" i="1"/>
  <c r="EB119" i="1" s="1"/>
  <c r="EC119" i="1" s="1"/>
  <c r="CV235" i="1"/>
  <c r="EB235" i="1" s="1"/>
  <c r="EC235" i="1" s="1"/>
  <c r="CV211" i="1"/>
  <c r="EB211" i="1" s="1"/>
  <c r="EC211" i="1" s="1"/>
  <c r="CV204" i="1"/>
  <c r="EB204" i="1" s="1"/>
  <c r="EC204" i="1" s="1"/>
  <c r="CV197" i="1"/>
  <c r="EB197" i="1" s="1"/>
  <c r="EC197" i="1" s="1"/>
  <c r="CV190" i="1"/>
  <c r="EB190" i="1" s="1"/>
  <c r="EC190" i="1" s="1"/>
  <c r="CV181" i="1"/>
  <c r="EB181" i="1" s="1"/>
  <c r="EC181" i="1" s="1"/>
  <c r="CV222" i="1"/>
  <c r="EB222" i="1" s="1"/>
  <c r="EC222" i="1" s="1"/>
  <c r="CV144" i="1"/>
  <c r="EB144" i="1" s="1"/>
  <c r="EC144" i="1" s="1"/>
  <c r="CV84" i="1"/>
  <c r="EB84" i="1" s="1"/>
  <c r="EC84" i="1" s="1"/>
  <c r="CV53" i="1"/>
  <c r="EB53" i="1" s="1"/>
  <c r="EC53" i="1" s="1"/>
  <c r="CV21" i="1"/>
  <c r="EB21" i="1" s="1"/>
  <c r="EC21" i="1" s="1"/>
  <c r="CV223" i="1"/>
  <c r="EB223" i="1" s="1"/>
  <c r="EC223" i="1" s="1"/>
  <c r="CV191" i="1"/>
  <c r="EB191" i="1" s="1"/>
  <c r="EC191" i="1" s="1"/>
  <c r="CV230" i="1"/>
  <c r="EB230" i="1" s="1"/>
  <c r="EC230" i="1" s="1"/>
  <c r="CV173" i="1"/>
  <c r="EB173" i="1" s="1"/>
  <c r="EC173" i="1" s="1"/>
  <c r="CV166" i="1"/>
  <c r="EB166" i="1" s="1"/>
  <c r="EC166" i="1" s="1"/>
  <c r="CV153" i="1"/>
  <c r="EB153" i="1" s="1"/>
  <c r="EC153" i="1" s="1"/>
  <c r="CV143" i="1"/>
  <c r="EB143" i="1" s="1"/>
  <c r="EC143" i="1" s="1"/>
  <c r="CV136" i="1"/>
  <c r="EB136" i="1" s="1"/>
  <c r="EC136" i="1" s="1"/>
  <c r="CV125" i="1"/>
  <c r="EB125" i="1" s="1"/>
  <c r="EC125" i="1" s="1"/>
  <c r="CV118" i="1"/>
  <c r="EB118" i="1" s="1"/>
  <c r="EC118" i="1" s="1"/>
  <c r="CV111" i="1"/>
  <c r="EB111" i="1" s="1"/>
  <c r="EC111" i="1" s="1"/>
  <c r="CV103" i="1"/>
  <c r="EB103" i="1" s="1"/>
  <c r="EC103" i="1" s="1"/>
  <c r="CV94" i="1"/>
  <c r="EB94" i="1" s="1"/>
  <c r="EC94" i="1" s="1"/>
  <c r="CV78" i="1"/>
  <c r="EB78" i="1" s="1"/>
  <c r="EC78" i="1" s="1"/>
  <c r="EB70" i="1"/>
  <c r="EC70" i="1" s="1"/>
  <c r="CV60" i="1"/>
  <c r="EB60" i="1" s="1"/>
  <c r="EC60" i="1" s="1"/>
  <c r="CV54" i="1"/>
  <c r="EB54" i="1" s="1"/>
  <c r="EC54" i="1" s="1"/>
  <c r="CV43" i="1"/>
  <c r="EB43" i="1" s="1"/>
  <c r="EC43" i="1" s="1"/>
  <c r="CV38" i="1"/>
  <c r="EB38" i="1" s="1"/>
  <c r="EC38" i="1" s="1"/>
  <c r="CV31" i="1"/>
  <c r="EB31" i="1" s="1"/>
  <c r="EC31" i="1" s="1"/>
  <c r="CV20" i="1"/>
  <c r="EB20" i="1" s="1"/>
  <c r="EC20" i="1" s="1"/>
  <c r="CV236" i="1"/>
  <c r="EB236" i="1" s="1"/>
  <c r="EC236" i="1" s="1"/>
  <c r="CV212" i="1"/>
  <c r="EB212" i="1" s="1"/>
  <c r="EC212" i="1" s="1"/>
  <c r="CV198" i="1"/>
  <c r="EB198" i="1" s="1"/>
  <c r="EC198" i="1" s="1"/>
  <c r="CV182" i="1"/>
  <c r="EB182" i="1" s="1"/>
  <c r="EC182" i="1" s="1"/>
  <c r="CV155" i="1"/>
  <c r="EB155" i="1" s="1"/>
  <c r="EC155" i="1" s="1"/>
  <c r="CV137" i="1"/>
  <c r="EB137" i="1" s="1"/>
  <c r="EC137" i="1" s="1"/>
  <c r="CV126" i="1"/>
  <c r="EB126" i="1" s="1"/>
  <c r="EC126" i="1" s="1"/>
  <c r="CV112" i="1"/>
  <c r="EB112" i="1" s="1"/>
  <c r="EC112" i="1" s="1"/>
  <c r="CV104" i="1"/>
  <c r="EB104" i="1" s="1"/>
  <c r="EC104" i="1" s="1"/>
  <c r="CV96" i="1"/>
  <c r="EB96" i="1" s="1"/>
  <c r="EC96" i="1" s="1"/>
  <c r="CV79" i="1"/>
  <c r="EB79" i="1" s="1"/>
  <c r="EC79" i="1" s="1"/>
  <c r="CV71" i="1"/>
  <c r="EB71" i="1" s="1"/>
  <c r="EC71" i="1" s="1"/>
  <c r="CV61" i="1"/>
  <c r="EB61" i="1" s="1"/>
  <c r="EC61" i="1" s="1"/>
  <c r="CV44" i="1"/>
  <c r="EB44" i="1" s="1"/>
  <c r="EC44" i="1" s="1"/>
  <c r="CV33" i="1"/>
  <c r="EB33" i="1" s="1"/>
  <c r="EC33" i="1" s="1"/>
  <c r="CV13" i="1"/>
  <c r="EB13" i="1" s="1"/>
  <c r="EC13" i="1" s="1"/>
  <c r="CV39" i="1"/>
  <c r="EB39" i="1" s="1"/>
  <c r="EC39" i="1" s="1"/>
  <c r="CV240" i="1"/>
  <c r="EB240" i="1" s="1"/>
  <c r="EC240" i="1" s="1"/>
  <c r="CV139" i="1"/>
  <c r="EB139" i="1" s="1"/>
  <c r="EC139" i="1" s="1"/>
  <c r="CV168" i="1"/>
  <c r="EB168" i="1" s="1"/>
  <c r="EC168" i="1" s="1"/>
  <c r="CV205" i="1"/>
  <c r="EB205" i="1" s="1"/>
  <c r="EC205" i="1" s="1"/>
  <c r="CV114" i="1"/>
  <c r="EB114" i="1" s="1"/>
  <c r="EC114" i="1" s="1"/>
  <c r="CV175" i="1"/>
  <c r="EB175" i="1" s="1"/>
  <c r="EC175" i="1" s="1"/>
  <c r="CV225" i="1"/>
  <c r="EB225" i="1" s="1"/>
  <c r="EC225" i="1" s="1"/>
  <c r="CV162" i="1"/>
  <c r="EB162" i="1" s="1"/>
  <c r="EC162" i="1" s="1"/>
  <c r="CV101" i="1"/>
  <c r="EB101" i="1" s="1"/>
  <c r="EC101" i="1" s="1"/>
  <c r="CV229" i="1"/>
  <c r="EB229" i="1" s="1"/>
  <c r="EC229" i="1" s="1"/>
  <c r="CV232" i="1"/>
  <c r="EB232" i="1" s="1"/>
  <c r="EC232" i="1" s="1"/>
  <c r="CV214" i="1"/>
  <c r="EB214" i="1" s="1"/>
  <c r="EC214" i="1" s="1"/>
  <c r="CV184" i="1"/>
  <c r="EB184" i="1" s="1"/>
  <c r="EC184" i="1" s="1"/>
  <c r="CV158" i="1"/>
  <c r="EB158" i="1" s="1"/>
  <c r="EC158" i="1" s="1"/>
  <c r="CV131" i="1"/>
  <c r="EB131" i="1" s="1"/>
  <c r="EC131" i="1" s="1"/>
  <c r="CV121" i="1"/>
  <c r="EB121" i="1" s="1"/>
  <c r="EC121" i="1" s="1"/>
  <c r="CV106" i="1"/>
  <c r="EB106" i="1" s="1"/>
  <c r="EC106" i="1" s="1"/>
  <c r="CV98" i="1"/>
  <c r="EB98" i="1" s="1"/>
  <c r="EC98" i="1" s="1"/>
  <c r="CV73" i="1"/>
  <c r="EB73" i="1" s="1"/>
  <c r="EC73" i="1" s="1"/>
  <c r="CV63" i="1"/>
  <c r="EB63" i="1" s="1"/>
  <c r="EC63" i="1" s="1"/>
  <c r="CV57" i="1"/>
  <c r="EB57" i="1" s="1"/>
  <c r="EC57" i="1" s="1"/>
  <c r="CV47" i="1"/>
  <c r="EB47" i="1" s="1"/>
  <c r="EC47" i="1" s="1"/>
  <c r="CV40" i="1"/>
  <c r="EB40" i="1" s="1"/>
  <c r="EC40" i="1" s="1"/>
  <c r="CV35" i="1"/>
  <c r="EB35" i="1" s="1"/>
  <c r="EC35" i="1" s="1"/>
  <c r="CV24" i="1"/>
  <c r="EB24" i="1" s="1"/>
  <c r="EC24" i="1" s="1"/>
  <c r="CV17" i="1"/>
  <c r="EB17" i="1" s="1"/>
  <c r="EC17" i="1" s="1"/>
  <c r="CV9" i="1"/>
  <c r="EB9" i="1" s="1"/>
  <c r="EC9" i="1" s="1"/>
  <c r="CV67" i="1"/>
  <c r="EB67" i="1" s="1"/>
  <c r="EC67" i="1" s="1"/>
  <c r="CV147" i="1"/>
  <c r="EB147" i="1" s="1"/>
  <c r="EC147" i="1" s="1"/>
  <c r="DV250" i="1"/>
  <c r="CV233" i="1"/>
  <c r="EB233" i="1" s="1"/>
  <c r="EC233" i="1" s="1"/>
  <c r="CV220" i="1"/>
  <c r="EB220" i="1" s="1"/>
  <c r="EC220" i="1" s="1"/>
  <c r="CV208" i="1"/>
  <c r="EB208" i="1" s="1"/>
  <c r="EC208" i="1" s="1"/>
  <c r="CV202" i="1"/>
  <c r="EB202" i="1" s="1"/>
  <c r="EC202" i="1" s="1"/>
  <c r="CV194" i="1"/>
  <c r="EB194" i="1" s="1"/>
  <c r="EC194" i="1" s="1"/>
  <c r="CV187" i="1"/>
  <c r="EB187" i="1" s="1"/>
  <c r="EC187" i="1" s="1"/>
  <c r="CV176" i="1"/>
  <c r="EB176" i="1" s="1"/>
  <c r="EC176" i="1" s="1"/>
  <c r="CV171" i="1"/>
  <c r="EB171" i="1" s="1"/>
  <c r="EC171" i="1" s="1"/>
  <c r="CV150" i="1"/>
  <c r="EB150" i="1" s="1"/>
  <c r="EC150" i="1" s="1"/>
  <c r="CV140" i="1"/>
  <c r="EB140" i="1" s="1"/>
  <c r="EC140" i="1" s="1"/>
  <c r="CV134" i="1"/>
  <c r="EB134" i="1" s="1"/>
  <c r="EC134" i="1" s="1"/>
  <c r="CV122" i="1"/>
  <c r="EB122" i="1" s="1"/>
  <c r="EC122" i="1" s="1"/>
  <c r="CV109" i="1"/>
  <c r="EB109" i="1" s="1"/>
  <c r="EC109" i="1" s="1"/>
  <c r="CV92" i="1"/>
  <c r="EB92" i="1" s="1"/>
  <c r="EC92" i="1" s="1"/>
  <c r="CV83" i="1"/>
  <c r="EB83" i="1" s="1"/>
  <c r="EC83" i="1" s="1"/>
  <c r="CV76" i="1"/>
  <c r="EB76" i="1" s="1"/>
  <c r="EC76" i="1" s="1"/>
  <c r="CV68" i="1"/>
  <c r="EB68" i="1" s="1"/>
  <c r="EC68" i="1" s="1"/>
  <c r="CV50" i="1"/>
  <c r="CV18" i="1"/>
  <c r="EB18" i="1" s="1"/>
  <c r="EC18" i="1" s="1"/>
  <c r="CV10" i="1"/>
  <c r="EB10" i="1" s="1"/>
  <c r="EC10" i="1" s="1"/>
  <c r="CV95" i="1"/>
  <c r="EB95" i="1" s="1"/>
  <c r="EC95" i="1" s="1"/>
  <c r="CV29" i="1"/>
  <c r="EB29" i="1" s="1"/>
  <c r="EC29" i="1" s="1"/>
  <c r="CV116" i="1"/>
  <c r="EB116" i="1" s="1"/>
  <c r="EC116" i="1" s="1"/>
  <c r="CV237" i="1"/>
  <c r="EB237" i="1" s="1"/>
  <c r="EC237" i="1" s="1"/>
  <c r="CV188" i="1"/>
  <c r="EB188" i="1" s="1"/>
  <c r="EC188" i="1" s="1"/>
  <c r="CV243" i="1"/>
  <c r="EB243" i="1" s="1"/>
  <c r="EC243" i="1" s="1"/>
  <c r="CV228" i="1"/>
  <c r="EB228" i="1" s="1"/>
  <c r="EC228" i="1" s="1"/>
  <c r="CV219" i="1"/>
  <c r="EB219" i="1" s="1"/>
  <c r="EC219" i="1" s="1"/>
  <c r="CV207" i="1"/>
  <c r="EB207" i="1" s="1"/>
  <c r="EC207" i="1" s="1"/>
  <c r="CV201" i="1"/>
  <c r="EB201" i="1" s="1"/>
  <c r="EC201" i="1" s="1"/>
  <c r="CV193" i="1"/>
  <c r="EB193" i="1" s="1"/>
  <c r="EC193" i="1" s="1"/>
  <c r="CV186" i="1"/>
  <c r="EB186" i="1" s="1"/>
  <c r="EC186" i="1" s="1"/>
  <c r="CV170" i="1"/>
  <c r="EB170" i="1" s="1"/>
  <c r="EC170" i="1" s="1"/>
  <c r="CV160" i="1"/>
  <c r="EB160" i="1" s="1"/>
  <c r="EC160" i="1" s="1"/>
  <c r="CV149" i="1"/>
  <c r="EB149" i="1" s="1"/>
  <c r="EC149" i="1" s="1"/>
  <c r="CV115" i="1"/>
  <c r="EB115" i="1" s="1"/>
  <c r="EC115" i="1" s="1"/>
  <c r="CV241" i="1"/>
  <c r="EB241" i="1" s="1"/>
  <c r="EC241" i="1" s="1"/>
  <c r="CV226" i="1"/>
  <c r="EB226" i="1" s="1"/>
  <c r="EC226" i="1" s="1"/>
  <c r="CV217" i="1"/>
  <c r="EB217" i="1" s="1"/>
  <c r="EC217" i="1" s="1"/>
  <c r="CV206" i="1"/>
  <c r="EB206" i="1" s="1"/>
  <c r="EC206" i="1" s="1"/>
  <c r="CV200" i="1"/>
  <c r="EB200" i="1" s="1"/>
  <c r="EC200" i="1" s="1"/>
  <c r="CV192" i="1"/>
  <c r="EB192" i="1" s="1"/>
  <c r="EC192" i="1" s="1"/>
  <c r="CV185" i="1"/>
  <c r="EB185" i="1" s="1"/>
  <c r="EC185" i="1" s="1"/>
  <c r="CV159" i="1"/>
  <c r="EB159" i="1" s="1"/>
  <c r="EC159" i="1" s="1"/>
  <c r="CV148" i="1"/>
  <c r="EB148" i="1" s="1"/>
  <c r="EC148" i="1" s="1"/>
  <c r="CV132" i="1"/>
  <c r="EB132" i="1" s="1"/>
  <c r="EC132" i="1" s="1"/>
  <c r="CV107" i="1"/>
  <c r="EB107" i="1" s="1"/>
  <c r="EC107" i="1" s="1"/>
  <c r="CV99" i="1"/>
  <c r="EB99" i="1" s="1"/>
  <c r="EC99" i="1" s="1"/>
  <c r="CV90" i="1"/>
  <c r="EB90" i="1" s="1"/>
  <c r="EC90" i="1" s="1"/>
  <c r="CV74" i="1"/>
  <c r="EB74" i="1" s="1"/>
  <c r="EC74" i="1" s="1"/>
  <c r="CV64" i="1"/>
  <c r="EB64" i="1" s="1"/>
  <c r="EC64" i="1" s="1"/>
  <c r="CV58" i="1"/>
  <c r="EB58" i="1" s="1"/>
  <c r="EC58" i="1" s="1"/>
  <c r="CV48" i="1"/>
  <c r="EB48" i="1" s="1"/>
  <c r="EC48" i="1" s="1"/>
  <c r="CV41" i="1"/>
  <c r="EB41" i="1" s="1"/>
  <c r="EC41" i="1" s="1"/>
  <c r="CV36" i="1"/>
  <c r="EB36" i="1" s="1"/>
  <c r="EC36" i="1" s="1"/>
  <c r="CV27" i="1"/>
  <c r="EB27" i="1" s="1"/>
  <c r="EC27" i="1" s="1"/>
  <c r="CV210" i="1"/>
  <c r="EB210" i="1" s="1"/>
  <c r="EC210" i="1" s="1"/>
  <c r="CV11" i="1"/>
  <c r="EB11" i="1" s="1"/>
  <c r="EC11" i="1" s="1"/>
  <c r="DD250" i="1"/>
  <c r="DM250" i="1"/>
  <c r="CV15" i="1"/>
  <c r="EB15" i="1" s="1"/>
  <c r="EC15" i="1" s="1"/>
  <c r="CV238" i="1"/>
  <c r="EB238" i="1" s="1"/>
  <c r="EC238" i="1" s="1"/>
  <c r="CV87" i="1"/>
  <c r="EB87" i="1" s="1"/>
  <c r="EC87" i="1" s="1"/>
  <c r="CV12" i="1"/>
  <c r="EB12" i="1" s="1"/>
  <c r="EC12" i="1" s="1"/>
  <c r="CV234" i="1"/>
  <c r="EB234" i="1" s="1"/>
  <c r="EC234" i="1" s="1"/>
  <c r="CV221" i="1"/>
  <c r="EB221" i="1" s="1"/>
  <c r="EC221" i="1" s="1"/>
  <c r="CV209" i="1"/>
  <c r="EB209" i="1" s="1"/>
  <c r="EC209" i="1" s="1"/>
  <c r="CV203" i="1"/>
  <c r="EB203" i="1" s="1"/>
  <c r="EC203" i="1" s="1"/>
  <c r="CV196" i="1"/>
  <c r="EB196" i="1" s="1"/>
  <c r="EC196" i="1" s="1"/>
  <c r="CV189" i="1"/>
  <c r="EB189" i="1" s="1"/>
  <c r="EC189" i="1" s="1"/>
  <c r="CV172" i="1"/>
  <c r="EB172" i="1" s="1"/>
  <c r="EC172" i="1" s="1"/>
  <c r="CV163" i="1"/>
  <c r="EB163" i="1" s="1"/>
  <c r="EC163" i="1" s="1"/>
  <c r="CV151" i="1"/>
  <c r="EB151" i="1" s="1"/>
  <c r="EC151" i="1" s="1"/>
  <c r="CV141" i="1"/>
  <c r="EB141" i="1" s="1"/>
  <c r="EC141" i="1" s="1"/>
  <c r="CV135" i="1"/>
  <c r="EB135" i="1" s="1"/>
  <c r="EC135" i="1" s="1"/>
  <c r="CV129" i="1"/>
  <c r="EB129" i="1" s="1"/>
  <c r="EC129" i="1" s="1"/>
  <c r="CV124" i="1"/>
  <c r="EB124" i="1" s="1"/>
  <c r="EC124" i="1" s="1"/>
  <c r="CV117" i="1"/>
  <c r="EB117" i="1" s="1"/>
  <c r="EC117" i="1" s="1"/>
  <c r="CV110" i="1"/>
  <c r="EB110" i="1" s="1"/>
  <c r="EC110" i="1" s="1"/>
  <c r="CV102" i="1"/>
  <c r="EB102" i="1" s="1"/>
  <c r="EC102" i="1" s="1"/>
  <c r="CV93" i="1"/>
  <c r="EB93" i="1" s="1"/>
  <c r="EC93" i="1" s="1"/>
  <c r="CV77" i="1"/>
  <c r="EB77" i="1" s="1"/>
  <c r="EC77" i="1" s="1"/>
  <c r="CV69" i="1"/>
  <c r="EB69" i="1" s="1"/>
  <c r="EC69" i="1" s="1"/>
  <c r="CV59" i="1"/>
  <c r="EB59" i="1" s="1"/>
  <c r="EC59" i="1" s="1"/>
  <c r="CV52" i="1"/>
  <c r="EB52" i="1" s="1"/>
  <c r="EC52" i="1" s="1"/>
  <c r="CV42" i="1"/>
  <c r="EB42" i="1" s="1"/>
  <c r="EC42" i="1" s="1"/>
  <c r="CV30" i="1"/>
  <c r="EB30" i="1" s="1"/>
  <c r="EC30" i="1" s="1"/>
  <c r="CV19" i="1"/>
  <c r="EB19" i="1" s="1"/>
  <c r="EC19" i="1" s="1"/>
  <c r="CV244" i="1"/>
  <c r="CV239" i="1"/>
  <c r="EB239" i="1" s="1"/>
  <c r="EC239" i="1" s="1"/>
  <c r="CV231" i="1"/>
  <c r="EB231" i="1" s="1"/>
  <c r="EC231" i="1" s="1"/>
  <c r="CV224" i="1"/>
  <c r="EB224" i="1" s="1"/>
  <c r="EC224" i="1" s="1"/>
  <c r="CV213" i="1"/>
  <c r="EB213" i="1" s="1"/>
  <c r="EC213" i="1" s="1"/>
  <c r="CV199" i="1"/>
  <c r="EB199" i="1" s="1"/>
  <c r="EC199" i="1" s="1"/>
  <c r="CV183" i="1"/>
  <c r="EB183" i="1" s="1"/>
  <c r="EC183" i="1" s="1"/>
  <c r="CV174" i="1"/>
  <c r="EB174" i="1" s="1"/>
  <c r="EC174" i="1" s="1"/>
  <c r="CV169" i="1"/>
  <c r="EB169" i="1" s="1"/>
  <c r="EC169" i="1" s="1"/>
  <c r="CV157" i="1"/>
  <c r="EB157" i="1" s="1"/>
  <c r="EC157" i="1" s="1"/>
  <c r="CV145" i="1"/>
  <c r="EB145" i="1" s="1"/>
  <c r="EC145" i="1" s="1"/>
  <c r="CV138" i="1"/>
  <c r="EB138" i="1" s="1"/>
  <c r="EC138" i="1" s="1"/>
  <c r="CV130" i="1"/>
  <c r="EB130" i="1" s="1"/>
  <c r="EC130" i="1" s="1"/>
  <c r="CV127" i="1"/>
  <c r="EB127" i="1" s="1"/>
  <c r="EC127" i="1" s="1"/>
  <c r="CV120" i="1"/>
  <c r="EB120" i="1" s="1"/>
  <c r="EC120" i="1" s="1"/>
  <c r="CV113" i="1"/>
  <c r="EB113" i="1" s="1"/>
  <c r="EC113" i="1" s="1"/>
  <c r="CV105" i="1"/>
  <c r="EB105" i="1" s="1"/>
  <c r="EC105" i="1" s="1"/>
  <c r="CV97" i="1"/>
  <c r="EB97" i="1" s="1"/>
  <c r="EC97" i="1" s="1"/>
  <c r="CV88" i="1"/>
  <c r="EB88" i="1" s="1"/>
  <c r="EC88" i="1" s="1"/>
  <c r="CV80" i="1"/>
  <c r="EB80" i="1" s="1"/>
  <c r="EC80" i="1" s="1"/>
  <c r="CV72" i="1"/>
  <c r="EB72" i="1" s="1"/>
  <c r="EC72" i="1" s="1"/>
  <c r="CV62" i="1"/>
  <c r="EB62" i="1" s="1"/>
  <c r="EC62" i="1" s="1"/>
  <c r="CV55" i="1"/>
  <c r="EB55" i="1" s="1"/>
  <c r="EC55" i="1" s="1"/>
  <c r="CV46" i="1"/>
  <c r="EB46" i="1" s="1"/>
  <c r="EC46" i="1" s="1"/>
  <c r="CV177" i="1"/>
  <c r="EB177" i="1" s="1"/>
  <c r="EC177" i="1" s="1"/>
  <c r="CV34" i="1"/>
  <c r="EB34" i="1" s="1"/>
  <c r="EC34" i="1" s="1"/>
  <c r="CV23" i="1"/>
  <c r="EB23" i="1" s="1"/>
  <c r="EC23" i="1" s="1"/>
  <c r="CV16" i="1"/>
  <c r="EB16" i="1" s="1"/>
  <c r="EC16" i="1" s="1"/>
  <c r="CV8" i="1"/>
  <c r="EB8" i="1" s="1"/>
  <c r="EC8" i="1" s="1"/>
  <c r="CV133" i="1"/>
  <c r="EB133" i="1" s="1"/>
  <c r="EC133" i="1" s="1"/>
  <c r="CV128" i="1"/>
  <c r="EB128" i="1" s="1"/>
  <c r="EC128" i="1" s="1"/>
  <c r="CV108" i="1"/>
  <c r="EB108" i="1" s="1"/>
  <c r="EC108" i="1" s="1"/>
  <c r="CV100" i="1"/>
  <c r="EB100" i="1" s="1"/>
  <c r="EC100" i="1" s="1"/>
  <c r="CV91" i="1"/>
  <c r="EB91" i="1" s="1"/>
  <c r="EC91" i="1" s="1"/>
  <c r="CV81" i="1"/>
  <c r="EB81" i="1" s="1"/>
  <c r="EC81" i="1" s="1"/>
  <c r="CV75" i="1"/>
  <c r="EB75" i="1" s="1"/>
  <c r="EC75" i="1" s="1"/>
  <c r="CV66" i="1"/>
  <c r="EB66" i="1" s="1"/>
  <c r="EC66" i="1" s="1"/>
  <c r="CV49" i="1"/>
  <c r="EB49" i="1" s="1"/>
  <c r="EC49" i="1" s="1"/>
  <c r="CV37" i="1"/>
  <c r="EB37" i="1" s="1"/>
  <c r="EC37" i="1" s="1"/>
  <c r="CV28" i="1"/>
  <c r="EB28" i="1" s="1"/>
  <c r="EC28" i="1" s="1"/>
  <c r="EB50" i="1" l="1"/>
  <c r="CV248" i="1"/>
  <c r="EB244" i="1"/>
  <c r="EB6" i="1"/>
  <c r="CU250" i="1"/>
  <c r="EC50" i="1" l="1"/>
  <c r="EB248" i="1"/>
  <c r="EC6" i="1"/>
  <c r="EC248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Racine Claude, TVS SGB</author>
  </authors>
  <commentList>
    <comment ref="T19" authorId="0" shapeId="0" xr:uid="{00000000-0006-0000-0000-000001000000}">
      <text>
        <r>
          <rPr>
            <b/>
            <sz val="9"/>
            <color indexed="81"/>
            <rFont val="Segoe UI"/>
            <family val="2"/>
          </rPr>
          <t>Racine Claude, TVS SGB:</t>
        </r>
        <r>
          <rPr>
            <sz val="9"/>
            <color indexed="81"/>
            <rFont val="Segoe UI"/>
            <family val="2"/>
          </rPr>
          <t xml:space="preserve">
diverese parallel laufende Phasen können nicht abgebildet werden</t>
        </r>
      </text>
    </comment>
    <comment ref="T97" authorId="0" shapeId="0" xr:uid="{00000000-0006-0000-0000-000002000000}">
      <text>
        <r>
          <rPr>
            <b/>
            <sz val="9"/>
            <color indexed="81"/>
            <rFont val="Segoe UI"/>
            <family val="2"/>
          </rPr>
          <t>Racine Claude, TVS SGB:</t>
        </r>
        <r>
          <rPr>
            <sz val="9"/>
            <color indexed="81"/>
            <rFont val="Segoe UI"/>
            <family val="2"/>
          </rPr>
          <t xml:space="preserve">
diverese parallel laufende Phasen können nicht abgebildet werden</t>
        </r>
      </text>
    </comment>
    <comment ref="A98" authorId="0" shapeId="0" xr:uid="{00000000-0006-0000-0000-000003000000}">
      <text>
        <r>
          <rPr>
            <b/>
            <sz val="9"/>
            <color indexed="81"/>
            <rFont val="Segoe UI"/>
            <family val="2"/>
          </rPr>
          <t>Racine Claude, TVS SGB:</t>
        </r>
        <r>
          <rPr>
            <sz val="9"/>
            <color indexed="81"/>
            <rFont val="Segoe UI"/>
            <family val="2"/>
          </rPr>
          <t xml:space="preserve">
Mehrere Beteiligte der GRG in diesem Projekt, können im PPM nicht abgebildet werden</t>
        </r>
      </text>
    </comment>
    <comment ref="A106" authorId="0" shapeId="0" xr:uid="{00000000-0006-0000-0000-000004000000}">
      <text>
        <r>
          <rPr>
            <b/>
            <sz val="9"/>
            <color indexed="81"/>
            <rFont val="Segoe UI"/>
            <family val="2"/>
          </rPr>
          <t>Racine Claude, TVS SGB:</t>
        </r>
        <r>
          <rPr>
            <sz val="9"/>
            <color indexed="81"/>
            <rFont val="Segoe UI"/>
            <family val="2"/>
          </rPr>
          <t xml:space="preserve">
Mehrere Beteiligte der GRG in diesem Projekt, können im PPM nicht abgebildet werden</t>
        </r>
      </text>
    </comment>
    <comment ref="E117" authorId="0" shapeId="0" xr:uid="{00000000-0006-0000-0000-000005000000}">
      <text>
        <r>
          <rPr>
            <b/>
            <sz val="9"/>
            <color indexed="81"/>
            <rFont val="Segoe UI"/>
            <family val="2"/>
          </rPr>
          <t>Racine Claude, TVS SGB:</t>
        </r>
        <r>
          <rPr>
            <sz val="9"/>
            <color indexed="81"/>
            <rFont val="Segoe UI"/>
            <family val="2"/>
          </rPr>
          <t xml:space="preserve">
Könnte auch "Verwaltungsvermögen Fonds/ISB" sein… --&gt; Bei Planungen, Studien etc. unterscheiden ob es ISB (Fonds), HSB, SPA oder VP ist?</t>
        </r>
      </text>
    </comment>
    <comment ref="E143" authorId="0" shapeId="0" xr:uid="{00000000-0006-0000-0000-000006000000}">
      <text>
        <r>
          <rPr>
            <b/>
            <sz val="9"/>
            <color indexed="81"/>
            <rFont val="Segoe UI"/>
            <family val="2"/>
          </rPr>
          <t>Racine Claude, TVS SGB:</t>
        </r>
        <r>
          <rPr>
            <sz val="9"/>
            <color indexed="81"/>
            <rFont val="Segoe UI"/>
            <family val="2"/>
          </rPr>
          <t xml:space="preserve">
In Realisierung und Eigentum INSEL. Daher keine aufgeführte Projektart</t>
        </r>
      </text>
    </comment>
    <comment ref="E145" authorId="0" shapeId="0" xr:uid="{00000000-0006-0000-0000-000007000000}">
      <text>
        <r>
          <rPr>
            <b/>
            <sz val="9"/>
            <color indexed="81"/>
            <rFont val="Segoe UI"/>
            <family val="2"/>
          </rPr>
          <t>Racine Claude, TVS SGB:</t>
        </r>
        <r>
          <rPr>
            <sz val="9"/>
            <color indexed="81"/>
            <rFont val="Segoe UI"/>
            <family val="2"/>
          </rPr>
          <t xml:space="preserve">
Evtl. Projektart "Natur + Ökologie" einführen, da in Bezug auf verschiedene Aspekte immer mal wieder ein Spezialfall (selbst bei den Produkten GRG)</t>
        </r>
      </text>
    </comment>
    <comment ref="E171" authorId="0" shapeId="0" xr:uid="{00000000-0006-0000-0000-000008000000}">
      <text>
        <r>
          <rPr>
            <b/>
            <sz val="9"/>
            <color indexed="81"/>
            <rFont val="Segoe UI"/>
            <family val="2"/>
          </rPr>
          <t>Racine Claude, TVS SGB:</t>
        </r>
        <r>
          <rPr>
            <sz val="9"/>
            <color indexed="81"/>
            <rFont val="Segoe UI"/>
            <family val="2"/>
          </rPr>
          <t xml:space="preserve">
Kann nicht zugeordnet werden...</t>
        </r>
      </text>
    </comment>
    <comment ref="A228" authorId="0" shapeId="0" xr:uid="{00000000-0006-0000-0000-000009000000}">
      <text>
        <r>
          <rPr>
            <b/>
            <sz val="9"/>
            <color indexed="81"/>
            <rFont val="Segoe UI"/>
            <family val="2"/>
          </rPr>
          <t>Racine Claude, TVS SGB:</t>
        </r>
        <r>
          <rPr>
            <sz val="9"/>
            <color indexed="81"/>
            <rFont val="Segoe UI"/>
            <family val="2"/>
          </rPr>
          <t xml:space="preserve">
Mehrere Beteiligte der GRG in diesem Projekt, können im PPM nicht abgebildet werden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Racine Claude, TVS SGB</author>
  </authors>
  <commentList>
    <comment ref="Z2" authorId="0" shapeId="0" xr:uid="{00000000-0006-0000-0600-000001000000}">
      <text>
        <r>
          <rPr>
            <b/>
            <sz val="9"/>
            <color indexed="81"/>
            <rFont val="Segoe UI"/>
            <family val="2"/>
          </rPr>
          <t>Racine Claude, TVS SGB:</t>
        </r>
        <r>
          <rPr>
            <sz val="9"/>
            <color indexed="81"/>
            <rFont val="Segoe UI"/>
            <family val="2"/>
          </rPr>
          <t xml:space="preserve">
Was meinst Du damit?
</t>
        </r>
      </text>
    </comment>
    <comment ref="U24" authorId="0" shapeId="0" xr:uid="{00000000-0006-0000-0600-000002000000}">
      <text>
        <r>
          <rPr>
            <b/>
            <sz val="9"/>
            <color indexed="81"/>
            <rFont val="Segoe UI"/>
            <family val="2"/>
          </rPr>
          <t>Racine Claude, TVS SGB:</t>
        </r>
        <r>
          <rPr>
            <sz val="9"/>
            <color indexed="81"/>
            <rFont val="Segoe UI"/>
            <family val="2"/>
          </rPr>
          <t xml:space="preserve">
Braucht es nicht, ist ja klar, wenn Federführung bei andere Stelle ist...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Racine Claude, TVS SGB</author>
  </authors>
  <commentList>
    <comment ref="C13" authorId="0" shapeId="0" xr:uid="{00000000-0006-0000-0700-000001000000}">
      <text>
        <r>
          <rPr>
            <b/>
            <sz val="9"/>
            <color indexed="81"/>
            <rFont val="Segoe UI"/>
            <family val="2"/>
          </rPr>
          <t>Racine Claude, TVS SGB:</t>
        </r>
        <r>
          <rPr>
            <sz val="9"/>
            <color indexed="81"/>
            <rFont val="Segoe UI"/>
            <family val="2"/>
          </rPr>
          <t xml:space="preserve">
Entspricht Buchung im 2017</t>
        </r>
      </text>
    </comment>
    <comment ref="T55" authorId="0" shapeId="0" xr:uid="{00000000-0006-0000-0700-000002000000}">
      <text>
        <r>
          <rPr>
            <b/>
            <sz val="9"/>
            <color indexed="81"/>
            <rFont val="Segoe UI"/>
            <family val="2"/>
          </rPr>
          <t>Racine Claude, TVS SGB:</t>
        </r>
        <r>
          <rPr>
            <sz val="9"/>
            <color indexed="81"/>
            <rFont val="Segoe UI"/>
            <family val="2"/>
          </rPr>
          <t xml:space="preserve">
100% ohne Modell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Racine Claude, TVS SGB</author>
  </authors>
  <commentList>
    <comment ref="A95" authorId="0" shapeId="0" xr:uid="{D1797951-EF47-4FBC-BE7F-B2B12EA067E4}">
      <text>
        <r>
          <rPr>
            <b/>
            <sz val="9"/>
            <color indexed="81"/>
            <rFont val="Segoe UI"/>
            <family val="2"/>
          </rPr>
          <t>Racine Claude, TVS SGB:</t>
        </r>
        <r>
          <rPr>
            <sz val="9"/>
            <color indexed="81"/>
            <rFont val="Segoe UI"/>
            <family val="2"/>
          </rPr>
          <t xml:space="preserve">
Mehrere Beteiligte der GRG in diesem Projekt, können im PPM nicht abgebildet werden</t>
        </r>
      </text>
    </comment>
    <comment ref="A103" authorId="0" shapeId="0" xr:uid="{8E33FB7D-E981-46A0-B86D-B33B4C16A9F9}">
      <text>
        <r>
          <rPr>
            <b/>
            <sz val="9"/>
            <color indexed="81"/>
            <rFont val="Segoe UI"/>
            <family val="2"/>
          </rPr>
          <t>Racine Claude, TVS SGB:</t>
        </r>
        <r>
          <rPr>
            <sz val="9"/>
            <color indexed="81"/>
            <rFont val="Segoe UI"/>
            <family val="2"/>
          </rPr>
          <t xml:space="preserve">
Mehrere Beteiligte der GRG in diesem Projekt, können im PPM nicht abgebildet werden</t>
        </r>
      </text>
    </comment>
    <comment ref="A225" authorId="0" shapeId="0" xr:uid="{2C6B14A0-93D1-4E83-827E-CFD6A4F5BA27}">
      <text>
        <r>
          <rPr>
            <b/>
            <sz val="9"/>
            <color indexed="81"/>
            <rFont val="Segoe UI"/>
            <family val="2"/>
          </rPr>
          <t>Racine Claude, TVS SGB:</t>
        </r>
        <r>
          <rPr>
            <sz val="9"/>
            <color indexed="81"/>
            <rFont val="Segoe UI"/>
            <family val="2"/>
          </rPr>
          <t xml:space="preserve">
Mehrere Beteiligte der GRG in diesem Projekt, können im PPM nicht abgebildet werden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Racine Claude, TVS SGB</author>
  </authors>
  <commentList>
    <comment ref="A95" authorId="0" shapeId="0" xr:uid="{6798CAD5-5BD1-4488-B69F-72EA94E62464}">
      <text>
        <r>
          <rPr>
            <b/>
            <sz val="9"/>
            <color indexed="81"/>
            <rFont val="Segoe UI"/>
            <family val="2"/>
          </rPr>
          <t>Racine Claude, TVS SGB:</t>
        </r>
        <r>
          <rPr>
            <sz val="9"/>
            <color indexed="81"/>
            <rFont val="Segoe UI"/>
            <family val="2"/>
          </rPr>
          <t xml:space="preserve">
Mehrere Beteiligte der GRG in diesem Projekt, können im PPM nicht abgebildet werden</t>
        </r>
      </text>
    </comment>
    <comment ref="A103" authorId="0" shapeId="0" xr:uid="{18F6D55F-C343-4FE1-BBF1-D0ACA34FDCAB}">
      <text>
        <r>
          <rPr>
            <b/>
            <sz val="9"/>
            <color indexed="81"/>
            <rFont val="Segoe UI"/>
            <family val="2"/>
          </rPr>
          <t>Racine Claude, TVS SGB:</t>
        </r>
        <r>
          <rPr>
            <sz val="9"/>
            <color indexed="81"/>
            <rFont val="Segoe UI"/>
            <family val="2"/>
          </rPr>
          <t xml:space="preserve">
Mehrere Beteiligte der GRG in diesem Projekt, können im PPM nicht abgebildet werden</t>
        </r>
      </text>
    </comment>
    <comment ref="A225" authorId="0" shapeId="0" xr:uid="{05D64E2F-1D39-497C-8B1D-6B80845E7869}">
      <text>
        <r>
          <rPr>
            <b/>
            <sz val="9"/>
            <color indexed="81"/>
            <rFont val="Segoe UI"/>
            <family val="2"/>
          </rPr>
          <t>Racine Claude, TVS SGB:</t>
        </r>
        <r>
          <rPr>
            <sz val="9"/>
            <color indexed="81"/>
            <rFont val="Segoe UI"/>
            <family val="2"/>
          </rPr>
          <t xml:space="preserve">
Mehrere Beteiligte der GRG in diesem Projekt, können im PPM nicht abgebildet werden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Projektportfolio!$D$9:$D$2631" type="102" refreshedVersion="6" minRefreshableVersion="5">
    <extLst>
      <ext xmlns:x15="http://schemas.microsoft.com/office/spreadsheetml/2010/11/main" uri="{DE250136-89BD-433C-8126-D09CA5730AF9}">
        <x15:connection id="Range 1">
          <x15:rangePr sourceName="_xlcn.WorksheetConnection_ProjektportfolioD9D26311"/>
        </x15:connection>
      </ext>
    </extLst>
  </connection>
</connections>
</file>

<file path=xl/sharedStrings.xml><?xml version="1.0" encoding="utf-8"?>
<sst xmlns="http://schemas.openxmlformats.org/spreadsheetml/2006/main" count="7773" uniqueCount="1348">
  <si>
    <t>Projekthandbuch</t>
  </si>
  <si>
    <t xml:space="preserve">Risikobeurteilung </t>
  </si>
  <si>
    <t>Nein</t>
  </si>
  <si>
    <t xml:space="preserve">Ja </t>
  </si>
  <si>
    <t>1 Strategische Planung</t>
  </si>
  <si>
    <t>SIA_Phasen_112</t>
  </si>
  <si>
    <t>SSM</t>
  </si>
  <si>
    <t>GG</t>
  </si>
  <si>
    <t>NÖ</t>
  </si>
  <si>
    <t>MSt</t>
  </si>
  <si>
    <t>STs</t>
  </si>
  <si>
    <t>CSc</t>
  </si>
  <si>
    <t>SGB</t>
  </si>
  <si>
    <t>SGf</t>
  </si>
  <si>
    <t>Aufwand</t>
  </si>
  <si>
    <t>Projektdaten</t>
  </si>
  <si>
    <t xml:space="preserve">Namen </t>
  </si>
  <si>
    <t>Finanzierungsart</t>
  </si>
  <si>
    <t xml:space="preserve">Netto-Ausgaben Vorjahre </t>
  </si>
  <si>
    <t>Prognose 2017</t>
  </si>
  <si>
    <t>Bemerkungen Finanzierung</t>
  </si>
  <si>
    <t xml:space="preserve">MIP </t>
  </si>
  <si>
    <t>TWu</t>
  </si>
  <si>
    <t>Projektfinanzplanung</t>
  </si>
  <si>
    <t>Leuchtturmprojekte</t>
  </si>
  <si>
    <t>Einstufung A</t>
  </si>
  <si>
    <t>Einstufung B</t>
  </si>
  <si>
    <t>Einstufung C</t>
  </si>
  <si>
    <t>Meilensteine</t>
  </si>
  <si>
    <t>KW 29</t>
  </si>
  <si>
    <t>KW 30</t>
  </si>
  <si>
    <t>KW 31</t>
  </si>
  <si>
    <t>KW 32</t>
  </si>
  <si>
    <t>KW 33</t>
  </si>
  <si>
    <t>KW 34</t>
  </si>
  <si>
    <t>KW 35</t>
  </si>
  <si>
    <t>KW 36</t>
  </si>
  <si>
    <t>KW 37</t>
  </si>
  <si>
    <t>KW 38</t>
  </si>
  <si>
    <t>KW 39</t>
  </si>
  <si>
    <t>KW 40</t>
  </si>
  <si>
    <t>KW 41</t>
  </si>
  <si>
    <t>KW 42</t>
  </si>
  <si>
    <t>KW 43</t>
  </si>
  <si>
    <t>KW 44</t>
  </si>
  <si>
    <t>KW 45</t>
  </si>
  <si>
    <t>KW 46</t>
  </si>
  <si>
    <t>KW 47</t>
  </si>
  <si>
    <t>KW 48</t>
  </si>
  <si>
    <t>KW 49</t>
  </si>
  <si>
    <t>Kommunikation</t>
  </si>
  <si>
    <t>Einfluss externe Faktoren</t>
  </si>
  <si>
    <t>Status</t>
  </si>
  <si>
    <t xml:space="preserve">Tendenz </t>
  </si>
  <si>
    <t>1. Quar.</t>
  </si>
  <si>
    <t>2. Quar.</t>
  </si>
  <si>
    <t>3. Quar.</t>
  </si>
  <si>
    <t>4. Quar.</t>
  </si>
  <si>
    <t>Tendenz</t>
  </si>
  <si>
    <t>Projektpriorität</t>
  </si>
  <si>
    <t>Projektnamen</t>
  </si>
  <si>
    <t>=</t>
  </si>
  <si>
    <t>+</t>
  </si>
  <si>
    <t>-</t>
  </si>
  <si>
    <t>Projektablauf &amp; Ressourcenplanung 2018</t>
  </si>
  <si>
    <t>Geschäftsantrag</t>
  </si>
  <si>
    <t>in Arbeit</t>
  </si>
  <si>
    <t>verabschiedet</t>
  </si>
  <si>
    <t>nicht vorhanden</t>
  </si>
  <si>
    <t>Anderes Amt</t>
  </si>
  <si>
    <t xml:space="preserve">Controlling </t>
  </si>
  <si>
    <t>Bemerkung Projektdaten</t>
  </si>
  <si>
    <t>Bedürfnisabklärung</t>
  </si>
  <si>
    <t>angemeldet</t>
  </si>
  <si>
    <t>bewilligt</t>
  </si>
  <si>
    <t>offen</t>
  </si>
  <si>
    <t>PROJEKTPORTFOLIO</t>
  </si>
  <si>
    <t>Status, Zu- &amp; Abnahme</t>
  </si>
  <si>
    <t>KMu</t>
  </si>
  <si>
    <t>JEn</t>
  </si>
  <si>
    <t>DHu</t>
  </si>
  <si>
    <t>LEr</t>
  </si>
  <si>
    <t>IWe</t>
  </si>
  <si>
    <t>IMe</t>
  </si>
  <si>
    <t>NIn</t>
  </si>
  <si>
    <t>AHo</t>
  </si>
  <si>
    <t>CRa</t>
  </si>
  <si>
    <t>AZu</t>
  </si>
  <si>
    <t>Steuerungszyklus</t>
  </si>
  <si>
    <t>monatlich</t>
  </si>
  <si>
    <t>E3 Nummer</t>
  </si>
  <si>
    <t>Federführende Fachgruppe</t>
  </si>
  <si>
    <t>Projekttyp</t>
  </si>
  <si>
    <t>Projektart</t>
  </si>
  <si>
    <t>1. Priorität Projekt</t>
  </si>
  <si>
    <t>2. Priorität Projekt</t>
  </si>
  <si>
    <t>3. Priorität Projekt</t>
  </si>
  <si>
    <t>Grauraum (Strassen, Plätze &amp; Verkehr)</t>
  </si>
  <si>
    <t>Verwaltungsvermögen (ISB)</t>
  </si>
  <si>
    <t>ZeichnerIn</t>
  </si>
  <si>
    <t>Kreditrest per 1.1. aktuelles Jahr</t>
  </si>
  <si>
    <t>Kreditrest per 1.1. folgendes Jahr</t>
  </si>
  <si>
    <t xml:space="preserve">Mehrwertabschöpfung </t>
  </si>
  <si>
    <t>Radar</t>
  </si>
  <si>
    <t>Radar oder PP</t>
  </si>
  <si>
    <t>PP</t>
  </si>
  <si>
    <t>Sistiert</t>
  </si>
  <si>
    <t>Projektabhängigkeiten</t>
  </si>
  <si>
    <t>Abhängigkeit</t>
  </si>
  <si>
    <t xml:space="preserve">Von </t>
  </si>
  <si>
    <t>Für</t>
  </si>
  <si>
    <t>Wettbewerbe</t>
  </si>
  <si>
    <t>Park- &amp; Grünanlagen</t>
  </si>
  <si>
    <t>Spielplatz</t>
  </si>
  <si>
    <t xml:space="preserve">Friedhof </t>
  </si>
  <si>
    <t>Familiengarten</t>
  </si>
  <si>
    <t>Grundlagenarbeit &amp; Diverses</t>
  </si>
  <si>
    <t xml:space="preserve">Postulate, Motionen, Interpelation </t>
  </si>
  <si>
    <t>Ausgelöst von GR / Direktion</t>
  </si>
  <si>
    <t>Beiträge Dritter</t>
  </si>
  <si>
    <t>Status Projektkredit</t>
  </si>
  <si>
    <t>Geschäftskoordination</t>
  </si>
  <si>
    <t>5202-400-0002</t>
  </si>
  <si>
    <t>0002</t>
  </si>
  <si>
    <t>Fachaustausch, Organisation</t>
  </si>
  <si>
    <t>5202-500-0004</t>
  </si>
  <si>
    <t>0004</t>
  </si>
  <si>
    <t>Fachberatung für Dritte (GRG)</t>
  </si>
  <si>
    <t>5202-500-0005</t>
  </si>
  <si>
    <t>0005</t>
  </si>
  <si>
    <t>Fachberatung für SGB (GRG)</t>
  </si>
  <si>
    <t>5202-500-0007</t>
  </si>
  <si>
    <t>0007</t>
  </si>
  <si>
    <t>Fachberatung für Stadt (GRG)</t>
  </si>
  <si>
    <t>5202-500-0009</t>
  </si>
  <si>
    <t>0009</t>
  </si>
  <si>
    <t>Fachverantwortungen GRG, Bewirtschaftung (a)</t>
  </si>
  <si>
    <t>5202-300-0001</t>
  </si>
  <si>
    <t>0001</t>
  </si>
  <si>
    <t>5202-500-0011</t>
  </si>
  <si>
    <t>0011</t>
  </si>
  <si>
    <t>5202-300-0005</t>
  </si>
  <si>
    <t>GÖR</t>
  </si>
  <si>
    <t>5202-400-0003</t>
  </si>
  <si>
    <t>0003</t>
  </si>
  <si>
    <t>5202-300-0006</t>
  </si>
  <si>
    <t>0006</t>
  </si>
  <si>
    <t>Jourfixe (mit externen + Direktion TVS)</t>
  </si>
  <si>
    <t>5202-400-0004</t>
  </si>
  <si>
    <t>KiöR</t>
  </si>
  <si>
    <t>5202-400-0005</t>
  </si>
  <si>
    <t>KöR</t>
  </si>
  <si>
    <t>5202-400-0007</t>
  </si>
  <si>
    <t>MIP, MIP-Mehrjahresplanung und Geschäftsplanung</t>
  </si>
  <si>
    <t>5202-600-0001</t>
  </si>
  <si>
    <t>Projekt-Management PM</t>
  </si>
  <si>
    <t>5202-300-0009</t>
  </si>
  <si>
    <t>Velo-Freizeitanlagen (a)</t>
  </si>
  <si>
    <t>5202-400-0014</t>
  </si>
  <si>
    <t>0014</t>
  </si>
  <si>
    <t>Verwaltungsarbeit übrige</t>
  </si>
  <si>
    <t>5202-600-0003</t>
  </si>
  <si>
    <t>VSS, Baumnormalien</t>
  </si>
  <si>
    <t>5202-300-0013</t>
  </si>
  <si>
    <t>0013</t>
  </si>
  <si>
    <t>Wechselflorrabatten a</t>
  </si>
  <si>
    <t>5202-400-0011</t>
  </si>
  <si>
    <t>Werterhalt Infrastruktur, Park- und Grünanlagen</t>
  </si>
  <si>
    <t>5202-300-0014</t>
  </si>
  <si>
    <t>Wochen- / Bereichsbesprechung SGB-intern</t>
  </si>
  <si>
    <t>5202-400-0012</t>
  </si>
  <si>
    <t>0012</t>
  </si>
  <si>
    <t>Baugesuche (a)</t>
  </si>
  <si>
    <t>5202-500-0001</t>
  </si>
  <si>
    <t>Baumwert ökologischer (a)</t>
  </si>
  <si>
    <t>5202-500-0002</t>
  </si>
  <si>
    <t>5202-100-0028</t>
  </si>
  <si>
    <t>0028</t>
  </si>
  <si>
    <t>Fachkommission Stadtnatur (a)</t>
  </si>
  <si>
    <t>5202-400-0001</t>
  </si>
  <si>
    <t>Fachverantwortungen N+Ö, Bewirtschaftung (a)</t>
  </si>
  <si>
    <t>5202-300-0002</t>
  </si>
  <si>
    <t>Naturschutz Städte ERFA</t>
  </si>
  <si>
    <t>5202-400-0008</t>
  </si>
  <si>
    <t>0008</t>
  </si>
  <si>
    <t>Neophyten, Arbeitsgruppe</t>
  </si>
  <si>
    <t>5202-400-0009</t>
  </si>
  <si>
    <t>Neophytenkonzept a</t>
  </si>
  <si>
    <t>5202-300-0008</t>
  </si>
  <si>
    <t>Rehhagplanung (a)</t>
  </si>
  <si>
    <t>5202-200-0058</t>
  </si>
  <si>
    <t>0058</t>
  </si>
  <si>
    <t>Stadtflorakartierung a</t>
  </si>
  <si>
    <t>5202-300-0011</t>
  </si>
  <si>
    <t>Biodiversität / Wiederansiedlungsprojekte (a)</t>
  </si>
  <si>
    <t>5202-100-0009</t>
  </si>
  <si>
    <t>Fröschmatt, Biodiversität im Wohnumfeld (a)</t>
  </si>
  <si>
    <t>5202-100-0036</t>
  </si>
  <si>
    <t>0036</t>
  </si>
  <si>
    <t>Biber, Konfliktmanagement (a)</t>
  </si>
  <si>
    <t>5202-500-0003</t>
  </si>
  <si>
    <t>Fachberatung für Dritte, N+Ö (a)</t>
  </si>
  <si>
    <t>5202-500-0006</t>
  </si>
  <si>
    <t>Fachberatung für SGB, N+Ö (a)</t>
  </si>
  <si>
    <t>5202-500-0008</t>
  </si>
  <si>
    <t>Fachberatung für Stadt, N+Ö (a)</t>
  </si>
  <si>
    <t>5202-500-0010</t>
  </si>
  <si>
    <t>0010</t>
  </si>
  <si>
    <t>Natur- und Umweltkalender (a)</t>
  </si>
  <si>
    <t>5202-100-0055</t>
  </si>
  <si>
    <t>0055</t>
  </si>
  <si>
    <t>Naturinselspital Instagram (a)</t>
  </si>
  <si>
    <t>5202-500-0014</t>
  </si>
  <si>
    <t>Naturschutz allgemein (a)</t>
  </si>
  <si>
    <t>5202-500-0015</t>
  </si>
  <si>
    <t>0015</t>
  </si>
  <si>
    <t>Ökologie in der Landwirtschaft (a)</t>
  </si>
  <si>
    <t>5202-500-0018</t>
  </si>
  <si>
    <t>0018</t>
  </si>
  <si>
    <t>Saatkrähenpilotprojekt (a)</t>
  </si>
  <si>
    <t>5202-500-0019</t>
  </si>
  <si>
    <t>0019</t>
  </si>
  <si>
    <t>Segler, diverse Niststandorte (a)</t>
  </si>
  <si>
    <t>5202-500-0020</t>
  </si>
  <si>
    <t>0020</t>
  </si>
  <si>
    <t>5202-500-0021</t>
  </si>
  <si>
    <t>0021</t>
  </si>
  <si>
    <t>Wildwechsel (a)</t>
  </si>
  <si>
    <t>5202-100-0083</t>
  </si>
  <si>
    <t>0083</t>
  </si>
  <si>
    <t>Wohlensee Schutzverband (a)</t>
  </si>
  <si>
    <t>5202-400-0013</t>
  </si>
  <si>
    <t>Bremgarten FRH, Belegungsplanungen (a)</t>
  </si>
  <si>
    <t>5202-100-0013</t>
  </si>
  <si>
    <t>Bremgarten FRH, Buddhistisches Grabfeld (a)</t>
  </si>
  <si>
    <t>5202-100-0014</t>
  </si>
  <si>
    <t>Bremgarten FRH, Buddhistisches Grabfeld (b)</t>
  </si>
  <si>
    <t>Bremgarten FRH, Gemeinschaftsgrab Särge (a)</t>
  </si>
  <si>
    <t>5202-100-0011</t>
  </si>
  <si>
    <t>Bremgarten FRH, Grabfeld für Frühgeborene (a)</t>
  </si>
  <si>
    <t>5202-100-0015</t>
  </si>
  <si>
    <t>Bümpliz FRH, Belegungsplanungen (a)</t>
  </si>
  <si>
    <t>5202-100-0022</t>
  </si>
  <si>
    <t>0022</t>
  </si>
  <si>
    <t>Friedhöfe übergeordnete Aufgaben (a)</t>
  </si>
  <si>
    <t>5202-100-0035</t>
  </si>
  <si>
    <t>0035</t>
  </si>
  <si>
    <t>5202-100-0089</t>
  </si>
  <si>
    <t>0089</t>
  </si>
  <si>
    <t>Friedhofkonzept/Pflegeplanungen (a)</t>
  </si>
  <si>
    <t>5202-300-0004</t>
  </si>
  <si>
    <t>Schosshalden FRH, Belegungsplanungen (a)</t>
  </si>
  <si>
    <t>5202-100-0061</t>
  </si>
  <si>
    <t>0061</t>
  </si>
  <si>
    <t>0062</t>
  </si>
  <si>
    <t>Schosshalden FRH, Gemeinschaftsgrab (a)</t>
  </si>
  <si>
    <t>5202-100-0063</t>
  </si>
  <si>
    <t>0063</t>
  </si>
  <si>
    <t>Schosshalden FRH, Instands. Urnennischenw. (c)</t>
  </si>
  <si>
    <t>5202-120-0066</t>
  </si>
  <si>
    <t>0066</t>
  </si>
  <si>
    <t>Schosshalden FRH, Kindergräber (a)</t>
  </si>
  <si>
    <t>5202-100-0067</t>
  </si>
  <si>
    <t>0067</t>
  </si>
  <si>
    <t>0070</t>
  </si>
  <si>
    <t>Schosshalden FRH, Wasser/Abwasser/Beläge (a)</t>
  </si>
  <si>
    <t>5202-100-0071</t>
  </si>
  <si>
    <t>0071</t>
  </si>
  <si>
    <t>Weyermannsstr. Instands. PP und Trottoir (a)</t>
  </si>
  <si>
    <t>5202-100-0088</t>
  </si>
  <si>
    <t>0088</t>
  </si>
  <si>
    <t>Weyermannsstr. Instands. PP und Trottoir (b)</t>
  </si>
  <si>
    <t>Aargauerstalden, Instandsetzung Fussweg (a)</t>
  </si>
  <si>
    <t>5202-100-0001</t>
  </si>
  <si>
    <t>Aargauerstalden, Instandsetzung Fussweg (b)</t>
  </si>
  <si>
    <t>5202-100-0005</t>
  </si>
  <si>
    <t>Bümpliz Neues Schloss Park (a)</t>
  </si>
  <si>
    <t>5202-100-0025</t>
  </si>
  <si>
    <t>0025</t>
  </si>
  <si>
    <t>Bundesgasse, Instandsetzung Baumstandorte (a)</t>
  </si>
  <si>
    <t>5202-100-0026</t>
  </si>
  <si>
    <t>0026</t>
  </si>
  <si>
    <t>Egelsee, Zwischennutzung Entsorgungshof (a)</t>
  </si>
  <si>
    <t>5202-100-0029</t>
  </si>
  <si>
    <t>0029</t>
  </si>
  <si>
    <t>Englische Anlagen Parkpflegewerk, Umsetzung (a)</t>
  </si>
  <si>
    <t>5202-100-0031</t>
  </si>
  <si>
    <t>0031</t>
  </si>
  <si>
    <t>Grünanlagen/Friedhöfe Nachholbedarf Werterh. (a)</t>
  </si>
  <si>
    <t>5202-100-0037</t>
  </si>
  <si>
    <t>0037</t>
  </si>
  <si>
    <t>Helvetiaplatz, Kunsthalle, Instandsetzung  (a)</t>
  </si>
  <si>
    <t>5202-100-0039</t>
  </si>
  <si>
    <t>0039</t>
  </si>
  <si>
    <t>Monbijoupark, Instandsetzung (a)</t>
  </si>
  <si>
    <t>5202-100-0052</t>
  </si>
  <si>
    <t>0052</t>
  </si>
  <si>
    <t>Schanze Kleine, Parkpflegewerk (a)</t>
  </si>
  <si>
    <t>5202-100-0060</t>
  </si>
  <si>
    <t>0060</t>
  </si>
  <si>
    <t>5202-100-0072</t>
  </si>
  <si>
    <t>0072</t>
  </si>
  <si>
    <t>Sitzbänke hindernisfrei (a)</t>
  </si>
  <si>
    <t>5202-100-0073</t>
  </si>
  <si>
    <t>0073</t>
  </si>
  <si>
    <t>Wasserbecken, Sicherheit (a)</t>
  </si>
  <si>
    <t>5202-100-0082</t>
  </si>
  <si>
    <t>0082</t>
  </si>
  <si>
    <t>Allmend kleine, Pumptrack (a)</t>
  </si>
  <si>
    <t>5202-100-0091</t>
  </si>
  <si>
    <t>0091</t>
  </si>
  <si>
    <t>Bienzgut, Generationenpark (a)</t>
  </si>
  <si>
    <t>5202-100-0008</t>
  </si>
  <si>
    <t>Bremgarten FRH, Quartierpark (a)</t>
  </si>
  <si>
    <t>5202-100-0017</t>
  </si>
  <si>
    <t>0017</t>
  </si>
  <si>
    <t>Bremgarten FRH, Quartierpark (b)</t>
  </si>
  <si>
    <t>Brünnen, Parkanlage (a)</t>
  </si>
  <si>
    <t>5202-100-0018</t>
  </si>
  <si>
    <t>Brünnengut, Barockparterre, Bepflanzung (a)</t>
  </si>
  <si>
    <t>5202-100-0019</t>
  </si>
  <si>
    <t>Mittelstrasse 43, Platzgestaltung (a)</t>
  </si>
  <si>
    <t>5202-100-0051</t>
  </si>
  <si>
    <t>0051</t>
  </si>
  <si>
    <t>Mittelstrasse 43, Platzgestaltung (b)</t>
  </si>
  <si>
    <t>Öffentliches Mobiliar, Pilotprojekt (a)</t>
  </si>
  <si>
    <t>5202-100-0057</t>
  </si>
  <si>
    <t>0057</t>
  </si>
  <si>
    <t>Viererfeld, Pumptrack (a)</t>
  </si>
  <si>
    <t>5202-100-0090</t>
  </si>
  <si>
    <t>0090</t>
  </si>
  <si>
    <t>Wohnumfeldverbess. 3, Stadtteile I-VI (a)</t>
  </si>
  <si>
    <t>5202-100-0085</t>
  </si>
  <si>
    <t>0085</t>
  </si>
  <si>
    <t>WUV (a)</t>
  </si>
  <si>
    <t>5202-100-0086</t>
  </si>
  <si>
    <t>0086</t>
  </si>
  <si>
    <t>Aarstrasse KSP, Wiederherstellung (a)</t>
  </si>
  <si>
    <t>5202-100-0002</t>
  </si>
  <si>
    <t>Aarstrasse KSP, Wiederherstellung (b)</t>
  </si>
  <si>
    <t>Dählhölzli KSP, Gesamterneuerung (a)</t>
  </si>
  <si>
    <t>5202-100-0027</t>
  </si>
  <si>
    <t>0027</t>
  </si>
  <si>
    <t>Holligen KSP, Gesamterneuerung (a)</t>
  </si>
  <si>
    <t>5202-100-0041</t>
  </si>
  <si>
    <t>0041</t>
  </si>
  <si>
    <t>Holligen KSP, Gesamterneuerung (b)</t>
  </si>
  <si>
    <t>Humboldtstr. Obere, Anlage und Spielplatz (a)</t>
  </si>
  <si>
    <t>5202-100-0042</t>
  </si>
  <si>
    <t>0042</t>
  </si>
  <si>
    <t>Humboldtstr. Untere, Anlage und Spielplatz (a)</t>
  </si>
  <si>
    <t>5202-100-0043</t>
  </si>
  <si>
    <t>0043</t>
  </si>
  <si>
    <t>Johanneskirche, Instandsetzung Spielplatz (a)</t>
  </si>
  <si>
    <t>5202-100-0044</t>
  </si>
  <si>
    <t>0044</t>
  </si>
  <si>
    <t>Johanneskirche, Instandsetzung Spielplatz (b)</t>
  </si>
  <si>
    <t>Länggasse Schule KSP, Instandsetzung (a)</t>
  </si>
  <si>
    <t>5202-100-0047</t>
  </si>
  <si>
    <t>0047</t>
  </si>
  <si>
    <t>Länggasse Schule KSP, Instandsetzung (b)</t>
  </si>
  <si>
    <t>Manuelschule KSP, Instandsetzung (a)</t>
  </si>
  <si>
    <t>5202-100-0050</t>
  </si>
  <si>
    <t>0050</t>
  </si>
  <si>
    <t>Schanze Kleine KSP, Instandsetzung (a)</t>
  </si>
  <si>
    <t>5202-100-0059</t>
  </si>
  <si>
    <t>0059</t>
  </si>
  <si>
    <t>Schanze Kleine KSP, Instandsetzung (c)</t>
  </si>
  <si>
    <t>Spielplätze, Instandsetzungsplanung (a)</t>
  </si>
  <si>
    <t>5202-300-0010</t>
  </si>
  <si>
    <t>Spitalackerpark KSP, Instandsetzung (a)</t>
  </si>
  <si>
    <t>5202-100-0074</t>
  </si>
  <si>
    <t>0074</t>
  </si>
  <si>
    <t>Spitalackerpark KSP, Instandsetzung (b)</t>
  </si>
  <si>
    <t>Tscharnergut KSP, Gesamterneuerung (a)</t>
  </si>
  <si>
    <t>5202-100-0079</t>
  </si>
  <si>
    <t>0079</t>
  </si>
  <si>
    <t>Veielihubel KSP, Instandsetzung (a)</t>
  </si>
  <si>
    <t>5202-100-0080</t>
  </si>
  <si>
    <t>0080</t>
  </si>
  <si>
    <t>Veielihubel KSP, Instandsetzung (b)</t>
  </si>
  <si>
    <t>Veielihubel KSP, Instandsetzung (c)</t>
  </si>
  <si>
    <t>Viktoriastrasse, Instands. Anlage und KSP (a)</t>
  </si>
  <si>
    <t>5202-100-0081</t>
  </si>
  <si>
    <t>0081</t>
  </si>
  <si>
    <t>Wyler Alt KSP, Instandsetzung (a)</t>
  </si>
  <si>
    <t>5202-100-0087</t>
  </si>
  <si>
    <t>0087</t>
  </si>
  <si>
    <t>Wyssloch, Zwischennutzungen (a)</t>
  </si>
  <si>
    <t>5202-100-0056</t>
  </si>
  <si>
    <t>0056</t>
  </si>
  <si>
    <t>Ausführungskredit Massnahmen - WUV 5 (a)</t>
  </si>
  <si>
    <t>5202-100-0006</t>
  </si>
  <si>
    <t>Falkenplatz KSP - WUV 5 (a)</t>
  </si>
  <si>
    <t>5202-100-0033</t>
  </si>
  <si>
    <t>0033</t>
  </si>
  <si>
    <t>Falkenplatz KSP - WUV 5 (b)</t>
  </si>
  <si>
    <t>Falkenplatz KSP - WUV 5 (c)</t>
  </si>
  <si>
    <t>Höhe Spielplatz, WUV4 (a)</t>
  </si>
  <si>
    <t>5202-100-0040</t>
  </si>
  <si>
    <t>0040</t>
  </si>
  <si>
    <t>Looslistrasse 15 KSP - WUV 5 (a)</t>
  </si>
  <si>
    <t>5202-100-0049</t>
  </si>
  <si>
    <t>0049</t>
  </si>
  <si>
    <t>Looslistrasse 15 KSP - WUV 5 (b)</t>
  </si>
  <si>
    <t>Looslistrasse 15 KSP - WUV 5 (c)</t>
  </si>
  <si>
    <t>Winterhalde KSP - WUV5 (a)</t>
  </si>
  <si>
    <t>5202-100-0084</t>
  </si>
  <si>
    <t>0084</t>
  </si>
  <si>
    <t>Winterhalde KSP - WUV5 (b)</t>
  </si>
  <si>
    <t>Bubenbergrain FG, Instandsetzung (a)</t>
  </si>
  <si>
    <t>5202-100-0021</t>
  </si>
  <si>
    <t>Eymatt Familiengärten, Instandsetzung (a)</t>
  </si>
  <si>
    <t>5202-100-0032</t>
  </si>
  <si>
    <t>0032</t>
  </si>
  <si>
    <t>Familiengärten, div. Instandsetzungsarbeiten (a)</t>
  </si>
  <si>
    <t>5202-100-0034</t>
  </si>
  <si>
    <t>0034</t>
  </si>
  <si>
    <t>Familiengärten, div. Instandsetzungsarbeiten (c)</t>
  </si>
  <si>
    <t>Mutachstrasse FG, Aufhebung (a)</t>
  </si>
  <si>
    <t>5202-100-0054</t>
  </si>
  <si>
    <t>0054</t>
  </si>
  <si>
    <t>Studerstein FG, WC-Kanalisation (c)</t>
  </si>
  <si>
    <t>0076</t>
  </si>
  <si>
    <t>Dählhölzli KSP, Gesamterneuerung (b - P.)</t>
  </si>
  <si>
    <t>Dählhölzli KSP, Gesamterneuerung (c - P.)</t>
  </si>
  <si>
    <t>Projektleitung Neophytenbekämpfung (a – P.)</t>
  </si>
  <si>
    <t>5202-401-0006</t>
  </si>
  <si>
    <t>Aare, Hochwasserschutz Bern (a)</t>
  </si>
  <si>
    <t>5202-200-0001</t>
  </si>
  <si>
    <t>Ausserholligen ESP (a)</t>
  </si>
  <si>
    <t>5202-200-0002</t>
  </si>
  <si>
    <t>Bahnhof Bern, Ausbau SBB/RBS (a)</t>
  </si>
  <si>
    <t>5202-200-0003</t>
  </si>
  <si>
    <t>Bären-/Waisenhausplatz (a)</t>
  </si>
  <si>
    <t>5202-200-0004</t>
  </si>
  <si>
    <t>Bauordnung, Revision: Baumschutz (a)</t>
  </si>
  <si>
    <t>5202-200-0005</t>
  </si>
  <si>
    <t>Bethlehemacker Planung (a)</t>
  </si>
  <si>
    <t>5202-200-0006</t>
  </si>
  <si>
    <t>Bethlehemacker VS, Ersatzneubau (a)</t>
  </si>
  <si>
    <t>5202-200-0007</t>
  </si>
  <si>
    <t>Bitzius VS, Turnhalle (a)</t>
  </si>
  <si>
    <t>5202-200-0008</t>
  </si>
  <si>
    <t>Breitenrain "dr nöi Breitsch" (a)</t>
  </si>
  <si>
    <t>5202-200-0009</t>
  </si>
  <si>
    <t>Breitenrain-Länggasse, FVV (a)</t>
  </si>
  <si>
    <t>5202-200-0010</t>
  </si>
  <si>
    <t>Brünnen, Nutzungskonzept Bauten (a)</t>
  </si>
  <si>
    <t>5202-200-0013</t>
  </si>
  <si>
    <t>Brünnen, Schulanlage (a)</t>
  </si>
  <si>
    <t>5202-200-0014</t>
  </si>
  <si>
    <t>Brunnmattstr. - Fischermätteli, Instandsetzung (a)</t>
  </si>
  <si>
    <t>5202-200-0015</t>
  </si>
  <si>
    <t>5202-200-0016</t>
  </si>
  <si>
    <t>0016</t>
  </si>
  <si>
    <t>Containerstandplätze Stadt Bern (a)</t>
  </si>
  <si>
    <t>5202-200-0092</t>
  </si>
  <si>
    <t>0092</t>
  </si>
  <si>
    <t>Effinger-/Belpstrasse, BGK (a)</t>
  </si>
  <si>
    <t>5202-200-0019</t>
  </si>
  <si>
    <t>Eigerplatz Umgestaltung (a)</t>
  </si>
  <si>
    <t>5202-200-0020</t>
  </si>
  <si>
    <t>Elfenau Parkpflegewerk, Umsetzung (a)</t>
  </si>
  <si>
    <t>5202-200-0021</t>
  </si>
  <si>
    <t>Elfenau Pavillon VS, Ersatzneubau (a)</t>
  </si>
  <si>
    <t>5202-200-0022</t>
  </si>
  <si>
    <t>Externe, Diverse Kleinarbeiten (a)</t>
  </si>
  <si>
    <t>5202-200-0023</t>
  </si>
  <si>
    <t>0023</t>
  </si>
  <si>
    <t>Felsenaustrasse, Anwohnergärten (a)</t>
  </si>
  <si>
    <t>5202-200-0024</t>
  </si>
  <si>
    <t>0024</t>
  </si>
  <si>
    <t>Gäbelbach, Hochwasserschutzkonzept (a)</t>
  </si>
  <si>
    <t>5202-200-0026</t>
  </si>
  <si>
    <t>Gaswerkareal, Umnutzung (a)</t>
  </si>
  <si>
    <t>5202-200-0027</t>
  </si>
  <si>
    <t>Gesamtprojekt Bern OST (GBO) (a)</t>
  </si>
  <si>
    <t>5202-200-0090</t>
  </si>
  <si>
    <t>Goumoën Areal, Machbarkeitsstudie (a)</t>
  </si>
  <si>
    <t>5202-200-0029</t>
  </si>
  <si>
    <t>Handbuch Planen und Bauen, Revision 2016 (a)</t>
  </si>
  <si>
    <t>5202-200-0030</t>
  </si>
  <si>
    <t>0030</t>
  </si>
  <si>
    <t>Heilpädagogische Schule Bern - HPS (a)</t>
  </si>
  <si>
    <t>5202-200-0094</t>
  </si>
  <si>
    <t>0094</t>
  </si>
  <si>
    <t>Helvetiaplatz, Umgestaltung (a)</t>
  </si>
  <si>
    <t>5202-200-0031</t>
  </si>
  <si>
    <t>Hindernisfreier Raum, ÖV-Haltestellen 2023 (a)</t>
  </si>
  <si>
    <t>5202-200-0032</t>
  </si>
  <si>
    <t>Hindernisfreier Raum, Umsetzung (a)</t>
  </si>
  <si>
    <t>5202-200-0033</t>
  </si>
  <si>
    <t>Holligen Nord, Wettbewerb (a)</t>
  </si>
  <si>
    <t>5202-200-0034</t>
  </si>
  <si>
    <t>Hopfgut, Nutzungsentwicklung (a)</t>
  </si>
  <si>
    <t>5202-200-0035</t>
  </si>
  <si>
    <t>Inselareal, Baufeld 12 (a)</t>
  </si>
  <si>
    <t>5202-200-0036</t>
  </si>
  <si>
    <t>Kleefeld VS, Ersatzneubau (a)</t>
  </si>
  <si>
    <t>5202-200-0095</t>
  </si>
  <si>
    <t>0095</t>
  </si>
  <si>
    <t>Laupenstrasse 49 + 51 Villa; Instandsetzung (a)</t>
  </si>
  <si>
    <t>5202-200-0040</t>
  </si>
  <si>
    <t>Laupenstrasse 49 + 51 Villa; Instandsetzung (b-P.)</t>
  </si>
  <si>
    <t>Lorraine VS, Gesamterneuerung (a)</t>
  </si>
  <si>
    <t>5202-200-0041</t>
  </si>
  <si>
    <t>Loryplatz; Fusswegverbindung zum Loryspital (a)</t>
  </si>
  <si>
    <t>5202-200-0043</t>
  </si>
  <si>
    <t>Manuelschule, Erweiterungsbau (a)</t>
  </si>
  <si>
    <t>5202-200-0044</t>
  </si>
  <si>
    <t>5202-200-0045</t>
  </si>
  <si>
    <t>0045</t>
  </si>
  <si>
    <t>Marzili, Platzgestaltung (a)</t>
  </si>
  <si>
    <t>5202-200-0046</t>
  </si>
  <si>
    <t>0046</t>
  </si>
  <si>
    <t>Marzilibad, Entwicklungsplanung (a)</t>
  </si>
  <si>
    <t>5202-200-0047</t>
  </si>
  <si>
    <t>Marzilischule, Wettbewerb (a)</t>
  </si>
  <si>
    <t>5202-200-0049</t>
  </si>
  <si>
    <t>Monbijoustr. - Seftigenstr, Instandsetzung (a)</t>
  </si>
  <si>
    <t>5202-200-0050</t>
  </si>
  <si>
    <t>Murtenstrasse (10-66), Umgestaltung (a)</t>
  </si>
  <si>
    <t>5202-200-0052</t>
  </si>
  <si>
    <t>Neufeld, Schwimmhalle (a)</t>
  </si>
  <si>
    <t>5202-200-0053</t>
  </si>
  <si>
    <t>0053</t>
  </si>
  <si>
    <t>Pestalozzi VS, Basisstufe Neubau (a)</t>
  </si>
  <si>
    <t>5202-200-0056</t>
  </si>
  <si>
    <t>Schönberg Ost, Erschliessung und Park (a)</t>
  </si>
  <si>
    <t>5202-200-0059</t>
  </si>
  <si>
    <t>Schönbergareal Parkpflegewerk, Umsetzung (a)</t>
  </si>
  <si>
    <t>5202-200-0060</t>
  </si>
  <si>
    <t>Schul-,Sport- und Sozialbauten, div.Kleinarb. (a)</t>
  </si>
  <si>
    <t>5202-200-0062</t>
  </si>
  <si>
    <t>Schützenmatte, Planung (a)</t>
  </si>
  <si>
    <t>5202-200-0063</t>
  </si>
  <si>
    <t>Schwarztorstrasse BGK (a)</t>
  </si>
  <si>
    <t>5202-200-0065</t>
  </si>
  <si>
    <t>0065</t>
  </si>
  <si>
    <t>Spitalacker VS, Erweiterungsbau (a)</t>
  </si>
  <si>
    <t>5202-200-0093</t>
  </si>
  <si>
    <t>0093</t>
  </si>
  <si>
    <t>Stadtplanungsamt, diverse Kleinarbeiten (a)</t>
  </si>
  <si>
    <t>5202-200-0068</t>
  </si>
  <si>
    <t>0068</t>
  </si>
  <si>
    <t>Stadtverwaltung übrige, diverse Kleinarbeiten (a)</t>
  </si>
  <si>
    <t>5202-200-0070</t>
  </si>
  <si>
    <t>Stapfenacker VS, Erweiterungsbau (a)</t>
  </si>
  <si>
    <t>5202-200-0072</t>
  </si>
  <si>
    <t>Steigerhubel VS, Instandsetzung Umgebung (a)</t>
  </si>
  <si>
    <t>5202-201-0073</t>
  </si>
  <si>
    <t>5202-200-0074</t>
  </si>
  <si>
    <t>Tiefbauamt, diverse Kleinarbeiten (a)</t>
  </si>
  <si>
    <t>5202-200-0075</t>
  </si>
  <si>
    <t>0075</t>
  </si>
  <si>
    <t>Tram Ostermundigen (a)</t>
  </si>
  <si>
    <t>5202-200-0076</t>
  </si>
  <si>
    <t>Tscharnergut Quartierzentrum (a)</t>
  </si>
  <si>
    <t>5202-200-0077</t>
  </si>
  <si>
    <t>0077</t>
  </si>
  <si>
    <t>Velorouten (a)</t>
  </si>
  <si>
    <t>5202-200-0078</t>
  </si>
  <si>
    <t>0078</t>
  </si>
  <si>
    <t>Veloverleihsystem VVS (a)</t>
  </si>
  <si>
    <t>5202-200-0079</t>
  </si>
  <si>
    <t>Verkehrsplanung, diverse Kleinarbeiten (a)</t>
  </si>
  <si>
    <t>5202-200-0080</t>
  </si>
  <si>
    <t>5202-200-0081</t>
  </si>
  <si>
    <t>Viktoriarain BGK (a)</t>
  </si>
  <si>
    <t>5202-200-0082</t>
  </si>
  <si>
    <t>Wankdorf ESP (a)</t>
  </si>
  <si>
    <t>5202-200-0083</t>
  </si>
  <si>
    <t>Wankdorf KRW (a)</t>
  </si>
  <si>
    <t>5202-200-0084</t>
  </si>
  <si>
    <t>Wankdorffeld Sprachheilschule + KG (a)</t>
  </si>
  <si>
    <t>5202-200-0085</t>
  </si>
  <si>
    <t>Warmbächliweg Verlängerung Buslinie 11 (a)</t>
  </si>
  <si>
    <t>5202-200-0086</t>
  </si>
  <si>
    <t>Warmbächliweg, Wettbewerb (a)</t>
  </si>
  <si>
    <t>5202-200-0087</t>
  </si>
  <si>
    <t>Weihergasse Jugendherberge, Umsetzung (a)</t>
  </si>
  <si>
    <t>5202-200-0088</t>
  </si>
  <si>
    <t>Wyssloch Stadtteilpark (a)</t>
  </si>
  <si>
    <t>5202-200-0089</t>
  </si>
  <si>
    <t>Wyssloch, Schulanlage (a)</t>
  </si>
  <si>
    <t>5202-200-0091</t>
  </si>
  <si>
    <t>Öffentlichkeitsarbeit, diverse Kleinarbeiten (a)</t>
  </si>
  <si>
    <t>5202-500-0017</t>
  </si>
  <si>
    <t>Öffentlichkeitsarbeit,Führungen,Vorträge etc. (a)</t>
  </si>
  <si>
    <t>5202-500-0016</t>
  </si>
  <si>
    <t>Grünes Klassenzimmer, Administration (a)</t>
  </si>
  <si>
    <t>5202-500-0023</t>
  </si>
  <si>
    <t>Grünes Klassenzimmer, Klassen</t>
  </si>
  <si>
    <t>5202-500-0012</t>
  </si>
  <si>
    <t>Grünes Klassenzimmer, Pflege (a)</t>
  </si>
  <si>
    <t>5202-500-0024</t>
  </si>
  <si>
    <t>Grünes Klassenzimmer, Werkstätten</t>
  </si>
  <si>
    <t>5202-500-0013</t>
  </si>
  <si>
    <t>Wildwechsel - Betrieb</t>
  </si>
  <si>
    <t>5202-500-0022</t>
  </si>
  <si>
    <t>Ausführungskredit Massnahmen - WUV 5 (b)</t>
  </si>
  <si>
    <t>Bümpliz-Statthalter VS, Gesamterneuerung (a)</t>
  </si>
  <si>
    <t xml:space="preserve">Kommunikation </t>
  </si>
  <si>
    <t>Geschäftskategorie</t>
  </si>
  <si>
    <t>Leistungsart</t>
  </si>
  <si>
    <t>Verrechbarkeit</t>
  </si>
  <si>
    <t xml:space="preserve">HSB </t>
  </si>
  <si>
    <t>ISB</t>
  </si>
  <si>
    <t>SPA</t>
  </si>
  <si>
    <t>TAB</t>
  </si>
  <si>
    <t>VP</t>
  </si>
  <si>
    <t>ASTRA</t>
  </si>
  <si>
    <t>SBB</t>
  </si>
  <si>
    <t>BLS</t>
  </si>
  <si>
    <t>Andere</t>
  </si>
  <si>
    <t>Kapazitiv</t>
  </si>
  <si>
    <t>Involviert</t>
  </si>
  <si>
    <t>CFr</t>
  </si>
  <si>
    <t>Status Projektkedit</t>
  </si>
  <si>
    <t>budgetiert</t>
  </si>
  <si>
    <t xml:space="preserve">Fremdfinanziert </t>
  </si>
  <si>
    <t>Budget funkt. Unterhalt</t>
  </si>
  <si>
    <t>Budget Honorar Einnahmen</t>
  </si>
  <si>
    <t>Rader oder Portfolio</t>
  </si>
  <si>
    <t>Projekt-Kategorie (E3 / Produkt)</t>
  </si>
  <si>
    <t>Federführende Stelle</t>
  </si>
  <si>
    <t>Projektzuteilung</t>
  </si>
  <si>
    <t xml:space="preserve">Projekt-Risikobeurteilung </t>
  </si>
  <si>
    <t>quartal</t>
  </si>
  <si>
    <t>14-tägig</t>
  </si>
  <si>
    <t>Spalte H
(Projektziel)</t>
  </si>
  <si>
    <t>Spalte Q
(Bemerkung Projektdaten)</t>
  </si>
  <si>
    <t>FBo (ext.)</t>
  </si>
  <si>
    <t>JFl</t>
  </si>
  <si>
    <t>Planungen, Studien, Arealentwicklung</t>
  </si>
  <si>
    <t>Spalten L - P (E3)</t>
  </si>
  <si>
    <t>Projektfinanzen</t>
  </si>
  <si>
    <t>Planerleistung</t>
  </si>
  <si>
    <t>Ext.</t>
  </si>
  <si>
    <t>Projektleitung SGB</t>
  </si>
  <si>
    <t>ausstehend</t>
  </si>
  <si>
    <t>Finanzierung</t>
  </si>
  <si>
    <t>Zeitliche</t>
  </si>
  <si>
    <t>Inhaltliche</t>
  </si>
  <si>
    <t>Mehrwertabschöpfung3</t>
  </si>
  <si>
    <t>Mehrwertabschöpfung4</t>
  </si>
  <si>
    <t>Mehrwertabschöpfung5</t>
  </si>
  <si>
    <t>Mehrwertabschöpfung6</t>
  </si>
  <si>
    <t>Investitions-Nr.</t>
  </si>
  <si>
    <t>Geschäftsnummer</t>
  </si>
  <si>
    <t>SA</t>
  </si>
  <si>
    <t>SCH</t>
  </si>
  <si>
    <t>Projektverantwortung
(Lenkungsausschuss)</t>
  </si>
  <si>
    <t>Gesamtprojektleitung
(Koordinationsteam)</t>
  </si>
  <si>
    <r>
      <rPr>
        <strike/>
        <sz val="10"/>
        <color theme="1"/>
        <rFont val="Calibri"/>
        <family val="2"/>
        <scheme val="minor"/>
      </rPr>
      <t>STEK 15 /</t>
    </r>
    <r>
      <rPr>
        <sz val="10"/>
        <color theme="1"/>
        <rFont val="Calibri"/>
        <family val="2"/>
        <scheme val="minor"/>
      </rPr>
      <t xml:space="preserve"> Freiraumkonzept (a)</t>
    </r>
  </si>
  <si>
    <t>Stab</t>
  </si>
  <si>
    <t>Projektstatus
Projektphase</t>
  </si>
  <si>
    <t>Start ausstehend</t>
  </si>
  <si>
    <t>21 Definition des Bauvorhabens</t>
  </si>
  <si>
    <t>22 Auswahlverfahren</t>
  </si>
  <si>
    <t>31 Vorprojekt</t>
  </si>
  <si>
    <t>32 Bauprojekt</t>
  </si>
  <si>
    <t>33 Bewilligungsverfahren</t>
  </si>
  <si>
    <t>41 Ausschreibung, Offertvergleich, Vergabe</t>
  </si>
  <si>
    <t>51 Ausführungsprojekt</t>
  </si>
  <si>
    <t>53 Inbetriebnahme, Abschluss</t>
  </si>
  <si>
    <t>61 Betrieb</t>
  </si>
  <si>
    <t>62 Überwachung, Überprüfung, Wartung</t>
  </si>
  <si>
    <t>63 Instandhaltung</t>
  </si>
  <si>
    <t>0 Vorarbeiten</t>
  </si>
  <si>
    <t>Abgeschlossen</t>
  </si>
  <si>
    <t>52 Realisierung</t>
  </si>
  <si>
    <t>Anderes (nicht SIA)</t>
  </si>
  <si>
    <t>Abr. / Archiv</t>
  </si>
  <si>
    <t>Rki</t>
  </si>
  <si>
    <t>Schanze Kleine KSP, Instandsetzung (b)</t>
  </si>
  <si>
    <t>Aargauerstalden, Instandsetzung Fussweg (c)</t>
  </si>
  <si>
    <t>Aarstrasse KSP, Wiederherstellung (c)</t>
  </si>
  <si>
    <t>Ausführungskredit Massnahmen - WUV 5 (c)</t>
  </si>
  <si>
    <t>Bremgarten FRH, Buddhistisches Grabfeld (c)</t>
  </si>
  <si>
    <t>Holligen KSP, Gesamterneuerung (c)</t>
  </si>
  <si>
    <t>Johanneskirche, Instandsetzung Spielplatz (c)</t>
  </si>
  <si>
    <t>Länggasse Schule KSP, Instandsetzung (c)</t>
  </si>
  <si>
    <t>Mittelstrasse 43, Platzgestaltung (c)</t>
  </si>
  <si>
    <t>Spitalackerpark KSP, Instandsetzung (c)</t>
  </si>
  <si>
    <t>Weyermannsstr. Instands. PP und Trottoir (c)</t>
  </si>
  <si>
    <t>Winterhalde KSP - WUV5 (c)</t>
  </si>
  <si>
    <t>Schosshalden FRH, Instands. Urnennischenw. (a)</t>
  </si>
  <si>
    <t>Schosshalden FRH, Instands. Urnennischenw. (b)</t>
  </si>
  <si>
    <t>x</t>
  </si>
  <si>
    <t>Bremgarten FRH, Quartierpark (c)</t>
  </si>
  <si>
    <t>31 BGK</t>
  </si>
  <si>
    <t>Familiengärten, div. Instandsetzungsarbeiten (b)</t>
  </si>
  <si>
    <t>Abgeschl.</t>
  </si>
  <si>
    <t>Verwaltungsvermögen (HSB)</t>
  </si>
  <si>
    <t>Finanzvermögen (Fonds)</t>
  </si>
  <si>
    <t>Spalte1</t>
  </si>
  <si>
    <t>Art der Abhängigkeit</t>
  </si>
  <si>
    <t>xx Abrechnung / Archivierung</t>
  </si>
  <si>
    <t>Projektleitung</t>
  </si>
  <si>
    <t>Total Aufwand
1. Quartal 2018</t>
  </si>
  <si>
    <t>2. Quartal 2018
(Phase)</t>
  </si>
  <si>
    <t>1. Quartal 2018
(Phase)</t>
  </si>
  <si>
    <t>Total Aufwand
2018</t>
  </si>
  <si>
    <t xml:space="preserve">Projektverantwortung
(Lenkungsausschuss) </t>
  </si>
  <si>
    <t xml:space="preserve">Gesamtprojektleitung
(Koordinationsteam) </t>
  </si>
  <si>
    <t xml:space="preserve">Projektleitung </t>
  </si>
  <si>
    <t xml:space="preserve">Planerleistung </t>
  </si>
  <si>
    <t xml:space="preserve">Bauleitung </t>
  </si>
  <si>
    <t xml:space="preserve">ZeichnerIn </t>
  </si>
  <si>
    <t xml:space="preserve">Projektverantwortung
(Lenkungsausschuss)   </t>
  </si>
  <si>
    <t xml:space="preserve">Gesamtprojektleitung
(Koordinationsteam)   </t>
  </si>
  <si>
    <t xml:space="preserve">Projektleitung   </t>
  </si>
  <si>
    <t xml:space="preserve">Planerleistung   </t>
  </si>
  <si>
    <t xml:space="preserve">Bauleitung   </t>
  </si>
  <si>
    <t xml:space="preserve">ZeichnerIn   </t>
  </si>
  <si>
    <t xml:space="preserve">Kommunikation   </t>
  </si>
  <si>
    <t>Total Aufwand
2. Quartal 2018</t>
  </si>
  <si>
    <t>3. Quartal 2018
(Phase)</t>
  </si>
  <si>
    <t>Total Aufwand
3. Quartal 2018</t>
  </si>
  <si>
    <t>4. Quartal 2018
(Phase)</t>
  </si>
  <si>
    <t>Total Aufwand
4. Quartal 2018</t>
  </si>
  <si>
    <t>Projektverantwortung
(Lenkungsausschuss).</t>
  </si>
  <si>
    <t xml:space="preserve">Bauleitung    </t>
  </si>
  <si>
    <t xml:space="preserve">Projektverantwortung
(Lenkungsausschuss)    </t>
  </si>
  <si>
    <t xml:space="preserve">Gesamtprojektleitung
(Koordinationsteam)    </t>
  </si>
  <si>
    <t xml:space="preserve">Projektleitung    </t>
  </si>
  <si>
    <t xml:space="preserve">Planerleistung    </t>
  </si>
  <si>
    <t xml:space="preserve">ZeichnerIn    </t>
  </si>
  <si>
    <t xml:space="preserve">Kommunikation    </t>
  </si>
  <si>
    <t xml:space="preserve">Gesamtprojektleitung
(Koordinationsteam)     </t>
  </si>
  <si>
    <t xml:space="preserve">Projektleitung     </t>
  </si>
  <si>
    <t xml:space="preserve">Planerleistung     </t>
  </si>
  <si>
    <t xml:space="preserve">Bauleitung     </t>
  </si>
  <si>
    <t xml:space="preserve">ZeichnerIn     </t>
  </si>
  <si>
    <t xml:space="preserve">Kommunikation     </t>
  </si>
  <si>
    <t>Projektablauf &amp; Ressourcenplanung 2019</t>
  </si>
  <si>
    <t>1. Quartal 2019
(Phase)</t>
  </si>
  <si>
    <t>2. Quartal 2019
(Phase)</t>
  </si>
  <si>
    <t>3. Quartal 2019
(Phase)</t>
  </si>
  <si>
    <t>4. Quartal 2019
(Phase)</t>
  </si>
  <si>
    <t>Total Aufwand
2019</t>
  </si>
  <si>
    <t>Projektablauf &amp; Ressourcenplanung 2020</t>
  </si>
  <si>
    <t>1. Quartal 2020
(Phase)</t>
  </si>
  <si>
    <t>2. Quartal 2020
(Phase)</t>
  </si>
  <si>
    <t>3. Quartal 2020
(Phase)</t>
  </si>
  <si>
    <t>4. Quartal 2020
(Phase)</t>
  </si>
  <si>
    <t>Aufwand 2</t>
  </si>
  <si>
    <t xml:space="preserve">Aufwand </t>
  </si>
  <si>
    <t>Aufwand 3</t>
  </si>
  <si>
    <t>Aufwand 4</t>
  </si>
  <si>
    <t xml:space="preserve">Aufwand  </t>
  </si>
  <si>
    <t>Aufwand  2</t>
  </si>
  <si>
    <t>Aufwand  3</t>
  </si>
  <si>
    <t>Aufwand  4</t>
  </si>
  <si>
    <t xml:space="preserve">Aufwand   </t>
  </si>
  <si>
    <t>Aufwand   2</t>
  </si>
  <si>
    <t>Aufwand   3</t>
  </si>
  <si>
    <t>Aufwand   4</t>
  </si>
  <si>
    <t>1. Quartal 2021
(Phase)</t>
  </si>
  <si>
    <t>2. Quartal 2021
(Phase)</t>
  </si>
  <si>
    <t>3. Quartal 2021
(Phase)</t>
  </si>
  <si>
    <t>4. Quartal 2021
(Phase)</t>
  </si>
  <si>
    <t>Total Aufwand
2020</t>
  </si>
  <si>
    <t>Projektablauf &amp; Ressourcenplanung 2021</t>
  </si>
  <si>
    <t>Total Aufwand
2021</t>
  </si>
  <si>
    <t>Aufwand 2023</t>
  </si>
  <si>
    <t>Planung 2023</t>
  </si>
  <si>
    <t>Planung 2022</t>
  </si>
  <si>
    <t>Aufwand 2022</t>
  </si>
  <si>
    <t>Phase 2022</t>
  </si>
  <si>
    <t>Phase 2023</t>
  </si>
  <si>
    <t>Gesamaufwand</t>
  </si>
  <si>
    <r>
      <t xml:space="preserve">Projekthandbuch </t>
    </r>
    <r>
      <rPr>
        <sz val="10"/>
        <color rgb="FFFF0000"/>
        <rFont val="Calibri"/>
        <family val="2"/>
        <scheme val="minor"/>
      </rPr>
      <t>für Datenbank</t>
    </r>
  </si>
  <si>
    <r>
      <t xml:space="preserve">Projektziel </t>
    </r>
    <r>
      <rPr>
        <sz val="10"/>
        <color rgb="FFFF0000"/>
        <rFont val="Calibri"/>
        <family val="2"/>
        <scheme val="minor"/>
      </rPr>
      <t>für Datenbank</t>
    </r>
  </si>
  <si>
    <t>Velo</t>
  </si>
  <si>
    <t xml:space="preserve">Velo </t>
  </si>
  <si>
    <t xml:space="preserve">Spielplatz </t>
  </si>
  <si>
    <t xml:space="preserve">Park- &amp; Grünanlagen </t>
  </si>
  <si>
    <t>Infrastruktur Werterhalt</t>
  </si>
  <si>
    <t>Grundlagenarbeit, Planung &amp; Diverses</t>
  </si>
  <si>
    <t>Infrastruktur Wertvermehrung</t>
  </si>
  <si>
    <t>Bümpliz, Sützpunkt WEST NEU</t>
  </si>
  <si>
    <t xml:space="preserve">Bremgarten FRH, Urnenthemengräber, Erweiterung </t>
  </si>
  <si>
    <t>Familiengärten, Bauordnung, Überarbeitung</t>
  </si>
  <si>
    <t>Strategische Bedeutung</t>
  </si>
  <si>
    <t>Operative Dringlichkeit</t>
  </si>
  <si>
    <t>Name</t>
  </si>
  <si>
    <t>Stellenprozente</t>
  </si>
  <si>
    <t>RADAR</t>
  </si>
  <si>
    <r>
      <rPr>
        <sz val="12"/>
        <color theme="1" tint="0.249977111117893"/>
        <rFont val="Calibri"/>
        <family val="2"/>
        <scheme val="minor"/>
      </rPr>
      <t>Kredit-  / Budgetsumme</t>
    </r>
    <r>
      <rPr>
        <sz val="10"/>
        <color theme="1" tint="0.249977111117893"/>
        <rFont val="Calibri"/>
        <family val="2"/>
        <scheme val="minor"/>
      </rPr>
      <t xml:space="preserve">
(RADAR: Gesamtkosten </t>
    </r>
    <r>
      <rPr>
        <sz val="16"/>
        <color theme="1" tint="0.249977111117893"/>
        <rFont val="Symbol"/>
        <family val="1"/>
        <charset val="2"/>
      </rPr>
      <t>S</t>
    </r>
    <r>
      <rPr>
        <sz val="10"/>
        <color theme="1" tint="0.249977111117893"/>
        <rFont val="Calibri"/>
        <family val="2"/>
        <scheme val="minor"/>
      </rPr>
      <t>)</t>
    </r>
  </si>
  <si>
    <r>
      <t xml:space="preserve">Prognose 2018
(RADAR: Kosten 2018 </t>
    </r>
    <r>
      <rPr>
        <sz val="16"/>
        <color theme="1" tint="0.249977111117893"/>
        <rFont val="Symbol"/>
        <family val="1"/>
        <charset val="2"/>
      </rPr>
      <t>S</t>
    </r>
    <r>
      <rPr>
        <sz val="10"/>
        <color theme="1" tint="0.249977111117893"/>
        <rFont val="Calibri"/>
        <family val="2"/>
        <scheme val="minor"/>
      </rPr>
      <t>)</t>
    </r>
  </si>
  <si>
    <r>
      <t xml:space="preserve">Prognose 2019
(RADAR: Kosten 2019 </t>
    </r>
    <r>
      <rPr>
        <sz val="16"/>
        <color theme="1" tint="0.249977111117893"/>
        <rFont val="Symbol"/>
        <family val="1"/>
        <charset val="2"/>
      </rPr>
      <t>S</t>
    </r>
    <r>
      <rPr>
        <sz val="10"/>
        <color theme="1" tint="0.249977111117893"/>
        <rFont val="Calibri"/>
        <family val="2"/>
        <scheme val="minor"/>
      </rPr>
      <t>)</t>
    </r>
  </si>
  <si>
    <r>
      <t xml:space="preserve">Prognose 2020
(RADAR: Kosten 2020 </t>
    </r>
    <r>
      <rPr>
        <sz val="16"/>
        <color theme="1" tint="0.249977111117893"/>
        <rFont val="Symbol"/>
        <family val="1"/>
        <charset val="2"/>
      </rPr>
      <t>S</t>
    </r>
    <r>
      <rPr>
        <sz val="10"/>
        <color theme="1" tint="0.249977111117893"/>
        <rFont val="Calibri"/>
        <family val="2"/>
        <scheme val="minor"/>
      </rPr>
      <t>)</t>
    </r>
  </si>
  <si>
    <r>
      <t xml:space="preserve">Prognose 2021
(RADAR: Kosten 2021 </t>
    </r>
    <r>
      <rPr>
        <sz val="16"/>
        <color theme="1" tint="0.249977111117893"/>
        <rFont val="Symbol"/>
        <family val="1"/>
        <charset val="2"/>
      </rPr>
      <t>S</t>
    </r>
    <r>
      <rPr>
        <sz val="10"/>
        <color theme="1" tint="0.249977111117893"/>
        <rFont val="Calibri"/>
        <family val="2"/>
        <scheme val="minor"/>
      </rPr>
      <t>)</t>
    </r>
  </si>
  <si>
    <r>
      <t xml:space="preserve">Prognose 2022
(RADAR: Kosten 2022 </t>
    </r>
    <r>
      <rPr>
        <sz val="16"/>
        <color theme="1" tint="0.249977111117893"/>
        <rFont val="Symbol"/>
        <family val="1"/>
        <charset val="2"/>
      </rPr>
      <t>S</t>
    </r>
    <r>
      <rPr>
        <sz val="10"/>
        <color theme="1" tint="0.249977111117893"/>
        <rFont val="Calibri"/>
        <family val="2"/>
        <scheme val="minor"/>
      </rPr>
      <t>)</t>
    </r>
  </si>
  <si>
    <t>Total Aufwendungen Kosten / Personal (inkl. RADAR)</t>
  </si>
  <si>
    <t>MIP Biodiversität</t>
  </si>
  <si>
    <t>MIP WUV 5</t>
  </si>
  <si>
    <t>MIP WUV 6</t>
  </si>
  <si>
    <t>MIP Naturreservate Stadt Bern</t>
  </si>
  <si>
    <t>MIP Nachholbedarf FRH / Grünanlagen</t>
  </si>
  <si>
    <t xml:space="preserve">Finanzierungsart / MIP Ruprik </t>
  </si>
  <si>
    <t>X</t>
  </si>
  <si>
    <t>Finanzierungsart / MIP Rubrik</t>
  </si>
  <si>
    <t xml:space="preserve">I5200208 </t>
  </si>
  <si>
    <t>I5200200</t>
  </si>
  <si>
    <t>I5200229</t>
  </si>
  <si>
    <t>MIP WUV 4</t>
  </si>
  <si>
    <t>I5200222</t>
  </si>
  <si>
    <t>I5200231</t>
  </si>
  <si>
    <t>I5200230</t>
  </si>
  <si>
    <t>I5200093</t>
  </si>
  <si>
    <t>I5200116</t>
  </si>
  <si>
    <t>I5200228</t>
  </si>
  <si>
    <t>I52000219</t>
  </si>
  <si>
    <t>I5200201</t>
  </si>
  <si>
    <t>Holligen Nord, Parkanlage</t>
  </si>
  <si>
    <t>I5200151</t>
  </si>
  <si>
    <t xml:space="preserve">Viererfeld - Mittelfeld, Planung (a) (Park) </t>
  </si>
  <si>
    <t>Prognose 2023</t>
  </si>
  <si>
    <t xml:space="preserve">Mehrwertabschöpfung   </t>
  </si>
  <si>
    <t>Prognose 2024</t>
  </si>
  <si>
    <t>Prognose 2025</t>
  </si>
  <si>
    <t>Prognose 2026</t>
  </si>
  <si>
    <t xml:space="preserve">Mehrwertabschöpfung    </t>
  </si>
  <si>
    <t xml:space="preserve">Mehrwertabschöpfung      </t>
  </si>
  <si>
    <t xml:space="preserve">Mehrwertabschöpfung     </t>
  </si>
  <si>
    <t>I5200XXX</t>
  </si>
  <si>
    <t>I5200119</t>
  </si>
  <si>
    <t>I5200130</t>
  </si>
  <si>
    <t>Freiraumplanung Rahmenkredit</t>
  </si>
  <si>
    <t>I5200079</t>
  </si>
  <si>
    <t>Allmend kleine, Familiengartenareal, Voruntersuchung</t>
  </si>
  <si>
    <t>Allmend kleine, Familiengartenareal, Sanierung</t>
  </si>
  <si>
    <t>I5200118</t>
  </si>
  <si>
    <t>WUV 6</t>
  </si>
  <si>
    <t>Allmenden, Sanierung Zirkusplatz</t>
  </si>
  <si>
    <t>I5200102</t>
  </si>
  <si>
    <t>Spielplätze, Instandsetzungsplanung Tranchen</t>
  </si>
  <si>
    <t>WUV 7</t>
  </si>
  <si>
    <t>I5200060</t>
  </si>
  <si>
    <t xml:space="preserve">Englische Anlagen, Sanierung </t>
  </si>
  <si>
    <t xml:space="preserve">Gaswerkareal, Parkanlage </t>
  </si>
  <si>
    <t xml:space="preserve">Egelsee, Ökologie (a) * </t>
  </si>
  <si>
    <t>_Walk</t>
  </si>
  <si>
    <t>Neophytenkonzept, Infokampagne</t>
  </si>
  <si>
    <t>Rehhagplanung Bottigenmoos</t>
  </si>
  <si>
    <t xml:space="preserve">Stadtwildtiere, Internetplattform (a) </t>
  </si>
  <si>
    <t>MIP Natur Stadt Bern</t>
  </si>
  <si>
    <t>Naturerlebnispark Bern, Machbarkeitsstudie</t>
  </si>
  <si>
    <t>VSSG, Tagung Biodiversität</t>
  </si>
  <si>
    <t>Schosshalden FRH, Umfassungsmauer</t>
  </si>
  <si>
    <t>Werterhalt Grünanlagen</t>
  </si>
  <si>
    <t>Bümpliz FRH, Erweiterung Urnenthemengrab</t>
  </si>
  <si>
    <t>MIP WUV 7</t>
  </si>
  <si>
    <t>MIP WUV 3</t>
  </si>
  <si>
    <t>MIP ???</t>
  </si>
  <si>
    <t>Natur &amp; Ökologie</t>
  </si>
  <si>
    <t>SNe</t>
  </si>
  <si>
    <t>Bremgarten FRH, Pflegeplanung aktualisieren</t>
  </si>
  <si>
    <t>AZu (ext.)</t>
  </si>
  <si>
    <t>BEMotion Center (a)</t>
  </si>
  <si>
    <t>Bauleitung
(Baubegleitung)</t>
  </si>
  <si>
    <t>Friedhöfe, Instandsetzungsplanung (a) (SCHOSSER)</t>
  </si>
  <si>
    <t>Gartendenkmalpflege (a)</t>
  </si>
  <si>
    <t>Garteninventar (a)</t>
  </si>
  <si>
    <t>Bedarf Vollzeitstellen</t>
  </si>
  <si>
    <t>Bedarf Vollzeistellen</t>
  </si>
  <si>
    <t>Qindex, VSSG</t>
  </si>
  <si>
    <t>Prognose 2018</t>
  </si>
  <si>
    <t>Prognose 2019</t>
  </si>
  <si>
    <t>Prognose 2020</t>
  </si>
  <si>
    <t xml:space="preserve">Projektart </t>
  </si>
  <si>
    <t>Projektziel</t>
  </si>
  <si>
    <t xml:space="preserve">E3 Nummer </t>
  </si>
  <si>
    <t>Projektverantwortung</t>
  </si>
  <si>
    <t>Gesamtprojektleitung</t>
  </si>
  <si>
    <t>ZeichnerIN</t>
  </si>
  <si>
    <t>Bauleitung</t>
  </si>
  <si>
    <t>KW 10</t>
  </si>
  <si>
    <t>KW 11</t>
  </si>
  <si>
    <t>KW 12</t>
  </si>
  <si>
    <t>KW 13</t>
  </si>
  <si>
    <t>KW 14</t>
  </si>
  <si>
    <t>KW 15</t>
  </si>
  <si>
    <t>KW 16</t>
  </si>
  <si>
    <t>KW 17</t>
  </si>
  <si>
    <t>KW 18</t>
  </si>
  <si>
    <t>KW 19</t>
  </si>
  <si>
    <t>KW 20</t>
  </si>
  <si>
    <t>KW 21</t>
  </si>
  <si>
    <t>KW 22</t>
  </si>
  <si>
    <t>KW 23</t>
  </si>
  <si>
    <t>KW 24</t>
  </si>
  <si>
    <t>KW 25</t>
  </si>
  <si>
    <t>KW 26</t>
  </si>
  <si>
    <t>KW 27</t>
  </si>
  <si>
    <t>KW 28</t>
  </si>
  <si>
    <t>KW 50</t>
  </si>
  <si>
    <t>KW 51</t>
  </si>
  <si>
    <t>KW 52</t>
  </si>
  <si>
    <t>Finanzdaten</t>
  </si>
  <si>
    <t xml:space="preserve">Investitionsnummer </t>
  </si>
  <si>
    <t>Prognose 2021</t>
  </si>
  <si>
    <t>Prognose 2022</t>
  </si>
  <si>
    <t>Kredit- / Budgetsumme</t>
  </si>
  <si>
    <t>Kreditrest per 1.1.</t>
  </si>
  <si>
    <t>Marzili VS, Provisorium KG (a) (Nachnutzung)</t>
  </si>
  <si>
    <t>Grünflächenmanagementsystem GFMS</t>
  </si>
  <si>
    <t xml:space="preserve">Viererfeld - Mittelfeld,  Zwischennutzung </t>
  </si>
  <si>
    <t>Staapelbecken</t>
  </si>
  <si>
    <t>Begleitprojekt</t>
  </si>
  <si>
    <t>Strategisches Projekt</t>
  </si>
  <si>
    <t>Politisches Projekt</t>
  </si>
  <si>
    <t>Prognosen</t>
  </si>
  <si>
    <t>Quartale</t>
  </si>
  <si>
    <t>1. Quartal</t>
  </si>
  <si>
    <t>2. Quartal</t>
  </si>
  <si>
    <t>3. Quartal</t>
  </si>
  <si>
    <t>4. Quartal</t>
  </si>
  <si>
    <t>Arbeitsaufwand Projektverantwortung</t>
  </si>
  <si>
    <t>Arbeitsaufwand Gesamtprojektleitung</t>
  </si>
  <si>
    <t>Arbeitsaufwand Projektleitung</t>
  </si>
  <si>
    <t>Arbeitsaufwand Planerleistung</t>
  </si>
  <si>
    <t>Arbeitsaufwand Bauleitung</t>
  </si>
  <si>
    <t>Arbeitsaufwand ZeichnerIN</t>
  </si>
  <si>
    <t>Gesamter Arbeitsaufwand Projekt</t>
  </si>
  <si>
    <t>Cockpit-Daten</t>
  </si>
  <si>
    <t>Projekt</t>
  </si>
  <si>
    <t>Jahr</t>
  </si>
  <si>
    <t>Quartal</t>
  </si>
  <si>
    <t>STEK 15 / Freiraumkonzept (a)</t>
  </si>
  <si>
    <t>Gesamt</t>
  </si>
  <si>
    <t>Arbeitsaufwand Kommunikation</t>
  </si>
  <si>
    <t>Abhängigkeiten</t>
  </si>
  <si>
    <t>Inhaltlich</t>
  </si>
  <si>
    <t>Zeitlich</t>
  </si>
  <si>
    <t>Kapazitativ</t>
  </si>
  <si>
    <t>Status Ist-Ausgaben 1. Quartal</t>
  </si>
  <si>
    <t>Status Ist-Ausgaben 2. Quartal</t>
  </si>
  <si>
    <t>Status Ist-Ausgaben 3. Quartal</t>
  </si>
  <si>
    <t>Status Ist-Ausgaben 4. Quartal</t>
  </si>
  <si>
    <t>Tendenz Ist-Ausgaben 1. Quartal</t>
  </si>
  <si>
    <t>Tendenz Ist-Ausgaben 2. Quartal</t>
  </si>
  <si>
    <t>Tendenz Ist-Ausgaben 3. Quartal</t>
  </si>
  <si>
    <t>Tendenz Ist-Ausgaben 4. Quartal</t>
  </si>
  <si>
    <t>Abhängigkeit Inhaltlich 1</t>
  </si>
  <si>
    <t>Abhängigkeit Inhaltlich 2</t>
  </si>
  <si>
    <t>Abhängigkeit Inhaltlich 3</t>
  </si>
  <si>
    <t>Abhängigkeit Inhaltlich 4</t>
  </si>
  <si>
    <t>Abhängigkeit Inhaltlich 5</t>
  </si>
  <si>
    <t>Abhängigkeit Zeitlich 1</t>
  </si>
  <si>
    <t>Abhängigkeit Zeitlich 2</t>
  </si>
  <si>
    <t>Abhängigkeit Zeitlich 3</t>
  </si>
  <si>
    <t>Abhängigkeit Zeitlich 4</t>
  </si>
  <si>
    <t>Abhängigkeit Zeitlich 5</t>
  </si>
  <si>
    <t>Abhängigkeit Kapazitativ 1</t>
  </si>
  <si>
    <t>Abhängigkeit Kapazitativ 2</t>
  </si>
  <si>
    <t>Abhängigkeit Kapazitativ 3</t>
  </si>
  <si>
    <t>Abhängigkeit Kapazitativ 4</t>
  </si>
  <si>
    <t>Abhängigkeit Kapazitativ 5</t>
  </si>
  <si>
    <t>KW 10 Tendenz</t>
  </si>
  <si>
    <t>KW 11 Tendenz</t>
  </si>
  <si>
    <t>KW 12 Tendenz</t>
  </si>
  <si>
    <t>KW 13 Tendenz</t>
  </si>
  <si>
    <t>KW 14 Tendenz</t>
  </si>
  <si>
    <t>KW 15 Tendenz</t>
  </si>
  <si>
    <t>KW 16 Tendenz</t>
  </si>
  <si>
    <t xml:space="preserve">KW 17 Tendenz
</t>
  </si>
  <si>
    <t>KW 18 Tendenz</t>
  </si>
  <si>
    <t>KW 20 Tendenz</t>
  </si>
  <si>
    <t>KW 21 Tendenz</t>
  </si>
  <si>
    <t>KW 22 Tendenz</t>
  </si>
  <si>
    <t>KW 23 Tendenz</t>
  </si>
  <si>
    <t>KW 24 Tendenz</t>
  </si>
  <si>
    <t>KW 25 Tendenz</t>
  </si>
  <si>
    <t>KW 26 Tendenz</t>
  </si>
  <si>
    <t>KW 27 Tendenz</t>
  </si>
  <si>
    <t>KW 28 Tendenz</t>
  </si>
  <si>
    <t>KW 29 Tendenz</t>
  </si>
  <si>
    <t>KW 30 Tendenz</t>
  </si>
  <si>
    <t>KW 32 Tendenz</t>
  </si>
  <si>
    <t>KW 33 Tendenz</t>
  </si>
  <si>
    <t>KW 34 Tendenz</t>
  </si>
  <si>
    <t>KW 35 Tendenz</t>
  </si>
  <si>
    <t>KW 31 Tendenz</t>
  </si>
  <si>
    <t>KW 36 Tendenz</t>
  </si>
  <si>
    <t>KW 37 Tendenz</t>
  </si>
  <si>
    <t>KW 38 Tendenz</t>
  </si>
  <si>
    <t>KW 39 Tendenz</t>
  </si>
  <si>
    <t>KW 40 Tendenz</t>
  </si>
  <si>
    <t>KW 41 Tendenz</t>
  </si>
  <si>
    <t>KW 42 Tendenz</t>
  </si>
  <si>
    <t>KW 43 Tendenz</t>
  </si>
  <si>
    <t>KW 44 Tendenz</t>
  </si>
  <si>
    <t>KW 45 Tendenz</t>
  </si>
  <si>
    <t>KW 46 Tendenz</t>
  </si>
  <si>
    <t>KW 47 Tendenz</t>
  </si>
  <si>
    <t>KW 48 Tendenz</t>
  </si>
  <si>
    <t>KW 49 Tendenz</t>
  </si>
  <si>
    <t>KW 51 Tendenz</t>
  </si>
  <si>
    <t>KW 50 Tendenz</t>
  </si>
  <si>
    <t>KW 52 Tendenz</t>
  </si>
  <si>
    <t>Ist Ausgaben 2018</t>
  </si>
  <si>
    <t>Status Prognose 2018 1. Quartal</t>
  </si>
  <si>
    <t>Status Prognose 2018 2. Quartal</t>
  </si>
  <si>
    <t>Status Prognose 2018 3. Quartal</t>
  </si>
  <si>
    <t>Status Prognose 2018 4. Quartal</t>
  </si>
  <si>
    <t>Status Prognose 2019 1. Quartal</t>
  </si>
  <si>
    <t>Status Prognose 2019 2. Quartal</t>
  </si>
  <si>
    <t>Status Prognose 2019 3. Quartal</t>
  </si>
  <si>
    <t>Status Prognose 2019 4. Quartal</t>
  </si>
  <si>
    <t>Status Prognose 2020 2. Quartal</t>
  </si>
  <si>
    <t>Status Prognose 2020 3. Quartal</t>
  </si>
  <si>
    <t>Status Prognose 2020 4. Quartal</t>
  </si>
  <si>
    <t>Status Prognose 2020 1. Quartal</t>
  </si>
  <si>
    <t>Status Prognose 2021 1. Quartal</t>
  </si>
  <si>
    <t>Status Prognose 2021 2. Quartal</t>
  </si>
  <si>
    <t>Status Prognose 2021 3. Quartal</t>
  </si>
  <si>
    <t>Status Prognose 2021 4. Quartal</t>
  </si>
  <si>
    <t>Status Prognose 2022 1. Quartal</t>
  </si>
  <si>
    <t>Status Prognose 2022 2. Quartal</t>
  </si>
  <si>
    <t>Status Prognose 2022 3. Quartal</t>
  </si>
  <si>
    <t>Status Prognose 2022 4. Quartal</t>
  </si>
  <si>
    <t>Status Prognose 2023 1. Quartal</t>
  </si>
  <si>
    <t>Status Prognose 2023 2. Quartal</t>
  </si>
  <si>
    <t>Status Prognose 2023 3. Quartal</t>
  </si>
  <si>
    <t>Status Prognose 2023 4. Quartal</t>
  </si>
  <si>
    <t>Status Prognose 2024 1. Quartal</t>
  </si>
  <si>
    <t>Status Prognose 2024 2. Quartal</t>
  </si>
  <si>
    <t>Status Prognose 2024 3. Quartal</t>
  </si>
  <si>
    <t>Status Prognose 2024 4. Quartal</t>
  </si>
  <si>
    <t>Status Prognose 2025 1. Quartal</t>
  </si>
  <si>
    <t>Status Prognose 2026 2. Quartal</t>
  </si>
  <si>
    <t>Status Prognose 2025 2. Quartal</t>
  </si>
  <si>
    <t>Status Prognose 2025 3. Quartal</t>
  </si>
  <si>
    <t>Status Prognose 2025 4. Quartal</t>
  </si>
  <si>
    <t>Status Prognose 2026 1. Quartal</t>
  </si>
  <si>
    <t>Status Prognose 2026 3. Quartal</t>
  </si>
  <si>
    <t>Status Prognose 2026 4. Quartal</t>
  </si>
  <si>
    <t>Tendenz Prognose 2018 1. Quartal</t>
  </si>
  <si>
    <t>Tendenz Prognose 2018 2. Quartal</t>
  </si>
  <si>
    <t>Tendenz Prognose 2018 3. Quartal</t>
  </si>
  <si>
    <t>Tendenz Prognose 2018 4. Quartal</t>
  </si>
  <si>
    <t>Tendenz Prognose 2019 1. Quartal</t>
  </si>
  <si>
    <t>Tendenz Prognose 2019 2. Quartal</t>
  </si>
  <si>
    <t>Tendenz Prognose 2019 3. Quartal</t>
  </si>
  <si>
    <t>Tendenz Prognose 2019 4. Quartal</t>
  </si>
  <si>
    <t>Tendenz Prognose 2020 1. Quartal</t>
  </si>
  <si>
    <t>Tendenz Prognose 2020 2. Quartal</t>
  </si>
  <si>
    <t>Tendenz Prognose 2020 3. Quartal</t>
  </si>
  <si>
    <t>Tendenz Prognose 2020 4. Quartal</t>
  </si>
  <si>
    <t>Tendenz Prognose 2021 1. Quartal</t>
  </si>
  <si>
    <t>Tendenz Prognose 2021 2. Quartal</t>
  </si>
  <si>
    <t>Tendenz Prognose 2021 3. Quartal</t>
  </si>
  <si>
    <t>Tendenz Prognose 2021 4. Quartal</t>
  </si>
  <si>
    <t>Tendenz Prognose 2022 1. Quartal</t>
  </si>
  <si>
    <t>Tendenz Prognose 2022 2. Quartal</t>
  </si>
  <si>
    <t>Tendenz Prognose 2022 3. Quartal</t>
  </si>
  <si>
    <t>Tendenz Prognose 2022 4. Quartal</t>
  </si>
  <si>
    <t>Tendenz Prognose 2023 1. Quartal</t>
  </si>
  <si>
    <t>Tendenz Prognose 2023 2. Quartal</t>
  </si>
  <si>
    <t>Tendenz Prognose 2023 3. Quartal</t>
  </si>
  <si>
    <t>Tendenz Prognose 2023 4. Quartal</t>
  </si>
  <si>
    <t>Tendenz Prognose 2024 1. Quartal</t>
  </si>
  <si>
    <t>Tendenz Prognose 2024 2. Quartal</t>
  </si>
  <si>
    <t>Tendenz Prognose 2024 3. Quartal</t>
  </si>
  <si>
    <t>Tendenz Prognose 2024 4. Quartal</t>
  </si>
  <si>
    <t>Tendenz Prognose 2025 1. Quartal</t>
  </si>
  <si>
    <t>Tendenz Prognose 2025 2. Quartal</t>
  </si>
  <si>
    <t>Tendenz Prognose 2025 3. Quartal</t>
  </si>
  <si>
    <t>Tendenz Prognose 2025 4. Quartal</t>
  </si>
  <si>
    <t>Tendenz Prognose 2026 1. Quartal</t>
  </si>
  <si>
    <t>Tendenz Prognose 2026 2. Quartal</t>
  </si>
  <si>
    <t>Tendenz Prognose 2026 3. Quartal</t>
  </si>
  <si>
    <t>Tendenz Prognose 2026 4. Quartal</t>
  </si>
  <si>
    <t>Politische Bedeutung</t>
  </si>
  <si>
    <t>Projektcharakter (Projektleiterbezogen)</t>
  </si>
  <si>
    <t>ssm</t>
  </si>
  <si>
    <t>Rehagplanung, Freiwilligenarbeit Moosweg</t>
  </si>
  <si>
    <t>Fledermausberatung</t>
  </si>
  <si>
    <t>Beratungen Karch</t>
  </si>
  <si>
    <t xml:space="preserve">Kartierungen Natur und Ökologie </t>
  </si>
  <si>
    <t>Zentrale Dienste, Broschüren, Fotoaufträge &amp; Signaletik</t>
  </si>
  <si>
    <t>PPM, Visualisierung</t>
  </si>
  <si>
    <t>Honorar GFP</t>
  </si>
  <si>
    <t>Honorar Elfenau</t>
  </si>
  <si>
    <t>Honorar Leitung</t>
  </si>
  <si>
    <t>Honorar GRG</t>
  </si>
  <si>
    <t>Honorar Friedhöfe</t>
  </si>
  <si>
    <t>Honorar Natur &amp; Ökologie</t>
  </si>
  <si>
    <t>Honorar Realisierung Anlagen</t>
  </si>
  <si>
    <t>Honorar Parkanlagen / Spielplätze</t>
  </si>
  <si>
    <t>Eröffnung 2022</t>
  </si>
  <si>
    <t>Familiengärten, Bedarfsaklärung</t>
  </si>
  <si>
    <t>I5200204</t>
  </si>
  <si>
    <t>I5200209</t>
  </si>
  <si>
    <t>I5200233</t>
  </si>
  <si>
    <t>I5200196</t>
  </si>
  <si>
    <t>I5200232</t>
  </si>
  <si>
    <t>I5200227</t>
  </si>
  <si>
    <t>I5200234</t>
  </si>
  <si>
    <t>I5200224</t>
  </si>
  <si>
    <t>I5200221</t>
  </si>
  <si>
    <t>I5200237</t>
  </si>
  <si>
    <t xml:space="preserve">Brünnen, Sanierung Parkanlage </t>
  </si>
  <si>
    <t>i5200238</t>
  </si>
  <si>
    <t>I5200239</t>
  </si>
  <si>
    <t>I52000258</t>
  </si>
  <si>
    <t>MST</t>
  </si>
  <si>
    <t>I5210034</t>
  </si>
  <si>
    <t>Schosshalden FRH, Sanierung</t>
  </si>
  <si>
    <t>I5210035</t>
  </si>
  <si>
    <t>I5120036</t>
  </si>
  <si>
    <t>I5210037</t>
  </si>
  <si>
    <t>Schütte Parkpflegewerk, Aaretal Umsetzung (a)</t>
  </si>
  <si>
    <t>I5200094</t>
  </si>
  <si>
    <t>Differenz Budgetsumme - Ausgaben</t>
  </si>
  <si>
    <t>Differenz Budgetsumme - Ausgaben - Prognosen</t>
  </si>
  <si>
    <t xml:space="preserve">Projektart: </t>
  </si>
  <si>
    <t>KW 01</t>
  </si>
  <si>
    <t>KW 02</t>
  </si>
  <si>
    <t>KW 03</t>
  </si>
  <si>
    <t>KW 04</t>
  </si>
  <si>
    <t>KW 05</t>
  </si>
  <si>
    <t>KW 06</t>
  </si>
  <si>
    <t>KW 07</t>
  </si>
  <si>
    <t>KW 08</t>
  </si>
  <si>
    <t>KW 09</t>
  </si>
  <si>
    <t>KW 01 Tendenz</t>
  </si>
  <si>
    <t>KW 02 Tendenz</t>
  </si>
  <si>
    <t>KW 03 Tendenz</t>
  </si>
  <si>
    <t>KW 04 Tendenz</t>
  </si>
  <si>
    <t>KW 05 Tendenz</t>
  </si>
  <si>
    <t>KW 06 Tendenz</t>
  </si>
  <si>
    <t>KW 07 Tendenz</t>
  </si>
  <si>
    <t>KW 08 Tendenz</t>
  </si>
  <si>
    <t>KW 09 Tendenz</t>
  </si>
  <si>
    <t>a)</t>
  </si>
  <si>
    <t>b)</t>
  </si>
  <si>
    <t>Projektcharakter Projektleiterbezogen</t>
  </si>
  <si>
    <t>Neuartiges oder komplexes Projekt</t>
  </si>
  <si>
    <t>Herausforderndes oder schwierig organisiertes Projekt</t>
  </si>
  <si>
    <t>Bekanntes und gut organisiertes Projekt</t>
  </si>
  <si>
    <t>Routineprojekt</t>
  </si>
  <si>
    <t>Test</t>
  </si>
  <si>
    <t>2019 Tendenz</t>
  </si>
  <si>
    <t>2020 Tendenz</t>
  </si>
  <si>
    <t>2021 Tendenz</t>
  </si>
  <si>
    <t>2022 Tendenz</t>
  </si>
  <si>
    <t xml:space="preserve">2023 Tendenz
</t>
  </si>
  <si>
    <t xml:space="preserve">2024 Tendenz
</t>
  </si>
  <si>
    <t xml:space="preserve">2025 Tendenz
</t>
  </si>
  <si>
    <t xml:space="preserve">2026 Tendenz
</t>
  </si>
  <si>
    <t>Schosshalden FRH, Unrnenthemengrab</t>
  </si>
  <si>
    <t>Baustart</t>
  </si>
  <si>
    <t>Elfenau Sanierung, Raumprogramm</t>
  </si>
  <si>
    <t>Allmenden, Umgestaltung Neuordnung der Nutzungen (a)</t>
  </si>
  <si>
    <t>Schosshalden FRH, Mensch &amp; Tier</t>
  </si>
  <si>
    <t>Finanzen; Überbprüfung Instrumente &amp; Planung</t>
  </si>
  <si>
    <t xml:space="preserve">Coaching GFP; Jungi </t>
  </si>
  <si>
    <t>Baumgrubensubstrat</t>
  </si>
  <si>
    <t>Offen</t>
  </si>
  <si>
    <t>Totaler Aufwand 2018</t>
  </si>
  <si>
    <t xml:space="preserve">Totaler Aufwand 4. Quartal 2018  </t>
  </si>
  <si>
    <t xml:space="preserve">Kommunikation 4. Quartal 2018       </t>
  </si>
  <si>
    <t xml:space="preserve">ZeichnerIn 4. Quartal 2018      </t>
  </si>
  <si>
    <t xml:space="preserve">Bauleitung 4. Quartal 2018  </t>
  </si>
  <si>
    <t xml:space="preserve">Planerleistung 4. Quartal 2018       </t>
  </si>
  <si>
    <t xml:space="preserve">Projektleitung 4. Quartal 2018    </t>
  </si>
  <si>
    <t>Totaler Aufwand 3. Quartal 2018</t>
  </si>
  <si>
    <t xml:space="preserve">Kommunikation 3. Quartal 2018       </t>
  </si>
  <si>
    <t xml:space="preserve">ZeichnerIn 3. Quartal 2018       </t>
  </si>
  <si>
    <t xml:space="preserve">Bauleitung 3. Quartal 2018      </t>
  </si>
  <si>
    <t xml:space="preserve">Planerleistung 3. Quartal 2018       </t>
  </si>
  <si>
    <t>Projektleitung 3. Quartal 2018</t>
  </si>
  <si>
    <t>Totaler Aufwand 2. Quartal 2018</t>
  </si>
  <si>
    <t>Kommunikation 2. Quartal 2018</t>
  </si>
  <si>
    <t>ZeichnerIn 2. Quartal 2018</t>
  </si>
  <si>
    <t>Bauleitung 2. Quartal 2018</t>
  </si>
  <si>
    <t>Planerleistung 2. Quartal 2018</t>
  </si>
  <si>
    <t>Projektleitung 2. Quartal 2018</t>
  </si>
  <si>
    <t>Totaler Aufwand 1. Quartal 2018</t>
  </si>
  <si>
    <t>Kommunikation 1. Quartal 2018</t>
  </si>
  <si>
    <t>ZeichnerIn 1. Quartal 2018</t>
  </si>
  <si>
    <t>Bauleitung 1. Quartal</t>
  </si>
  <si>
    <t>Planerleistung 1. Quartal 2018</t>
  </si>
  <si>
    <t>Projektleitung 1. Quartal 2018</t>
  </si>
  <si>
    <t>Values</t>
  </si>
  <si>
    <t>Bedürfnisformulierung, Lösungsstrategien</t>
  </si>
  <si>
    <t>GRA</t>
  </si>
  <si>
    <t>Antrag Projektierungskredit</t>
  </si>
  <si>
    <t>Projektierungs- und Baukredit</t>
  </si>
  <si>
    <t>Workshop / Ideenwerkstatt</t>
  </si>
  <si>
    <t>Informationsschreiben an Quartierorganisation</t>
  </si>
  <si>
    <t>Anwohnerschreiben</t>
  </si>
  <si>
    <t>Schreiben an Eigentümer/innen</t>
  </si>
  <si>
    <t>Informationsveranstaltung</t>
  </si>
  <si>
    <t>Vorankündigung Spielplatzbaustelle</t>
  </si>
  <si>
    <t>Medienmitteilung</t>
  </si>
  <si>
    <t>Baustellentafel</t>
  </si>
  <si>
    <t>Medienanlass</t>
  </si>
  <si>
    <t>Einweihung</t>
  </si>
  <si>
    <t>Professionelle Fotos (Bestand, Bauablauf, nach Umsetzung)</t>
  </si>
  <si>
    <t>Projektverantwortung 1. Quartal 2018</t>
  </si>
  <si>
    <t>Projektverantwortung 2. Quartal 2018</t>
  </si>
  <si>
    <t>Gesamtprojektleitung 2. Quartal 2018</t>
  </si>
  <si>
    <t>Projektverantwortung 4. Quartal 2018</t>
  </si>
  <si>
    <t>Gesamtprojektleitung 4. Quartal 2018</t>
  </si>
  <si>
    <t xml:space="preserve"> </t>
  </si>
  <si>
    <t>Projektleiter</t>
  </si>
  <si>
    <t>Biodiversität, Überarbeitung Handbuch</t>
  </si>
  <si>
    <t>Vision, Leitbild SGB Human Events</t>
  </si>
  <si>
    <t>Vision, Leitbild SGB, Richner</t>
  </si>
  <si>
    <t xml:space="preserve">Öffentlicher Raum, Schnittstellen SGB / TVS / GÖR, GEOREGIO </t>
  </si>
  <si>
    <t xml:space="preserve">Öffentliches Mobiliar, Zusatzauftrag Farbe Stühle </t>
  </si>
  <si>
    <t>Münsterplattform, Pilotversuch Öffnung Bericht Reflecta</t>
  </si>
  <si>
    <t>Zentrale Dienste, Broschüren, Fotoaufträge &amp; Signaletik (gem. Liste)</t>
  </si>
  <si>
    <t>_RADAR</t>
  </si>
  <si>
    <t xml:space="preserve">Mitarbeiterstunden pro Projekt 
</t>
  </si>
  <si>
    <t>Mitarbeiterstunden pro Projekttyp</t>
  </si>
  <si>
    <t>Mitarbeiterstunden pro Projektphase</t>
  </si>
  <si>
    <t>Gesamtprojektleitung 1. Quartal 2018</t>
  </si>
  <si>
    <t>Projektverantwortung 3. Quartal 2018</t>
  </si>
  <si>
    <t>Gesamtprojektleitung 3. Quartal 2018</t>
  </si>
  <si>
    <t>Aufteilung Finanzierungsart/MIP auf Projekttyp</t>
  </si>
  <si>
    <t>I5210015</t>
  </si>
  <si>
    <t>Allmenden, funktioneller Unterhalt Zirkusplatz, Analysa</t>
  </si>
  <si>
    <t>Spaltenbeschriftungen</t>
  </si>
  <si>
    <t>Gesamtergebnis</t>
  </si>
  <si>
    <t>KW 18 Tendenz2</t>
  </si>
  <si>
    <t>2019</t>
  </si>
  <si>
    <t>2020</t>
  </si>
  <si>
    <t>2021</t>
  </si>
  <si>
    <t>2022</t>
  </si>
  <si>
    <t>2023</t>
  </si>
  <si>
    <t>2024</t>
  </si>
  <si>
    <t>2025</t>
  </si>
  <si>
    <t>2026</t>
  </si>
  <si>
    <t>(Leer)</t>
  </si>
  <si>
    <t>Zeilenbeschriftungen</t>
  </si>
  <si>
    <t>Totaler Aufwand</t>
  </si>
  <si>
    <t>Anzahl Projekte</t>
  </si>
  <si>
    <t>Abgabe Baudokumentation an GFP</t>
  </si>
  <si>
    <t>?</t>
  </si>
  <si>
    <t>Samira</t>
  </si>
  <si>
    <t>Neuse</t>
  </si>
  <si>
    <t>Tobias</t>
  </si>
  <si>
    <t>Würsch</t>
  </si>
  <si>
    <t>Irene</t>
  </si>
  <si>
    <t>Weissmann</t>
  </si>
  <si>
    <t>Sabine</t>
  </si>
  <si>
    <t>Tschäppeler</t>
  </si>
  <si>
    <t>Michael</t>
  </si>
  <si>
    <t>Steiner</t>
  </si>
  <si>
    <t>Claude</t>
  </si>
  <si>
    <t>Racine</t>
  </si>
  <si>
    <t>6a</t>
  </si>
  <si>
    <t>Katharina</t>
  </si>
  <si>
    <t>Müller</t>
  </si>
  <si>
    <t>Merlin</t>
  </si>
  <si>
    <t>Rosmarie</t>
  </si>
  <si>
    <t>Kiener-Grossenbacher</t>
  </si>
  <si>
    <t>Nicola</t>
  </si>
  <si>
    <t>Indermühle</t>
  </si>
  <si>
    <t>Dieter</t>
  </si>
  <si>
    <t>Hunziker</t>
  </si>
  <si>
    <t>Ana Paula</t>
  </si>
  <si>
    <t>Hornbostel</t>
  </si>
  <si>
    <t>Simon</t>
  </si>
  <si>
    <t>Gfeller</t>
  </si>
  <si>
    <t>Christian</t>
  </si>
  <si>
    <t>Früh</t>
  </si>
  <si>
    <t>Judith</t>
  </si>
  <si>
    <t>Flückiger</t>
  </si>
  <si>
    <t>Laurent</t>
  </si>
  <si>
    <t>Erard</t>
  </si>
  <si>
    <t>Joel</t>
  </si>
  <si>
    <t>Engler</t>
  </si>
  <si>
    <t>Arbeitsstd.
4. Quartal</t>
  </si>
  <si>
    <t>Arbeitsstd.
3. Quartal</t>
  </si>
  <si>
    <t>Arbeitsstd.
2. Quartal</t>
  </si>
  <si>
    <t>Arbeitsstd.
1. Quartal</t>
  </si>
  <si>
    <t>Std./Pensum</t>
  </si>
  <si>
    <t>Arbeitstd.
Total</t>
  </si>
  <si>
    <t>Ferien 2018</t>
  </si>
  <si>
    <t>Std./Woche</t>
  </si>
  <si>
    <t>Arbeitszeitvariante</t>
  </si>
  <si>
    <t>Pensum
%</t>
  </si>
  <si>
    <t>Vorname</t>
  </si>
  <si>
    <t>Aktuell 2018</t>
  </si>
  <si>
    <t>Engler Joel</t>
  </si>
  <si>
    <t>Erard Laurent</t>
  </si>
  <si>
    <t>Flückiger Judith</t>
  </si>
  <si>
    <t>Früh Christian</t>
  </si>
  <si>
    <t>Gfeller Simon</t>
  </si>
  <si>
    <t>Hunziker Dieter</t>
  </si>
  <si>
    <t>Indermühle Nicola</t>
  </si>
  <si>
    <t>Kiener-Grossenbacher Rosmarie</t>
  </si>
  <si>
    <t>Merlin Irene</t>
  </si>
  <si>
    <t>Müller Katharina</t>
  </si>
  <si>
    <t>Geschäft / Abwesenheit</t>
  </si>
  <si>
    <t>Aufwandschätzung Durchschnitt / Jahr</t>
  </si>
  <si>
    <t>Ferien</t>
  </si>
  <si>
    <t>Neuse Samira</t>
  </si>
  <si>
    <t>Racine Claude</t>
  </si>
  <si>
    <t>Steiner Michael</t>
  </si>
  <si>
    <t>Tschäppeler Sabine</t>
  </si>
  <si>
    <t>Weissmann Irene</t>
  </si>
  <si>
    <t>Würsch Tobias</t>
  </si>
  <si>
    <t>Hornbostel Ana Paula
(bis 31.03.2017</t>
  </si>
  <si>
    <t>ZeichnerIn neu</t>
  </si>
  <si>
    <t>Familiengarten-Konzept (a)</t>
  </si>
  <si>
    <t>Grünflächenmanagementsystem GFM</t>
  </si>
  <si>
    <t xml:space="preserve">Versiegelungsstudie </t>
  </si>
  <si>
    <t>Stadtbildkommission</t>
  </si>
  <si>
    <t xml:space="preserve">Baumwert ökologischer (a) </t>
  </si>
  <si>
    <t>Gartendenkmalpflege</t>
  </si>
  <si>
    <t>Stadtwildtiere, Internetplattform (a)</t>
  </si>
  <si>
    <t>Politische Geschäfte, Bürgerbriefe</t>
  </si>
  <si>
    <t>Arbeitssicherheit</t>
  </si>
  <si>
    <t>Bereichsaufgaben</t>
  </si>
  <si>
    <t>BGM</t>
  </si>
  <si>
    <t>Lehrlingsbetreuung</t>
  </si>
  <si>
    <t>Personalgewinnung</t>
  </si>
  <si>
    <t>Personelles allgemein</t>
  </si>
  <si>
    <t>Qualitätsmanagement (WinFEE)</t>
  </si>
  <si>
    <t>Absenzenmanagement (E3)</t>
  </si>
  <si>
    <t>Fachberatung / Fachverantwortungen</t>
  </si>
  <si>
    <t>Grundstock</t>
  </si>
  <si>
    <t>Diverse Kleinarbeiten (Externe / Ämter)</t>
  </si>
  <si>
    <t>Öffentlichkeitsarbeit, Führungen, Vorträge (a) (inkl. Div. Kleinarb.)</t>
  </si>
  <si>
    <t>nicht in PPM</t>
  </si>
  <si>
    <t>Friedhhöfe, übergeordnete Arbeiten / Friedhofkonzept/Pflegeplanungen (a)</t>
  </si>
  <si>
    <t>Garteninventar a (durch AZu?)</t>
  </si>
  <si>
    <t>SSü</t>
  </si>
  <si>
    <t>Berufschule</t>
  </si>
  <si>
    <t>Militär / Zivilschutz</t>
  </si>
  <si>
    <t>Krankheit / Unfall / Arzt (Durchschnitt 2017)</t>
  </si>
  <si>
    <t>Kurse / Weiterbildung (Durchschnitt 2017)</t>
  </si>
  <si>
    <t>PraktikatIn N+Ö</t>
  </si>
  <si>
    <t>Persönliches Stunden-Soll 2018</t>
  </si>
  <si>
    <t>Total nach Geschäft</t>
  </si>
  <si>
    <t>TOTAL GRUNDSTOCK  / PERSON</t>
  </si>
  <si>
    <t>Wildwechsel / Wildwechsel - Betrieb</t>
  </si>
  <si>
    <t>Anteil Grundstock an Stunden-Soll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</si>
</sst>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CHF&quot;\ #,##0.00"/>
    <numFmt numFmtId="165" formatCode="&quot;CHF&quot;\ #,##0"/>
    <numFmt numFmtId="166" formatCode="0.0"/>
    <numFmt numFmtId="167" formatCode="0.0%"/>
  </numFmts>
  <fonts count="61">
    <font>
      <sz val="10"/>
      <color theme="1"/>
      <name val="Arial"/>
      <family val="2"/>
    </font>
    <font>
      <sz val="10"/>
      <color theme="1" tint="0.249977111117893"/>
      <name val="Calibri"/>
      <family val="2"/>
      <scheme val="minor"/>
    </font>
    <font>
      <sz val="10"/>
      <color theme="1" tint="0.249977111117893"/>
      <name val="Arial"/>
      <family val="2"/>
    </font>
    <font>
      <b/>
      <sz val="10"/>
      <color theme="1" tint="0.249977111117893"/>
      <name val="Arial"/>
      <family val="2"/>
    </font>
    <font>
      <b/>
      <sz val="8"/>
      <color theme="1"/>
      <name val="Arial"/>
      <family val="2"/>
    </font>
    <font>
      <sz val="10"/>
      <color rgb="FFC00000"/>
      <name val="Arial"/>
      <family val="2"/>
    </font>
    <font>
      <b/>
      <sz val="10"/>
      <color theme="6" tint="-0.499984740745262"/>
      <name val="Arial"/>
      <family val="2"/>
    </font>
    <font>
      <sz val="6"/>
      <color theme="1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 tint="0.24997711111789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sz val="12"/>
      <color theme="1" tint="0.249977111117893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sz val="16"/>
      <color theme="1" tint="0.249977111117893"/>
      <name val="Calibri"/>
      <family val="2"/>
      <scheme val="minor"/>
    </font>
    <font>
      <strike/>
      <sz val="10"/>
      <color theme="1"/>
      <name val="Calibri"/>
      <family val="2"/>
      <scheme val="minor"/>
    </font>
    <font>
      <b/>
      <sz val="10"/>
      <color theme="1" tint="0.249977111117893"/>
      <name val="Calibri"/>
      <family val="2"/>
      <scheme val="minor"/>
    </font>
    <font>
      <b/>
      <sz val="16"/>
      <color theme="1" tint="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 tint="0.249977111117893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b/>
      <sz val="10"/>
      <color theme="1" tint="0.249977111117893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6"/>
      <color theme="1" tint="0.249977111117893"/>
      <name val="Symbol"/>
      <family val="1"/>
      <charset val="2"/>
    </font>
    <font>
      <sz val="12"/>
      <color theme="1" tint="0.249977111117893"/>
      <name val="Calibri"/>
      <family val="2"/>
      <scheme val="minor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  <font>
      <sz val="8"/>
      <color theme="0"/>
      <name val="Arial"/>
      <family val="2"/>
    </font>
    <font>
      <b/>
      <sz val="10"/>
      <color theme="1"/>
      <name val="Arial"/>
      <family val="1"/>
      <charset val="2"/>
    </font>
    <font>
      <sz val="10"/>
      <color rgb="FF000000"/>
      <name val="Arial"/>
      <family val="2"/>
    </font>
    <font>
      <sz val="10"/>
      <color theme="1"/>
      <name val="Calibri"/>
      <family val="2"/>
      <scheme val="minor"/>
    </font>
    <font>
      <sz val="10"/>
      <color theme="1" tint="0.249977111117893"/>
      <name val="Calibri"/>
      <family val="2"/>
      <scheme val="minor"/>
    </font>
    <font>
      <b/>
      <sz val="10"/>
      <color theme="1" tint="0.249977111117893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sz val="12"/>
      <color theme="1" tint="0.249977111117893"/>
      <name val="Calibri"/>
      <family val="2"/>
      <scheme val="minor"/>
    </font>
    <font>
      <strike/>
      <sz val="10"/>
      <color theme="1" tint="0.249977111117893"/>
      <name val="Calibri"/>
      <family val="2"/>
      <scheme val="minor"/>
    </font>
    <font>
      <b/>
      <strike/>
      <sz val="10"/>
      <color theme="1" tint="0.249977111117893"/>
      <name val="Calibri"/>
      <family val="2"/>
      <scheme val="minor"/>
    </font>
    <font>
      <b/>
      <strike/>
      <sz val="12"/>
      <color theme="1" tint="0.249977111117893"/>
      <name val="Calibri"/>
      <family val="2"/>
      <scheme val="minor"/>
    </font>
    <font>
      <strike/>
      <sz val="12"/>
      <color theme="1" tint="0.249977111117893"/>
      <name val="Calibri"/>
      <family val="2"/>
      <scheme val="minor"/>
    </font>
    <font>
      <b/>
      <sz val="10"/>
      <color theme="1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10"/>
      <color theme="1" tint="0.249977111117893"/>
      <name val="Calibri"/>
      <family val="2"/>
      <scheme val="minor"/>
    </font>
    <font>
      <b/>
      <sz val="10"/>
      <color theme="1" tint="0.249977111117893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sz val="12"/>
      <color theme="1" tint="0.249977111117893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11"/>
      <color theme="1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0"/>
      <color rgb="FF9C6500"/>
      <name val="Arial"/>
      <family val="2"/>
    </font>
    <font>
      <b/>
      <sz val="12"/>
      <color theme="0"/>
      <name val="Arial"/>
      <family val="2"/>
    </font>
    <font>
      <sz val="12"/>
      <color rgb="FF9C6500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4.9989318521683403E-2"/>
      </patternFill>
    </fill>
    <fill>
      <patternFill patternType="lightUp"/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rgb="FF92D050"/>
        <bgColor indexed="64"/>
      </patternFill>
    </fill>
    <fill>
      <patternFill patternType="gray125">
        <fgColor theme="0"/>
        <bgColor rgb="FF92D050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EB9C"/>
      </patternFill>
    </fill>
  </fills>
  <borders count="37">
    <border>
      <left/>
      <right/>
      <top/>
      <bottom/>
      <diagonal/>
    </border>
    <border>
      <left style="hair">
        <color theme="1" tint="0.24994659260841701"/>
      </left>
      <right style="hair">
        <color theme="1" tint="0.24994659260841701"/>
      </right>
      <top style="hair">
        <color theme="1" tint="0.24994659260841701"/>
      </top>
      <bottom style="hair">
        <color theme="1" tint="0.24994659260841701"/>
      </bottom>
      <diagonal/>
    </border>
    <border>
      <left style="hair">
        <color theme="1" tint="0.24994659260841701"/>
      </left>
      <right style="hair">
        <color theme="1" tint="0.24994659260841701"/>
      </right>
      <top/>
      <bottom style="hair">
        <color theme="1" tint="0.24994659260841701"/>
      </bottom>
      <diagonal/>
    </border>
    <border>
      <left style="hair">
        <color theme="1" tint="0.24994659260841701"/>
      </left>
      <right style="hair">
        <color theme="1" tint="0.24994659260841701"/>
      </right>
      <top style="hair">
        <color theme="1" tint="0.24994659260841701"/>
      </top>
      <bottom/>
      <diagonal/>
    </border>
    <border>
      <left style="hair">
        <color theme="1" tint="0.24994659260841701"/>
      </left>
      <right style="hair">
        <color theme="1" tint="0.24994659260841701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hair">
        <color theme="1" tint="0.24994659260841701"/>
      </bottom>
      <diagonal/>
    </border>
    <border>
      <left style="hair">
        <color theme="1" tint="0.24994659260841701"/>
      </left>
      <right/>
      <top style="hair">
        <color theme="1" tint="0.24994659260841701"/>
      </top>
      <bottom/>
      <diagonal/>
    </border>
    <border>
      <left/>
      <right/>
      <top style="hair">
        <color theme="1" tint="0.24994659260841701"/>
      </top>
      <bottom/>
      <diagonal/>
    </border>
    <border>
      <left/>
      <right style="hair">
        <color theme="1" tint="0.24994659260841701"/>
      </right>
      <top style="hair">
        <color theme="1" tint="0.24994659260841701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hair">
        <color theme="1" tint="0.24994659260841701"/>
      </bottom>
      <diagonal/>
    </border>
    <border>
      <left/>
      <right style="hair">
        <color theme="1" tint="0.24994659260841701"/>
      </right>
      <top style="hair">
        <color indexed="64"/>
      </top>
      <bottom style="hair">
        <color indexed="64"/>
      </bottom>
      <diagonal/>
    </border>
    <border>
      <left style="hair">
        <color theme="1" tint="0.24994659260841701"/>
      </left>
      <right/>
      <top style="hair">
        <color indexed="64"/>
      </top>
      <bottom style="hair">
        <color indexed="64"/>
      </bottom>
      <diagonal/>
    </border>
    <border>
      <left style="hair">
        <color theme="1" tint="0.24994659260841701"/>
      </left>
      <right style="hair">
        <color theme="1" tint="0.24994659260841701"/>
      </right>
      <top style="hair">
        <color indexed="64"/>
      </top>
      <bottom/>
      <diagonal/>
    </border>
    <border>
      <left style="hair">
        <color theme="1" tint="0.24994659260841701"/>
      </left>
      <right/>
      <top/>
      <bottom/>
      <diagonal/>
    </border>
    <border>
      <left/>
      <right style="hair">
        <color theme="1" tint="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theme="1" tint="0.24994659260841701"/>
      </left>
      <right style="hair">
        <color theme="1" tint="0.24994659260841701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8" fillId="24" borderId="0" applyNumberFormat="0" applyBorder="0" applyAlignment="0" applyProtection="0"/>
  </cellStyleXfs>
  <cellXfs count="410">
    <xf numFmtId="0" fontId="0" fillId="0" borderId="0" xfId="0"/>
    <xf numFmtId="0" fontId="3" fillId="5" borderId="0" xfId="0" applyFont="1" applyFill="1" applyAlignment="1">
      <alignment horizontal="left" indent="1"/>
    </xf>
    <xf numFmtId="0" fontId="3" fillId="6" borderId="0" xfId="0" applyFont="1" applyFill="1" applyAlignment="1">
      <alignment horizontal="left" indent="1"/>
    </xf>
    <xf numFmtId="0" fontId="3" fillId="0" borderId="0" xfId="0" applyFont="1" applyAlignment="1">
      <alignment horizontal="left" indent="1"/>
    </xf>
    <xf numFmtId="0" fontId="0" fillId="0" borderId="0" xfId="0" applyFont="1"/>
    <xf numFmtId="0" fontId="3" fillId="0" borderId="0" xfId="0" applyFont="1" applyFill="1" applyAlignment="1">
      <alignment horizontal="left" indent="1"/>
    </xf>
    <xf numFmtId="0" fontId="0" fillId="0" borderId="0" xfId="0" applyFont="1" applyFill="1"/>
    <xf numFmtId="0" fontId="2" fillId="6" borderId="0" xfId="0" applyFont="1" applyFill="1" applyBorder="1" applyAlignment="1">
      <alignment horizontal="left" vertical="top" indent="1"/>
    </xf>
    <xf numFmtId="0" fontId="2" fillId="0" borderId="0" xfId="0" applyFont="1" applyBorder="1" applyAlignment="1">
      <alignment horizontal="left" indent="1"/>
    </xf>
    <xf numFmtId="0" fontId="2" fillId="0" borderId="0" xfId="0" applyFont="1" applyFill="1" applyBorder="1" applyAlignment="1">
      <alignment horizontal="left" vertical="top" indent="1"/>
    </xf>
    <xf numFmtId="0" fontId="2" fillId="0" borderId="0" xfId="0" applyFont="1" applyFill="1" applyBorder="1" applyAlignment="1">
      <alignment horizontal="left" indent="1"/>
    </xf>
    <xf numFmtId="0" fontId="4" fillId="0" borderId="0" xfId="0" applyFont="1" applyFill="1" applyBorder="1" applyAlignment="1">
      <alignment horizontal="left" textRotation="90"/>
    </xf>
    <xf numFmtId="0" fontId="3" fillId="5" borderId="0" xfId="0" applyFont="1" applyFill="1" applyBorder="1" applyAlignment="1">
      <alignment vertical="top"/>
    </xf>
    <xf numFmtId="164" fontId="0" fillId="0" borderId="0" xfId="0" applyNumberFormat="1" applyFont="1"/>
    <xf numFmtId="164" fontId="2" fillId="5" borderId="1" xfId="0" applyNumberFormat="1" applyFont="1" applyFill="1" applyBorder="1" applyAlignment="1">
      <alignment horizontal="left" indent="1"/>
    </xf>
    <xf numFmtId="164" fontId="2" fillId="0" borderId="0" xfId="0" applyNumberFormat="1" applyFont="1" applyBorder="1" applyAlignment="1">
      <alignment horizontal="left" indent="1"/>
    </xf>
    <xf numFmtId="0" fontId="0" fillId="5" borderId="1" xfId="0" applyFont="1" applyFill="1" applyBorder="1"/>
    <xf numFmtId="0" fontId="0" fillId="0" borderId="0" xfId="0" applyFont="1" applyBorder="1"/>
    <xf numFmtId="0" fontId="0" fillId="6" borderId="0" xfId="0" applyFont="1" applyFill="1"/>
    <xf numFmtId="0" fontId="2" fillId="5" borderId="0" xfId="0" applyFont="1" applyFill="1" applyBorder="1" applyAlignment="1">
      <alignment horizontal="left" vertical="top" indent="1"/>
    </xf>
    <xf numFmtId="0" fontId="2" fillId="5" borderId="0" xfId="0" applyFont="1" applyFill="1" applyBorder="1" applyAlignment="1">
      <alignment horizontal="left" vertical="top" wrapText="1" indent="1"/>
    </xf>
    <xf numFmtId="0" fontId="11" fillId="3" borderId="0" xfId="0" applyFont="1" applyFill="1" applyAlignment="1">
      <alignment horizontal="left"/>
    </xf>
    <xf numFmtId="0" fontId="11" fillId="0" borderId="0" xfId="0" applyFont="1" applyAlignment="1">
      <alignment horizontal="left"/>
    </xf>
    <xf numFmtId="0" fontId="11" fillId="2" borderId="0" xfId="0" applyFont="1" applyFill="1" applyAlignment="1">
      <alignment horizontal="left"/>
    </xf>
    <xf numFmtId="0" fontId="13" fillId="0" borderId="0" xfId="0" applyFont="1" applyAlignment="1">
      <alignment horizontal="left" wrapText="1"/>
    </xf>
    <xf numFmtId="0" fontId="12" fillId="0" borderId="0" xfId="0" applyFont="1" applyAlignment="1">
      <alignment horizontal="left"/>
    </xf>
    <xf numFmtId="0" fontId="14" fillId="0" borderId="0" xfId="0" applyFont="1" applyAlignment="1">
      <alignment horizontal="left" vertical="center"/>
    </xf>
    <xf numFmtId="0" fontId="14" fillId="1" borderId="0" xfId="0" applyFont="1" applyFill="1" applyAlignment="1">
      <alignment horizontal="left" vertical="center"/>
    </xf>
    <xf numFmtId="0" fontId="12" fillId="0" borderId="0" xfId="0" applyNumberFormat="1" applyFont="1" applyAlignment="1">
      <alignment horizontal="left"/>
    </xf>
    <xf numFmtId="0" fontId="11" fillId="1" borderId="0" xfId="0" applyFont="1" applyFill="1" applyAlignment="1">
      <alignment horizontal="left"/>
    </xf>
    <xf numFmtId="0" fontId="12" fillId="0" borderId="0" xfId="0" applyFont="1" applyAlignment="1">
      <alignment horizontal="left" textRotation="90"/>
    </xf>
    <xf numFmtId="0" fontId="12" fillId="2" borderId="0" xfId="0" applyFont="1" applyFill="1" applyAlignment="1">
      <alignment horizontal="left" textRotation="90" wrapText="1"/>
    </xf>
    <xf numFmtId="0" fontId="12" fillId="3" borderId="0" xfId="0" applyFont="1" applyFill="1" applyAlignment="1">
      <alignment horizontal="left" textRotation="90" wrapText="1"/>
    </xf>
    <xf numFmtId="0" fontId="12" fillId="7" borderId="0" xfId="0" applyFont="1" applyFill="1" applyAlignment="1">
      <alignment horizontal="left" textRotation="90" wrapText="1"/>
    </xf>
    <xf numFmtId="0" fontId="13" fillId="2" borderId="0" xfId="0" applyFont="1" applyFill="1" applyAlignment="1">
      <alignment horizontal="left"/>
    </xf>
    <xf numFmtId="0" fontId="13" fillId="3" borderId="0" xfId="0" applyFont="1" applyFill="1" applyAlignment="1">
      <alignment horizontal="left"/>
    </xf>
    <xf numFmtId="0" fontId="11" fillId="4" borderId="0" xfId="0" applyFont="1" applyFill="1" applyAlignment="1">
      <alignment horizontal="left"/>
    </xf>
    <xf numFmtId="0" fontId="12" fillId="4" borderId="0" xfId="0" applyFont="1" applyFill="1" applyAlignment="1">
      <alignment horizontal="left" textRotation="90" wrapText="1"/>
    </xf>
    <xf numFmtId="0" fontId="12" fillId="9" borderId="0" xfId="0" applyFont="1" applyFill="1" applyAlignment="1">
      <alignment horizontal="left" textRotation="90" wrapText="1"/>
    </xf>
    <xf numFmtId="0" fontId="11" fillId="10" borderId="0" xfId="0" applyFont="1" applyFill="1" applyAlignment="1">
      <alignment horizontal="left"/>
    </xf>
    <xf numFmtId="0" fontId="12" fillId="10" borderId="0" xfId="0" applyFont="1" applyFill="1" applyAlignment="1">
      <alignment horizontal="left"/>
    </xf>
    <xf numFmtId="0" fontId="11" fillId="9" borderId="0" xfId="0" applyFont="1" applyFill="1" applyAlignment="1">
      <alignment horizontal="left"/>
    </xf>
    <xf numFmtId="0" fontId="13" fillId="10" borderId="0" xfId="0" applyFont="1" applyFill="1" applyAlignment="1">
      <alignment horizontal="left" wrapText="1"/>
    </xf>
    <xf numFmtId="0" fontId="1" fillId="3" borderId="0" xfId="0" applyFont="1" applyFill="1" applyBorder="1" applyAlignment="1">
      <alignment horizontal="left"/>
    </xf>
    <xf numFmtId="0" fontId="1" fillId="2" borderId="0" xfId="0" applyFont="1" applyFill="1" applyBorder="1" applyAlignment="1">
      <alignment horizontal="left"/>
    </xf>
    <xf numFmtId="0" fontId="1" fillId="0" borderId="0" xfId="0" applyFont="1" applyBorder="1" applyAlignment="1">
      <alignment horizontal="left"/>
    </xf>
    <xf numFmtId="0" fontId="1" fillId="0" borderId="0" xfId="0" applyFont="1" applyFill="1" applyBorder="1" applyAlignment="1" applyProtection="1">
      <alignment horizontal="left" vertical="top"/>
      <protection locked="0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 applyProtection="1">
      <alignment horizontal="left"/>
      <protection locked="0"/>
    </xf>
    <xf numFmtId="0" fontId="1" fillId="0" borderId="0" xfId="0" applyFont="1" applyFill="1" applyBorder="1" applyAlignment="1">
      <alignment horizontal="center"/>
    </xf>
    <xf numFmtId="164" fontId="1" fillId="0" borderId="0" xfId="0" applyNumberFormat="1" applyFont="1" applyFill="1" applyBorder="1" applyAlignment="1">
      <alignment horizontal="left"/>
    </xf>
    <xf numFmtId="10" fontId="1" fillId="0" borderId="0" xfId="0" applyNumberFormat="1" applyFont="1" applyFill="1" applyBorder="1" applyAlignment="1">
      <alignment horizontal="left"/>
    </xf>
    <xf numFmtId="0" fontId="1" fillId="0" borderId="0" xfId="0" applyFont="1" applyBorder="1" applyAlignment="1">
      <alignment horizontal="center"/>
    </xf>
    <xf numFmtId="164" fontId="1" fillId="0" borderId="0" xfId="0" applyNumberFormat="1" applyFont="1" applyBorder="1" applyAlignment="1">
      <alignment horizontal="left"/>
    </xf>
    <xf numFmtId="10" fontId="1" fillId="0" borderId="0" xfId="0" applyNumberFormat="1" applyFont="1" applyBorder="1" applyAlignment="1">
      <alignment horizontal="left"/>
    </xf>
    <xf numFmtId="164" fontId="1" fillId="8" borderId="0" xfId="0" applyNumberFormat="1" applyFont="1" applyFill="1" applyBorder="1" applyAlignment="1">
      <alignment horizontal="left"/>
    </xf>
    <xf numFmtId="0" fontId="1" fillId="8" borderId="0" xfId="0" applyFont="1" applyFill="1" applyBorder="1" applyAlignment="1">
      <alignment horizontal="left"/>
    </xf>
    <xf numFmtId="0" fontId="15" fillId="0" borderId="0" xfId="0" applyFont="1" applyBorder="1" applyAlignment="1">
      <alignment horizontal="left"/>
    </xf>
    <xf numFmtId="14" fontId="1" fillId="0" borderId="0" xfId="0" applyNumberFormat="1" applyFont="1" applyBorder="1" applyAlignment="1">
      <alignment horizontal="left"/>
    </xf>
    <xf numFmtId="0" fontId="1" fillId="4" borderId="0" xfId="0" applyFont="1" applyFill="1" applyBorder="1" applyAlignment="1" applyProtection="1">
      <alignment horizontal="left"/>
      <protection locked="0"/>
    </xf>
    <xf numFmtId="0" fontId="17" fillId="3" borderId="0" xfId="0" applyFont="1" applyFill="1" applyBorder="1" applyAlignment="1">
      <alignment horizontal="left"/>
    </xf>
    <xf numFmtId="0" fontId="18" fillId="0" borderId="0" xfId="0" applyFont="1" applyBorder="1" applyAlignment="1">
      <alignment horizontal="left"/>
    </xf>
    <xf numFmtId="164" fontId="17" fillId="8" borderId="0" xfId="0" applyNumberFormat="1" applyFont="1" applyFill="1" applyBorder="1" applyAlignment="1">
      <alignment horizontal="left"/>
    </xf>
    <xf numFmtId="0" fontId="1" fillId="11" borderId="0" xfId="0" applyFont="1" applyFill="1" applyBorder="1" applyAlignment="1">
      <alignment horizontal="left"/>
    </xf>
    <xf numFmtId="0" fontId="11" fillId="11" borderId="0" xfId="0" applyFont="1" applyFill="1" applyAlignment="1">
      <alignment horizontal="left"/>
    </xf>
    <xf numFmtId="0" fontId="12" fillId="11" borderId="0" xfId="0" applyFont="1" applyFill="1" applyAlignment="1">
      <alignment horizontal="left" textRotation="90" wrapText="1"/>
    </xf>
    <xf numFmtId="0" fontId="13" fillId="11" borderId="0" xfId="0" applyFont="1" applyFill="1" applyAlignment="1">
      <alignment horizontal="left" wrapText="1"/>
    </xf>
    <xf numFmtId="0" fontId="1" fillId="3" borderId="0" xfId="0" applyFont="1" applyFill="1" applyBorder="1" applyAlignment="1" applyProtection="1">
      <alignment horizontal="left" textRotation="90" wrapText="1"/>
      <protection locked="0"/>
    </xf>
    <xf numFmtId="0" fontId="1" fillId="2" borderId="0" xfId="0" applyFont="1" applyFill="1" applyBorder="1" applyAlignment="1" applyProtection="1">
      <alignment horizontal="left" textRotation="90" wrapText="1"/>
      <protection locked="0"/>
    </xf>
    <xf numFmtId="0" fontId="1" fillId="11" borderId="0" xfId="0" applyFont="1" applyFill="1" applyBorder="1" applyAlignment="1" applyProtection="1">
      <alignment horizontal="left" textRotation="90" wrapText="1"/>
      <protection locked="0"/>
    </xf>
    <xf numFmtId="164" fontId="16" fillId="11" borderId="0" xfId="0" applyNumberFormat="1" applyFont="1" applyFill="1" applyBorder="1" applyAlignment="1" applyProtection="1">
      <alignment horizontal="left" textRotation="90" wrapText="1"/>
      <protection locked="0"/>
    </xf>
    <xf numFmtId="0" fontId="1" fillId="8" borderId="0" xfId="0" applyFont="1" applyFill="1" applyBorder="1" applyAlignment="1" applyProtection="1">
      <alignment horizontal="left" textRotation="90" wrapText="1"/>
      <protection locked="0"/>
    </xf>
    <xf numFmtId="164" fontId="1" fillId="8" borderId="0" xfId="0" applyNumberFormat="1" applyFont="1" applyFill="1" applyBorder="1" applyAlignment="1" applyProtection="1">
      <alignment horizontal="left" textRotation="90" wrapText="1"/>
      <protection locked="0"/>
    </xf>
    <xf numFmtId="0" fontId="1" fillId="0" borderId="0" xfId="0" applyFont="1" applyBorder="1" applyAlignment="1" applyProtection="1">
      <alignment horizontal="left" textRotation="90" wrapText="1"/>
      <protection locked="0"/>
    </xf>
    <xf numFmtId="0" fontId="1" fillId="0" borderId="0" xfId="0" applyFont="1" applyFill="1" applyBorder="1" applyAlignment="1" applyProtection="1">
      <alignment horizontal="left" textRotation="90" wrapText="1"/>
      <protection locked="0"/>
    </xf>
    <xf numFmtId="164" fontId="1" fillId="14" borderId="0" xfId="0" applyNumberFormat="1" applyFont="1" applyFill="1" applyBorder="1" applyAlignment="1">
      <alignment horizontal="left"/>
    </xf>
    <xf numFmtId="164" fontId="1" fillId="14" borderId="0" xfId="0" applyNumberFormat="1" applyFont="1" applyFill="1" applyBorder="1" applyAlignment="1" applyProtection="1">
      <alignment horizontal="left" textRotation="90" wrapText="1"/>
      <protection locked="0"/>
    </xf>
    <xf numFmtId="0" fontId="23" fillId="0" borderId="0" xfId="0" applyFont="1" applyFill="1" applyBorder="1" applyAlignment="1" applyProtection="1">
      <alignment horizontal="left"/>
      <protection locked="0"/>
    </xf>
    <xf numFmtId="0" fontId="15" fillId="0" borderId="0" xfId="0" applyFont="1" applyBorder="1" applyAlignment="1">
      <alignment horizontal="left" vertical="center"/>
    </xf>
    <xf numFmtId="0" fontId="1" fillId="0" borderId="0" xfId="0" applyFont="1" applyBorder="1" applyAlignment="1">
      <alignment horizontal="left" vertical="center"/>
    </xf>
    <xf numFmtId="0" fontId="1" fillId="3" borderId="0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left" vertical="center"/>
    </xf>
    <xf numFmtId="0" fontId="15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Border="1" applyAlignment="1" applyProtection="1">
      <alignment horizontal="left"/>
    </xf>
    <xf numFmtId="10" fontId="1" fillId="0" borderId="0" xfId="0" applyNumberFormat="1" applyFont="1" applyBorder="1" applyAlignment="1" applyProtection="1">
      <alignment horizontal="left"/>
    </xf>
    <xf numFmtId="10" fontId="17" fillId="0" borderId="0" xfId="0" applyNumberFormat="1" applyFont="1" applyBorder="1" applyAlignment="1" applyProtection="1">
      <alignment horizontal="left"/>
    </xf>
    <xf numFmtId="10" fontId="20" fillId="0" borderId="0" xfId="0" applyNumberFormat="1" applyFont="1" applyBorder="1" applyAlignment="1" applyProtection="1">
      <alignment horizontal="left"/>
    </xf>
    <xf numFmtId="10" fontId="15" fillId="0" borderId="0" xfId="0" applyNumberFormat="1" applyFont="1" applyBorder="1" applyAlignment="1" applyProtection="1">
      <alignment horizontal="left"/>
    </xf>
    <xf numFmtId="0" fontId="17" fillId="12" borderId="0" xfId="0" applyFont="1" applyFill="1" applyBorder="1" applyAlignment="1" applyProtection="1">
      <alignment horizontal="left"/>
    </xf>
    <xf numFmtId="0" fontId="1" fillId="12" borderId="0" xfId="0" applyFont="1" applyFill="1" applyBorder="1" applyAlignment="1" applyProtection="1">
      <alignment horizontal="left"/>
    </xf>
    <xf numFmtId="0" fontId="20" fillId="12" borderId="0" xfId="0" applyFont="1" applyFill="1" applyBorder="1" applyAlignment="1" applyProtection="1">
      <alignment horizontal="left"/>
    </xf>
    <xf numFmtId="0" fontId="17" fillId="11" borderId="0" xfId="0" applyFont="1" applyFill="1" applyBorder="1" applyAlignment="1" applyProtection="1">
      <alignment horizontal="left"/>
    </xf>
    <xf numFmtId="0" fontId="1" fillId="11" borderId="0" xfId="0" applyFont="1" applyFill="1" applyBorder="1" applyAlignment="1" applyProtection="1">
      <alignment horizontal="left"/>
    </xf>
    <xf numFmtId="0" fontId="15" fillId="16" borderId="0" xfId="0" applyFont="1" applyFill="1" applyBorder="1" applyAlignment="1" applyProtection="1">
      <alignment horizontal="left"/>
    </xf>
    <xf numFmtId="0" fontId="1" fillId="2" borderId="0" xfId="0" applyFont="1" applyFill="1" applyBorder="1" applyAlignment="1" applyProtection="1">
      <alignment horizontal="left" textRotation="90" wrapText="1"/>
    </xf>
    <xf numFmtId="0" fontId="1" fillId="15" borderId="0" xfId="0" applyFont="1" applyFill="1" applyBorder="1" applyAlignment="1" applyProtection="1">
      <alignment horizontal="left" textRotation="90" wrapText="1"/>
    </xf>
    <xf numFmtId="10" fontId="20" fillId="12" borderId="0" xfId="0" applyNumberFormat="1" applyFont="1" applyFill="1" applyBorder="1" applyAlignment="1" applyProtection="1">
      <alignment horizontal="left" textRotation="90" wrapText="1"/>
    </xf>
    <xf numFmtId="10" fontId="17" fillId="12" borderId="0" xfId="0" applyNumberFormat="1" applyFont="1" applyFill="1" applyBorder="1" applyAlignment="1" applyProtection="1">
      <alignment horizontal="left" textRotation="90" wrapText="1"/>
    </xf>
    <xf numFmtId="0" fontId="1" fillId="13" borderId="0" xfId="0" applyFont="1" applyFill="1" applyBorder="1" applyAlignment="1" applyProtection="1">
      <alignment horizontal="left" textRotation="90" wrapText="1"/>
    </xf>
    <xf numFmtId="10" fontId="17" fillId="11" borderId="0" xfId="0" applyNumberFormat="1" applyFont="1" applyFill="1" applyBorder="1" applyAlignment="1" applyProtection="1">
      <alignment horizontal="left" textRotation="90" wrapText="1"/>
    </xf>
    <xf numFmtId="0" fontId="15" fillId="12" borderId="0" xfId="0" applyFont="1" applyFill="1" applyBorder="1" applyAlignment="1" applyProtection="1">
      <alignment horizontal="left" textRotation="90"/>
    </xf>
    <xf numFmtId="10" fontId="21" fillId="16" borderId="0" xfId="0" applyNumberFormat="1" applyFont="1" applyFill="1" applyBorder="1" applyAlignment="1" applyProtection="1">
      <alignment horizontal="left" textRotation="90" wrapText="1"/>
    </xf>
    <xf numFmtId="0" fontId="1" fillId="0" borderId="0" xfId="0" applyFont="1" applyFill="1" applyBorder="1" applyAlignment="1" applyProtection="1">
      <alignment horizontal="left"/>
    </xf>
    <xf numFmtId="1" fontId="1" fillId="0" borderId="0" xfId="0" applyNumberFormat="1" applyFont="1" applyFill="1" applyBorder="1" applyAlignment="1" applyProtection="1">
      <alignment horizontal="left"/>
    </xf>
    <xf numFmtId="3" fontId="17" fillId="0" borderId="0" xfId="0" applyNumberFormat="1" applyFont="1" applyFill="1" applyBorder="1" applyAlignment="1" applyProtection="1">
      <alignment horizontal="left"/>
    </xf>
    <xf numFmtId="3" fontId="20" fillId="0" borderId="0" xfId="0" applyNumberFormat="1" applyFont="1" applyFill="1" applyBorder="1" applyAlignment="1" applyProtection="1">
      <alignment horizontal="left"/>
    </xf>
    <xf numFmtId="3" fontId="15" fillId="16" borderId="0" xfId="0" applyNumberFormat="1" applyFont="1" applyFill="1" applyBorder="1" applyAlignment="1" applyProtection="1">
      <alignment horizontal="left"/>
    </xf>
    <xf numFmtId="0" fontId="23" fillId="0" borderId="0" xfId="0" applyFont="1" applyFill="1" applyBorder="1" applyAlignment="1" applyProtection="1">
      <alignment horizontal="left"/>
    </xf>
    <xf numFmtId="1" fontId="23" fillId="0" borderId="0" xfId="0" applyNumberFormat="1" applyFont="1" applyFill="1" applyBorder="1" applyAlignment="1" applyProtection="1">
      <alignment horizontal="left"/>
    </xf>
    <xf numFmtId="3" fontId="24" fillId="0" borderId="0" xfId="0" applyNumberFormat="1" applyFont="1" applyFill="1" applyBorder="1" applyAlignment="1" applyProtection="1">
      <alignment horizontal="left"/>
    </xf>
    <xf numFmtId="3" fontId="25" fillId="0" borderId="0" xfId="0" applyNumberFormat="1" applyFont="1" applyFill="1" applyBorder="1" applyAlignment="1" applyProtection="1">
      <alignment horizontal="left"/>
    </xf>
    <xf numFmtId="1" fontId="25" fillId="0" borderId="0" xfId="0" applyNumberFormat="1" applyFont="1" applyFill="1" applyBorder="1" applyAlignment="1" applyProtection="1">
      <alignment horizontal="left"/>
    </xf>
    <xf numFmtId="164" fontId="1" fillId="0" borderId="0" xfId="0" applyNumberFormat="1" applyFont="1" applyFill="1" applyBorder="1" applyAlignment="1" applyProtection="1">
      <alignment horizontal="left"/>
    </xf>
    <xf numFmtId="10" fontId="1" fillId="0" borderId="0" xfId="0" applyNumberFormat="1" applyFont="1" applyFill="1" applyBorder="1" applyAlignment="1" applyProtection="1">
      <alignment horizontal="left"/>
    </xf>
    <xf numFmtId="10" fontId="17" fillId="0" borderId="0" xfId="0" applyNumberFormat="1" applyFont="1" applyFill="1" applyBorder="1" applyAlignment="1" applyProtection="1">
      <alignment horizontal="left"/>
    </xf>
    <xf numFmtId="10" fontId="20" fillId="0" borderId="0" xfId="0" applyNumberFormat="1" applyFont="1" applyFill="1" applyBorder="1" applyAlignment="1" applyProtection="1">
      <alignment horizontal="left"/>
    </xf>
    <xf numFmtId="0" fontId="17" fillId="0" borderId="0" xfId="0" applyFont="1" applyFill="1" applyBorder="1" applyAlignment="1" applyProtection="1">
      <alignment horizontal="left"/>
    </xf>
    <xf numFmtId="164" fontId="1" fillId="0" borderId="0" xfId="0" applyNumberFormat="1" applyFont="1" applyBorder="1" applyAlignment="1" applyProtection="1">
      <alignment horizontal="left"/>
    </xf>
    <xf numFmtId="0" fontId="17" fillId="0" borderId="0" xfId="0" applyFont="1" applyBorder="1" applyAlignment="1" applyProtection="1">
      <alignment horizontal="left"/>
    </xf>
    <xf numFmtId="9" fontId="15" fillId="16" borderId="0" xfId="0" applyNumberFormat="1" applyFont="1" applyFill="1" applyBorder="1" applyAlignment="1" applyProtection="1">
      <alignment horizontal="left"/>
    </xf>
    <xf numFmtId="3" fontId="26" fillId="18" borderId="0" xfId="0" applyNumberFormat="1" applyFont="1" applyFill="1" applyBorder="1" applyAlignment="1" applyProtection="1">
      <alignment horizontal="left"/>
    </xf>
    <xf numFmtId="0" fontId="26" fillId="18" borderId="0" xfId="0" applyNumberFormat="1" applyFont="1" applyFill="1" applyBorder="1" applyAlignment="1" applyProtection="1">
      <alignment horizontal="left"/>
    </xf>
    <xf numFmtId="0" fontId="27" fillId="18" borderId="0" xfId="0" applyNumberFormat="1" applyFont="1" applyFill="1" applyBorder="1" applyAlignment="1" applyProtection="1">
      <alignment horizontal="left"/>
    </xf>
    <xf numFmtId="0" fontId="27" fillId="0" borderId="0" xfId="0" applyFont="1" applyBorder="1" applyAlignment="1" applyProtection="1">
      <alignment horizontal="left" textRotation="90" wrapText="1"/>
      <protection locked="0"/>
    </xf>
    <xf numFmtId="0" fontId="27" fillId="0" borderId="0" xfId="0" applyFont="1" applyFill="1" applyBorder="1" applyAlignment="1" applyProtection="1">
      <alignment horizontal="left" textRotation="90" wrapText="1"/>
      <protection locked="0"/>
    </xf>
    <xf numFmtId="164" fontId="26" fillId="18" borderId="0" xfId="0" applyNumberFormat="1" applyFont="1" applyFill="1" applyBorder="1" applyAlignment="1" applyProtection="1">
      <alignment horizontal="left"/>
      <protection locked="0"/>
    </xf>
    <xf numFmtId="0" fontId="27" fillId="19" borderId="0" xfId="0" applyFont="1" applyFill="1" applyBorder="1" applyAlignment="1" applyProtection="1">
      <alignment horizontal="left"/>
      <protection locked="0"/>
    </xf>
    <xf numFmtId="9" fontId="26" fillId="18" borderId="0" xfId="0" applyNumberFormat="1" applyFont="1" applyFill="1" applyBorder="1" applyAlignment="1" applyProtection="1">
      <alignment horizontal="left"/>
    </xf>
    <xf numFmtId="0" fontId="1" fillId="6" borderId="0" xfId="0" applyFont="1" applyFill="1" applyBorder="1" applyAlignment="1" applyProtection="1">
      <alignment horizontal="left"/>
      <protection locked="0"/>
    </xf>
    <xf numFmtId="164" fontId="1" fillId="6" borderId="0" xfId="0" applyNumberFormat="1" applyFont="1" applyFill="1" applyBorder="1" applyAlignment="1" applyProtection="1">
      <alignment horizontal="left"/>
      <protection locked="0"/>
    </xf>
    <xf numFmtId="0" fontId="1" fillId="6" borderId="0" xfId="0" applyFont="1" applyFill="1" applyBorder="1" applyAlignment="1" applyProtection="1">
      <alignment horizontal="left"/>
    </xf>
    <xf numFmtId="1" fontId="1" fillId="6" borderId="0" xfId="0" applyNumberFormat="1" applyFont="1" applyFill="1" applyBorder="1" applyAlignment="1" applyProtection="1">
      <alignment horizontal="left"/>
    </xf>
    <xf numFmtId="3" fontId="17" fillId="6" borderId="0" xfId="0" applyNumberFormat="1" applyFont="1" applyFill="1" applyBorder="1" applyAlignment="1" applyProtection="1">
      <alignment horizontal="left"/>
    </xf>
    <xf numFmtId="3" fontId="20" fillId="6" borderId="0" xfId="0" applyNumberFormat="1" applyFont="1" applyFill="1" applyBorder="1" applyAlignment="1" applyProtection="1">
      <alignment horizontal="left"/>
    </xf>
    <xf numFmtId="1" fontId="20" fillId="6" borderId="0" xfId="0" applyNumberFormat="1" applyFont="1" applyFill="1" applyBorder="1" applyAlignment="1" applyProtection="1">
      <alignment horizontal="left"/>
    </xf>
    <xf numFmtId="10" fontId="1" fillId="6" borderId="0" xfId="0" applyNumberFormat="1" applyFont="1" applyFill="1" applyBorder="1" applyAlignment="1" applyProtection="1">
      <alignment horizontal="left"/>
    </xf>
    <xf numFmtId="0" fontId="1" fillId="6" borderId="0" xfId="0" applyNumberFormat="1" applyFont="1" applyFill="1" applyBorder="1" applyAlignment="1" applyProtection="1">
      <alignment horizontal="left"/>
    </xf>
    <xf numFmtId="0" fontId="17" fillId="6" borderId="0" xfId="0" applyNumberFormat="1" applyFont="1" applyFill="1" applyBorder="1" applyAlignment="1" applyProtection="1">
      <alignment horizontal="left"/>
    </xf>
    <xf numFmtId="3" fontId="15" fillId="6" borderId="0" xfId="0" applyNumberFormat="1" applyFont="1" applyFill="1" applyBorder="1" applyAlignment="1" applyProtection="1">
      <alignment horizontal="left"/>
    </xf>
    <xf numFmtId="10" fontId="23" fillId="0" borderId="0" xfId="0" applyNumberFormat="1" applyFont="1" applyFill="1" applyBorder="1" applyAlignment="1" applyProtection="1">
      <alignment horizontal="left"/>
    </xf>
    <xf numFmtId="0" fontId="23" fillId="0" borderId="0" xfId="0" applyNumberFormat="1" applyFont="1" applyFill="1" applyBorder="1" applyAlignment="1" applyProtection="1">
      <alignment horizontal="left"/>
    </xf>
    <xf numFmtId="165" fontId="17" fillId="3" borderId="0" xfId="0" applyNumberFormat="1" applyFont="1" applyFill="1" applyBorder="1" applyAlignment="1" applyProtection="1">
      <alignment horizontal="left" vertical="top"/>
      <protection locked="0"/>
    </xf>
    <xf numFmtId="165" fontId="17" fillId="3" borderId="0" xfId="0" applyNumberFormat="1" applyFont="1" applyFill="1" applyBorder="1" applyAlignment="1">
      <alignment horizontal="left"/>
    </xf>
    <xf numFmtId="165" fontId="17" fillId="3" borderId="0" xfId="0" applyNumberFormat="1" applyFont="1" applyFill="1" applyBorder="1" applyAlignment="1">
      <alignment horizontal="center" vertical="center"/>
    </xf>
    <xf numFmtId="165" fontId="17" fillId="3" borderId="0" xfId="0" applyNumberFormat="1" applyFont="1" applyFill="1" applyBorder="1" applyAlignment="1">
      <alignment horizontal="left" vertical="center"/>
    </xf>
    <xf numFmtId="165" fontId="17" fillId="3" borderId="0" xfId="0" applyNumberFormat="1" applyFont="1" applyFill="1" applyBorder="1" applyAlignment="1" applyProtection="1">
      <alignment horizontal="left"/>
      <protection locked="0"/>
    </xf>
    <xf numFmtId="165" fontId="17" fillId="3" borderId="0" xfId="0" applyNumberFormat="1" applyFont="1" applyFill="1" applyBorder="1" applyAlignment="1">
      <alignment horizontal="center"/>
    </xf>
    <xf numFmtId="165" fontId="1" fillId="0" borderId="0" xfId="0" applyNumberFormat="1" applyFont="1" applyFill="1" applyBorder="1" applyAlignment="1">
      <alignment horizontal="left"/>
    </xf>
    <xf numFmtId="1" fontId="20" fillId="0" borderId="0" xfId="0" applyNumberFormat="1" applyFont="1" applyFill="1" applyBorder="1" applyAlignment="1" applyProtection="1">
      <alignment horizontal="left"/>
    </xf>
    <xf numFmtId="0" fontId="1" fillId="0" borderId="0" xfId="0" applyNumberFormat="1" applyFont="1" applyFill="1" applyBorder="1" applyAlignment="1" applyProtection="1">
      <alignment horizontal="left"/>
    </xf>
    <xf numFmtId="0" fontId="17" fillId="0" borderId="0" xfId="0" applyFont="1" applyFill="1" applyBorder="1" applyAlignment="1" applyProtection="1">
      <alignment horizontal="right"/>
    </xf>
    <xf numFmtId="166" fontId="17" fillId="0" borderId="0" xfId="0" applyNumberFormat="1" applyFont="1" applyFill="1" applyBorder="1" applyAlignment="1" applyProtection="1">
      <alignment horizontal="left"/>
    </xf>
    <xf numFmtId="0" fontId="20" fillId="0" borderId="0" xfId="0" applyFont="1" applyFill="1" applyBorder="1" applyAlignment="1" applyProtection="1">
      <alignment horizontal="left" vertical="top"/>
      <protection locked="0"/>
    </xf>
    <xf numFmtId="164" fontId="17" fillId="3" borderId="0" xfId="0" applyNumberFormat="1" applyFont="1" applyFill="1" applyBorder="1" applyAlignment="1">
      <alignment horizontal="left"/>
    </xf>
    <xf numFmtId="0" fontId="24" fillId="0" borderId="0" xfId="0" applyNumberFormat="1" applyFont="1" applyFill="1" applyBorder="1" applyAlignment="1" applyProtection="1">
      <alignment horizontal="left"/>
    </xf>
    <xf numFmtId="3" fontId="29" fillId="0" borderId="0" xfId="0" applyNumberFormat="1" applyFont="1" applyFill="1" applyBorder="1" applyAlignment="1" applyProtection="1">
      <alignment horizontal="left"/>
    </xf>
    <xf numFmtId="3" fontId="29" fillId="16" borderId="0" xfId="0" applyNumberFormat="1" applyFont="1" applyFill="1" applyBorder="1" applyAlignment="1" applyProtection="1">
      <alignment horizontal="left"/>
    </xf>
    <xf numFmtId="164" fontId="2" fillId="7" borderId="1" xfId="0" applyNumberFormat="1" applyFont="1" applyFill="1" applyBorder="1" applyAlignment="1">
      <alignment horizontal="left" indent="1"/>
    </xf>
    <xf numFmtId="0" fontId="2" fillId="7" borderId="0" xfId="0" applyFont="1" applyFill="1" applyBorder="1" applyAlignment="1">
      <alignment horizontal="left" vertical="top" indent="1"/>
    </xf>
    <xf numFmtId="0" fontId="30" fillId="20" borderId="0" xfId="0" applyFont="1" applyFill="1" applyAlignment="1">
      <alignment horizontal="left" indent="1"/>
    </xf>
    <xf numFmtId="0" fontId="31" fillId="20" borderId="0" xfId="0" applyFont="1" applyFill="1" applyBorder="1" applyAlignment="1">
      <alignment horizontal="left" vertical="top" indent="1"/>
    </xf>
    <xf numFmtId="0" fontId="30" fillId="20" borderId="0" xfId="0" applyFont="1" applyFill="1" applyBorder="1" applyAlignment="1">
      <alignment vertical="top"/>
    </xf>
    <xf numFmtId="164" fontId="31" fillId="20" borderId="0" xfId="0" applyNumberFormat="1" applyFont="1" applyFill="1" applyAlignment="1">
      <alignment horizontal="left" indent="1"/>
    </xf>
    <xf numFmtId="0" fontId="31" fillId="20" borderId="0" xfId="0" applyFont="1" applyFill="1"/>
    <xf numFmtId="164" fontId="30" fillId="20" borderId="0" xfId="0" applyNumberFormat="1" applyFont="1" applyFill="1" applyAlignment="1">
      <alignment horizontal="left" indent="1"/>
    </xf>
    <xf numFmtId="0" fontId="33" fillId="20" borderId="0" xfId="0" applyFont="1" applyFill="1" applyBorder="1" applyAlignment="1">
      <alignment horizontal="left" textRotation="90"/>
    </xf>
    <xf numFmtId="0" fontId="33" fillId="20" borderId="0" xfId="0" applyFont="1" applyFill="1" applyBorder="1" applyAlignment="1">
      <alignment horizontal="left"/>
    </xf>
    <xf numFmtId="0" fontId="31" fillId="20" borderId="0" xfId="0" applyFont="1" applyFill="1" applyBorder="1" applyAlignment="1">
      <alignment horizontal="left"/>
    </xf>
    <xf numFmtId="0" fontId="3" fillId="0" borderId="0" xfId="0" applyFont="1" applyFill="1" applyBorder="1" applyAlignment="1">
      <alignment vertical="top"/>
    </xf>
    <xf numFmtId="0" fontId="31" fillId="0" borderId="0" xfId="0" applyFont="1" applyFill="1" applyBorder="1" applyAlignment="1">
      <alignment horizontal="left"/>
    </xf>
    <xf numFmtId="0" fontId="0" fillId="0" borderId="0" xfId="0" applyFont="1" applyFill="1" applyBorder="1"/>
    <xf numFmtId="0" fontId="32" fillId="0" borderId="0" xfId="0" applyFont="1" applyFill="1" applyBorder="1"/>
    <xf numFmtId="0" fontId="32" fillId="0" borderId="0" xfId="0" applyFont="1" applyFill="1" applyBorder="1" applyAlignment="1">
      <alignment horizontal="left"/>
    </xf>
    <xf numFmtId="0" fontId="6" fillId="0" borderId="0" xfId="0" applyFont="1" applyBorder="1" applyAlignment="1">
      <alignment horizontal="center"/>
    </xf>
    <xf numFmtId="164" fontId="7" fillId="0" borderId="0" xfId="0" applyNumberFormat="1" applyFont="1" applyBorder="1"/>
    <xf numFmtId="0" fontId="5" fillId="0" borderId="0" xfId="0" applyFont="1" applyBorder="1" applyAlignment="1">
      <alignment horizontal="center"/>
    </xf>
    <xf numFmtId="0" fontId="3" fillId="5" borderId="14" xfId="0" applyFont="1" applyFill="1" applyBorder="1" applyAlignment="1">
      <alignment vertical="top"/>
    </xf>
    <xf numFmtId="0" fontId="17" fillId="0" borderId="0" xfId="0" applyNumberFormat="1" applyFont="1" applyFill="1" applyBorder="1" applyAlignment="1" applyProtection="1">
      <alignment horizontal="left"/>
    </xf>
    <xf numFmtId="3" fontId="15" fillId="0" borderId="0" xfId="0" applyNumberFormat="1" applyFont="1" applyFill="1" applyBorder="1" applyAlignment="1" applyProtection="1">
      <alignment horizontal="left"/>
    </xf>
    <xf numFmtId="0" fontId="41" fillId="0" borderId="0" xfId="0" applyFont="1" applyFill="1" applyBorder="1" applyAlignment="1" applyProtection="1">
      <alignment horizontal="left"/>
    </xf>
    <xf numFmtId="1" fontId="41" fillId="0" borderId="0" xfId="0" applyNumberFormat="1" applyFont="1" applyFill="1" applyBorder="1" applyAlignment="1" applyProtection="1">
      <alignment horizontal="left"/>
    </xf>
    <xf numFmtId="3" fontId="42" fillId="0" borderId="0" xfId="0" applyNumberFormat="1" applyFont="1" applyFill="1" applyBorder="1" applyAlignment="1" applyProtection="1">
      <alignment horizontal="left"/>
    </xf>
    <xf numFmtId="3" fontId="43" fillId="0" borderId="0" xfId="0" applyNumberFormat="1" applyFont="1" applyFill="1" applyBorder="1" applyAlignment="1" applyProtection="1">
      <alignment horizontal="left"/>
    </xf>
    <xf numFmtId="3" fontId="44" fillId="16" borderId="0" xfId="0" applyNumberFormat="1" applyFont="1" applyFill="1" applyBorder="1" applyAlignment="1" applyProtection="1">
      <alignment horizontal="left"/>
    </xf>
    <xf numFmtId="9" fontId="44" fillId="16" borderId="0" xfId="0" applyNumberFormat="1" applyFont="1" applyFill="1" applyBorder="1" applyAlignment="1" applyProtection="1">
      <alignment horizontal="left"/>
    </xf>
    <xf numFmtId="0" fontId="37" fillId="0" borderId="0" xfId="0" applyFont="1" applyFill="1" applyBorder="1" applyAlignment="1" applyProtection="1">
      <alignment horizontal="left"/>
    </xf>
    <xf numFmtId="1" fontId="37" fillId="0" borderId="0" xfId="0" applyNumberFormat="1" applyFont="1" applyFill="1" applyBorder="1" applyAlignment="1" applyProtection="1">
      <alignment horizontal="left"/>
    </xf>
    <xf numFmtId="3" fontId="38" fillId="0" borderId="0" xfId="0" applyNumberFormat="1" applyFont="1" applyFill="1" applyBorder="1" applyAlignment="1" applyProtection="1">
      <alignment horizontal="left"/>
    </xf>
    <xf numFmtId="1" fontId="38" fillId="0" borderId="0" xfId="0" applyNumberFormat="1" applyFont="1" applyFill="1" applyBorder="1" applyAlignment="1" applyProtection="1">
      <alignment horizontal="left"/>
    </xf>
    <xf numFmtId="3" fontId="39" fillId="0" borderId="0" xfId="0" applyNumberFormat="1" applyFont="1" applyFill="1" applyBorder="1" applyAlignment="1" applyProtection="1">
      <alignment horizontal="left"/>
    </xf>
    <xf numFmtId="10" fontId="37" fillId="0" borderId="0" xfId="0" applyNumberFormat="1" applyFont="1" applyFill="1" applyBorder="1" applyAlignment="1" applyProtection="1">
      <alignment horizontal="left"/>
    </xf>
    <xf numFmtId="0" fontId="37" fillId="0" borderId="0" xfId="0" applyNumberFormat="1" applyFont="1" applyFill="1" applyBorder="1" applyAlignment="1" applyProtection="1">
      <alignment horizontal="left"/>
    </xf>
    <xf numFmtId="0" fontId="39" fillId="0" borderId="0" xfId="0" applyNumberFormat="1" applyFont="1" applyFill="1" applyBorder="1" applyAlignment="1" applyProtection="1">
      <alignment horizontal="left"/>
    </xf>
    <xf numFmtId="3" fontId="40" fillId="0" borderId="0" xfId="0" applyNumberFormat="1" applyFont="1" applyFill="1" applyBorder="1" applyAlignment="1" applyProtection="1">
      <alignment horizontal="left"/>
    </xf>
    <xf numFmtId="3" fontId="40" fillId="16" borderId="0" xfId="0" applyNumberFormat="1" applyFont="1" applyFill="1" applyBorder="1" applyAlignment="1" applyProtection="1">
      <alignment horizontal="left"/>
    </xf>
    <xf numFmtId="0" fontId="41" fillId="0" borderId="0" xfId="0" applyFont="1" applyFill="1" applyBorder="1" applyAlignment="1" applyProtection="1">
      <alignment horizontal="left"/>
      <protection locked="0"/>
    </xf>
    <xf numFmtId="0" fontId="41" fillId="4" borderId="0" xfId="0" applyFont="1" applyFill="1" applyBorder="1" applyAlignment="1" applyProtection="1">
      <alignment horizontal="left"/>
      <protection locked="0"/>
    </xf>
    <xf numFmtId="0" fontId="0" fillId="0" borderId="0" xfId="0" applyAlignment="1">
      <alignment horizontal="left" vertical="center"/>
    </xf>
    <xf numFmtId="3" fontId="17" fillId="3" borderId="0" xfId="0" applyNumberFormat="1" applyFont="1" applyFill="1" applyBorder="1" applyAlignment="1">
      <alignment horizontal="left"/>
    </xf>
    <xf numFmtId="0" fontId="17" fillId="12" borderId="0" xfId="0" applyFont="1" applyFill="1" applyBorder="1" applyAlignment="1" applyProtection="1">
      <alignment horizontal="left"/>
    </xf>
    <xf numFmtId="0" fontId="0" fillId="0" borderId="13" xfId="0" applyFont="1" applyBorder="1"/>
    <xf numFmtId="0" fontId="17" fillId="12" borderId="0" xfId="0" applyFont="1" applyFill="1" applyBorder="1" applyAlignment="1" applyProtection="1"/>
    <xf numFmtId="0" fontId="0" fillId="0" borderId="20" xfId="0" applyNumberFormat="1" applyBorder="1"/>
    <xf numFmtId="0" fontId="0" fillId="0" borderId="0" xfId="0" pivotButton="1"/>
    <xf numFmtId="0" fontId="45" fillId="0" borderId="23" xfId="0" applyNumberFormat="1" applyFont="1" applyBorder="1"/>
    <xf numFmtId="0" fontId="45" fillId="0" borderId="24" xfId="0" applyFont="1" applyBorder="1" applyAlignment="1">
      <alignment horizontal="left"/>
    </xf>
    <xf numFmtId="0" fontId="45" fillId="0" borderId="21" xfId="0" applyNumberFormat="1" applyFont="1" applyBorder="1"/>
    <xf numFmtId="0" fontId="45" fillId="0" borderId="25" xfId="0" applyFont="1" applyBorder="1" applyAlignment="1">
      <alignment horizontal="left"/>
    </xf>
    <xf numFmtId="0" fontId="0" fillId="0" borderId="22" xfId="0" applyBorder="1" applyAlignment="1">
      <alignment horizontal="left"/>
    </xf>
    <xf numFmtId="0" fontId="0" fillId="0" borderId="0" xfId="0" applyAlignment="1">
      <alignment horizontal="left"/>
    </xf>
    <xf numFmtId="0" fontId="0" fillId="0" borderId="27" xfId="0" applyNumberFormat="1" applyBorder="1"/>
    <xf numFmtId="0" fontId="0" fillId="0" borderId="0" xfId="0" applyNumberFormat="1"/>
    <xf numFmtId="0" fontId="45" fillId="0" borderId="28" xfId="0" applyNumberFormat="1" applyFont="1" applyBorder="1"/>
    <xf numFmtId="0" fontId="45" fillId="0" borderId="29" xfId="0" applyNumberFormat="1" applyFont="1" applyBorder="1"/>
    <xf numFmtId="0" fontId="48" fillId="0" borderId="0" xfId="0" applyFont="1" applyFill="1" applyBorder="1" applyAlignment="1" applyProtection="1">
      <alignment horizontal="left"/>
    </xf>
    <xf numFmtId="1" fontId="48" fillId="0" borderId="0" xfId="0" applyNumberFormat="1" applyFont="1" applyFill="1" applyBorder="1" applyAlignment="1" applyProtection="1">
      <alignment horizontal="left"/>
    </xf>
    <xf numFmtId="3" fontId="49" fillId="0" borderId="0" xfId="0" applyNumberFormat="1" applyFont="1" applyFill="1" applyBorder="1" applyAlignment="1" applyProtection="1">
      <alignment horizontal="left"/>
    </xf>
    <xf numFmtId="1" fontId="49" fillId="0" borderId="0" xfId="0" applyNumberFormat="1" applyFont="1" applyFill="1" applyBorder="1" applyAlignment="1" applyProtection="1">
      <alignment horizontal="left"/>
    </xf>
    <xf numFmtId="3" fontId="50" fillId="0" borderId="0" xfId="0" applyNumberFormat="1" applyFont="1" applyFill="1" applyBorder="1" applyAlignment="1" applyProtection="1">
      <alignment horizontal="left"/>
    </xf>
    <xf numFmtId="10" fontId="48" fillId="0" borderId="0" xfId="0" applyNumberFormat="1" applyFont="1" applyFill="1" applyBorder="1" applyAlignment="1" applyProtection="1">
      <alignment horizontal="left"/>
    </xf>
    <xf numFmtId="0" fontId="48" fillId="0" borderId="0" xfId="0" applyNumberFormat="1" applyFont="1" applyFill="1" applyBorder="1" applyAlignment="1" applyProtection="1">
      <alignment horizontal="left"/>
    </xf>
    <xf numFmtId="0" fontId="50" fillId="0" borderId="0" xfId="0" applyNumberFormat="1" applyFont="1" applyFill="1" applyBorder="1" applyAlignment="1" applyProtection="1">
      <alignment horizontal="left"/>
    </xf>
    <xf numFmtId="3" fontId="51" fillId="0" borderId="0" xfId="0" applyNumberFormat="1" applyFont="1" applyFill="1" applyBorder="1" applyAlignment="1" applyProtection="1">
      <alignment horizontal="left"/>
    </xf>
    <xf numFmtId="3" fontId="51" fillId="16" borderId="0" xfId="0" applyNumberFormat="1" applyFont="1" applyFill="1" applyBorder="1" applyAlignment="1" applyProtection="1">
      <alignment horizontal="left"/>
    </xf>
    <xf numFmtId="0" fontId="0" fillId="0" borderId="30" xfId="0" applyBorder="1" applyAlignment="1">
      <alignment horizontal="left"/>
    </xf>
    <xf numFmtId="0" fontId="0" fillId="0" borderId="31" xfId="0" applyNumberFormat="1" applyBorder="1"/>
    <xf numFmtId="0" fontId="0" fillId="0" borderId="32" xfId="0" applyNumberFormat="1" applyBorder="1"/>
    <xf numFmtId="0" fontId="0" fillId="0" borderId="30" xfId="0" applyNumberFormat="1" applyBorder="1"/>
    <xf numFmtId="0" fontId="0" fillId="0" borderId="22" xfId="0" applyNumberFormat="1" applyBorder="1"/>
    <xf numFmtId="0" fontId="0" fillId="0" borderId="33" xfId="0" applyNumberFormat="1" applyBorder="1"/>
    <xf numFmtId="0" fontId="0" fillId="0" borderId="27" xfId="0" applyBorder="1" applyAlignment="1">
      <alignment horizontal="left"/>
    </xf>
    <xf numFmtId="0" fontId="0" fillId="0" borderId="31" xfId="0" applyBorder="1" applyAlignment="1">
      <alignment horizontal="left"/>
    </xf>
    <xf numFmtId="0" fontId="45" fillId="0" borderId="35" xfId="0" applyNumberFormat="1" applyFont="1" applyBorder="1"/>
    <xf numFmtId="0" fontId="45" fillId="0" borderId="34" xfId="0" applyNumberFormat="1" applyFont="1" applyBorder="1"/>
    <xf numFmtId="0" fontId="26" fillId="18" borderId="0" xfId="0" applyFont="1" applyFill="1" applyBorder="1" applyAlignment="1" applyProtection="1">
      <alignment horizontal="left"/>
    </xf>
    <xf numFmtId="0" fontId="27" fillId="19" borderId="0" xfId="0" applyFont="1" applyFill="1" applyBorder="1" applyAlignment="1" applyProtection="1">
      <alignment horizontal="left" vertical="top"/>
    </xf>
    <xf numFmtId="0" fontId="27" fillId="19" borderId="0" xfId="0" applyFont="1" applyFill="1" applyBorder="1" applyAlignment="1" applyProtection="1">
      <alignment horizontal="left" vertical="center"/>
    </xf>
    <xf numFmtId="0" fontId="27" fillId="19" borderId="0" xfId="0" applyFont="1" applyFill="1" applyBorder="1" applyAlignment="1" applyProtection="1">
      <alignment horizontal="center" vertical="center"/>
    </xf>
    <xf numFmtId="0" fontId="27" fillId="19" borderId="0" xfId="0" applyFont="1" applyFill="1" applyBorder="1" applyAlignment="1" applyProtection="1">
      <alignment horizontal="left"/>
    </xf>
    <xf numFmtId="0" fontId="27" fillId="19" borderId="0" xfId="0" applyFont="1" applyFill="1" applyBorder="1" applyAlignment="1" applyProtection="1">
      <alignment horizontal="center"/>
    </xf>
    <xf numFmtId="49" fontId="27" fillId="19" borderId="0" xfId="0" applyNumberFormat="1" applyFont="1" applyFill="1" applyBorder="1" applyAlignment="1" applyProtection="1">
      <alignment horizontal="center"/>
    </xf>
    <xf numFmtId="49" fontId="27" fillId="19" borderId="0" xfId="0" applyNumberFormat="1" applyFont="1" applyFill="1" applyBorder="1" applyAlignment="1" applyProtection="1">
      <alignment horizontal="left"/>
    </xf>
    <xf numFmtId="164" fontId="27" fillId="19" borderId="0" xfId="0" applyNumberFormat="1" applyFont="1" applyFill="1" applyBorder="1" applyAlignment="1" applyProtection="1">
      <alignment horizontal="left"/>
    </xf>
    <xf numFmtId="164" fontId="26" fillId="18" borderId="0" xfId="0" applyNumberFormat="1" applyFont="1" applyFill="1" applyBorder="1" applyAlignment="1" applyProtection="1">
      <alignment horizontal="left"/>
    </xf>
    <xf numFmtId="164" fontId="27" fillId="14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/>
    </xf>
    <xf numFmtId="0" fontId="23" fillId="0" borderId="0" xfId="0" applyFont="1" applyFill="1" applyBorder="1" applyAlignment="1" applyProtection="1">
      <alignment horizontal="left" vertical="top"/>
    </xf>
    <xf numFmtId="0" fontId="23" fillId="0" borderId="0" xfId="0" applyFont="1" applyFill="1" applyBorder="1" applyAlignment="1" applyProtection="1">
      <alignment horizontal="left" vertical="center"/>
    </xf>
    <xf numFmtId="0" fontId="1" fillId="0" borderId="0" xfId="0" applyFont="1" applyFill="1" applyBorder="1" applyAlignment="1" applyProtection="1">
      <alignment horizontal="left" vertical="top"/>
    </xf>
    <xf numFmtId="0" fontId="23" fillId="0" borderId="0" xfId="0" applyFont="1" applyFill="1" applyBorder="1" applyAlignment="1" applyProtection="1">
      <alignment horizontal="center" vertical="center"/>
    </xf>
    <xf numFmtId="0" fontId="1" fillId="0" borderId="0" xfId="0" applyFont="1" applyFill="1" applyBorder="1" applyAlignment="1" applyProtection="1">
      <alignment horizontal="center" vertical="center"/>
    </xf>
    <xf numFmtId="0" fontId="1" fillId="0" borderId="0" xfId="0" applyFont="1" applyFill="1" applyBorder="1" applyAlignment="1" applyProtection="1">
      <alignment horizontal="left" vertical="center"/>
    </xf>
    <xf numFmtId="0" fontId="10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/>
    </xf>
    <xf numFmtId="49" fontId="22" fillId="0" borderId="0" xfId="0" applyNumberFormat="1" applyFont="1" applyFill="1" applyBorder="1" applyAlignment="1" applyProtection="1">
      <alignment horizontal="center"/>
    </xf>
    <xf numFmtId="49" fontId="22" fillId="0" borderId="0" xfId="0" applyNumberFormat="1" applyFont="1" applyFill="1" applyBorder="1" applyAlignment="1" applyProtection="1">
      <alignment horizontal="left"/>
    </xf>
    <xf numFmtId="0" fontId="1" fillId="0" borderId="0" xfId="0" applyFont="1" applyFill="1" applyBorder="1" applyAlignment="1" applyProtection="1">
      <alignment horizontal="center"/>
    </xf>
    <xf numFmtId="164" fontId="23" fillId="0" borderId="0" xfId="0" applyNumberFormat="1" applyFont="1" applyFill="1" applyBorder="1" applyAlignment="1" applyProtection="1">
      <alignment horizontal="left"/>
    </xf>
    <xf numFmtId="0" fontId="10" fillId="0" borderId="0" xfId="0" applyFont="1" applyFill="1" applyBorder="1" applyAlignment="1" applyProtection="1">
      <alignment horizontal="center"/>
    </xf>
    <xf numFmtId="49" fontId="10" fillId="0" borderId="0" xfId="0" applyNumberFormat="1" applyFont="1" applyFill="1" applyBorder="1" applyAlignment="1" applyProtection="1">
      <alignment horizontal="center"/>
    </xf>
    <xf numFmtId="49" fontId="10" fillId="0" borderId="0" xfId="0" applyNumberFormat="1" applyFont="1" applyFill="1" applyBorder="1" applyAlignment="1" applyProtection="1">
      <alignment horizontal="left"/>
    </xf>
    <xf numFmtId="164" fontId="1" fillId="14" borderId="0" xfId="0" applyNumberFormat="1" applyFont="1" applyFill="1" applyBorder="1" applyAlignment="1" applyProtection="1">
      <alignment horizontal="left"/>
    </xf>
    <xf numFmtId="0" fontId="19" fillId="0" borderId="0" xfId="0" applyFont="1" applyFill="1" applyBorder="1" applyAlignment="1" applyProtection="1">
      <alignment horizontal="left"/>
    </xf>
    <xf numFmtId="0" fontId="23" fillId="0" borderId="0" xfId="0" applyFont="1" applyFill="1" applyBorder="1" applyAlignment="1" applyProtection="1">
      <alignment horizontal="center"/>
    </xf>
    <xf numFmtId="0" fontId="41" fillId="0" borderId="0" xfId="0" applyFont="1" applyFill="1" applyBorder="1" applyAlignment="1" applyProtection="1">
      <alignment horizontal="left" vertical="top"/>
    </xf>
    <xf numFmtId="0" fontId="41" fillId="0" borderId="0" xfId="0" applyFont="1" applyFill="1" applyBorder="1" applyAlignment="1" applyProtection="1">
      <alignment horizontal="left" vertical="center"/>
    </xf>
    <xf numFmtId="0" fontId="41" fillId="0" borderId="0" xfId="0" applyFont="1" applyFill="1" applyBorder="1" applyAlignment="1" applyProtection="1">
      <alignment horizontal="center" vertical="center"/>
    </xf>
    <xf numFmtId="0" fontId="19" fillId="0" borderId="0" xfId="0" applyFont="1" applyFill="1" applyBorder="1" applyAlignment="1" applyProtection="1">
      <alignment horizontal="center"/>
    </xf>
    <xf numFmtId="49" fontId="19" fillId="0" borderId="0" xfId="0" applyNumberFormat="1" applyFont="1" applyFill="1" applyBorder="1" applyAlignment="1" applyProtection="1">
      <alignment horizontal="center"/>
    </xf>
    <xf numFmtId="49" fontId="19" fillId="0" borderId="0" xfId="0" applyNumberFormat="1" applyFont="1" applyFill="1" applyBorder="1" applyAlignment="1" applyProtection="1">
      <alignment horizontal="left"/>
    </xf>
    <xf numFmtId="0" fontId="41" fillId="0" borderId="0" xfId="0" applyFont="1" applyFill="1" applyBorder="1" applyAlignment="1" applyProtection="1">
      <alignment horizontal="center"/>
    </xf>
    <xf numFmtId="164" fontId="41" fillId="0" borderId="0" xfId="0" applyNumberFormat="1" applyFont="1" applyFill="1" applyBorder="1" applyAlignment="1" applyProtection="1">
      <alignment horizontal="left"/>
    </xf>
    <xf numFmtId="164" fontId="41" fillId="14" borderId="0" xfId="0" applyNumberFormat="1" applyFont="1" applyFill="1" applyBorder="1" applyAlignment="1" applyProtection="1">
      <alignment horizontal="left"/>
    </xf>
    <xf numFmtId="164" fontId="23" fillId="14" borderId="0" xfId="0" applyNumberFormat="1" applyFont="1" applyFill="1" applyBorder="1" applyAlignment="1" applyProtection="1">
      <alignment horizontal="left"/>
    </xf>
    <xf numFmtId="0" fontId="10" fillId="7" borderId="0" xfId="0" applyFont="1" applyFill="1" applyBorder="1" applyAlignment="1" applyProtection="1">
      <alignment horizontal="left"/>
    </xf>
    <xf numFmtId="0" fontId="10" fillId="7" borderId="0" xfId="0" applyFont="1" applyFill="1" applyBorder="1" applyAlignment="1" applyProtection="1">
      <alignment horizontal="center"/>
    </xf>
    <xf numFmtId="0" fontId="36" fillId="0" borderId="0" xfId="0" applyFont="1" applyFill="1" applyBorder="1" applyAlignment="1" applyProtection="1">
      <alignment horizontal="left"/>
    </xf>
    <xf numFmtId="0" fontId="37" fillId="0" borderId="0" xfId="0" applyFont="1" applyFill="1" applyBorder="1" applyAlignment="1" applyProtection="1">
      <alignment horizontal="left" vertical="top"/>
    </xf>
    <xf numFmtId="0" fontId="37" fillId="0" borderId="0" xfId="0" applyFont="1" applyFill="1" applyBorder="1" applyAlignment="1" applyProtection="1">
      <alignment horizontal="left" vertical="center"/>
    </xf>
    <xf numFmtId="0" fontId="37" fillId="0" borderId="0" xfId="0" applyFont="1" applyFill="1" applyBorder="1" applyAlignment="1" applyProtection="1">
      <alignment horizontal="center" vertical="center"/>
    </xf>
    <xf numFmtId="0" fontId="36" fillId="0" borderId="0" xfId="0" applyFont="1" applyFill="1" applyBorder="1" applyAlignment="1" applyProtection="1">
      <alignment horizontal="center"/>
    </xf>
    <xf numFmtId="49" fontId="36" fillId="0" borderId="0" xfId="0" applyNumberFormat="1" applyFont="1" applyFill="1" applyBorder="1" applyAlignment="1" applyProtection="1">
      <alignment horizontal="center"/>
    </xf>
    <xf numFmtId="49" fontId="36" fillId="0" borderId="0" xfId="0" applyNumberFormat="1" applyFont="1" applyFill="1" applyBorder="1" applyAlignment="1" applyProtection="1">
      <alignment horizontal="left"/>
    </xf>
    <xf numFmtId="0" fontId="37" fillId="0" borderId="0" xfId="0" applyFont="1" applyFill="1" applyBorder="1" applyAlignment="1" applyProtection="1">
      <alignment horizontal="center"/>
    </xf>
    <xf numFmtId="164" fontId="37" fillId="0" borderId="0" xfId="0" applyNumberFormat="1" applyFont="1" applyFill="1" applyBorder="1" applyAlignment="1" applyProtection="1">
      <alignment horizontal="left"/>
    </xf>
    <xf numFmtId="0" fontId="47" fillId="0" borderId="0" xfId="0" applyFont="1" applyFill="1" applyBorder="1" applyAlignment="1" applyProtection="1">
      <alignment horizontal="left"/>
    </xf>
    <xf numFmtId="0" fontId="48" fillId="0" borderId="0" xfId="0" applyFont="1" applyFill="1" applyBorder="1" applyAlignment="1" applyProtection="1">
      <alignment horizontal="left" vertical="top"/>
    </xf>
    <xf numFmtId="0" fontId="48" fillId="0" borderId="0" xfId="0" applyFont="1" applyFill="1" applyBorder="1" applyAlignment="1" applyProtection="1">
      <alignment horizontal="left" vertical="center"/>
    </xf>
    <xf numFmtId="0" fontId="48" fillId="0" borderId="0" xfId="0" applyFont="1" applyFill="1" applyBorder="1" applyAlignment="1" applyProtection="1">
      <alignment horizontal="center" vertical="center"/>
    </xf>
    <xf numFmtId="0" fontId="47" fillId="0" borderId="0" xfId="0" applyFont="1" applyFill="1" applyBorder="1" applyAlignment="1" applyProtection="1">
      <alignment horizontal="center"/>
    </xf>
    <xf numFmtId="49" fontId="47" fillId="0" borderId="0" xfId="0" applyNumberFormat="1" applyFont="1" applyFill="1" applyBorder="1" applyAlignment="1" applyProtection="1">
      <alignment horizontal="center"/>
    </xf>
    <xf numFmtId="49" fontId="47" fillId="0" borderId="0" xfId="0" applyNumberFormat="1" applyFont="1" applyFill="1" applyBorder="1" applyAlignment="1" applyProtection="1">
      <alignment horizontal="left"/>
    </xf>
    <xf numFmtId="0" fontId="48" fillId="0" borderId="0" xfId="0" applyFont="1" applyFill="1" applyBorder="1" applyAlignment="1" applyProtection="1">
      <alignment horizontal="center"/>
    </xf>
    <xf numFmtId="164" fontId="48" fillId="0" borderId="0" xfId="0" applyNumberFormat="1" applyFont="1" applyFill="1" applyBorder="1" applyAlignment="1" applyProtection="1">
      <alignment horizontal="left"/>
    </xf>
    <xf numFmtId="164" fontId="1" fillId="17" borderId="0" xfId="0" applyNumberFormat="1" applyFont="1" applyFill="1" applyBorder="1" applyAlignment="1" applyProtection="1">
      <alignment horizontal="left"/>
    </xf>
    <xf numFmtId="164" fontId="1" fillId="0" borderId="5" xfId="0" applyNumberFormat="1" applyFont="1" applyFill="1" applyBorder="1" applyAlignment="1" applyProtection="1">
      <alignment horizontal="left"/>
    </xf>
    <xf numFmtId="0" fontId="10" fillId="6" borderId="0" xfId="0" applyFont="1" applyFill="1" applyBorder="1" applyAlignment="1" applyProtection="1">
      <alignment horizontal="left"/>
    </xf>
    <xf numFmtId="0" fontId="1" fillId="6" borderId="0" xfId="0" applyFont="1" applyFill="1" applyBorder="1" applyAlignment="1" applyProtection="1">
      <alignment horizontal="left" vertical="top"/>
    </xf>
    <xf numFmtId="0" fontId="1" fillId="6" borderId="0" xfId="0" applyFont="1" applyFill="1" applyBorder="1" applyAlignment="1" applyProtection="1">
      <alignment horizontal="left" vertical="center"/>
    </xf>
    <xf numFmtId="0" fontId="1" fillId="6" borderId="0" xfId="0" applyFont="1" applyFill="1" applyBorder="1" applyAlignment="1" applyProtection="1">
      <alignment horizontal="center" vertical="center"/>
    </xf>
    <xf numFmtId="0" fontId="10" fillId="6" borderId="0" xfId="0" applyFont="1" applyFill="1" applyBorder="1" applyAlignment="1" applyProtection="1">
      <alignment horizontal="center"/>
    </xf>
    <xf numFmtId="49" fontId="10" fillId="6" borderId="0" xfId="0" applyNumberFormat="1" applyFont="1" applyFill="1" applyBorder="1" applyAlignment="1" applyProtection="1">
      <alignment horizontal="center"/>
    </xf>
    <xf numFmtId="49" fontId="10" fillId="6" borderId="0" xfId="0" applyNumberFormat="1" applyFont="1" applyFill="1" applyBorder="1" applyAlignment="1" applyProtection="1">
      <alignment horizontal="left"/>
    </xf>
    <xf numFmtId="0" fontId="1" fillId="6" borderId="0" xfId="0" applyFont="1" applyFill="1" applyBorder="1" applyAlignment="1" applyProtection="1">
      <alignment horizontal="center"/>
    </xf>
    <xf numFmtId="164" fontId="1" fillId="6" borderId="0" xfId="0" applyNumberFormat="1" applyFont="1" applyFill="1" applyBorder="1" applyAlignment="1" applyProtection="1">
      <alignment horizontal="left"/>
    </xf>
    <xf numFmtId="164" fontId="1" fillId="0" borderId="0" xfId="0" applyNumberFormat="1" applyFont="1" applyBorder="1" applyAlignment="1" applyProtection="1">
      <alignment horizontal="left"/>
      <protection locked="0"/>
    </xf>
    <xf numFmtId="164" fontId="1" fillId="8" borderId="0" xfId="0" applyNumberFormat="1" applyFont="1" applyFill="1" applyBorder="1" applyAlignment="1" applyProtection="1">
      <alignment horizontal="left"/>
      <protection locked="0"/>
    </xf>
    <xf numFmtId="164" fontId="23" fillId="0" borderId="0" xfId="0" applyNumberFormat="1" applyFont="1" applyFill="1" applyBorder="1" applyAlignment="1" applyProtection="1">
      <alignment horizontal="left"/>
      <protection locked="0"/>
    </xf>
    <xf numFmtId="164" fontId="1" fillId="0" borderId="0" xfId="0" applyNumberFormat="1" applyFont="1" applyFill="1" applyBorder="1" applyAlignment="1" applyProtection="1">
      <alignment horizontal="left"/>
      <protection locked="0"/>
    </xf>
    <xf numFmtId="164" fontId="41" fillId="0" borderId="0" xfId="0" applyNumberFormat="1" applyFont="1" applyFill="1" applyBorder="1" applyAlignment="1" applyProtection="1">
      <alignment horizontal="left"/>
      <protection locked="0"/>
    </xf>
    <xf numFmtId="164" fontId="37" fillId="0" borderId="0" xfId="0" applyNumberFormat="1" applyFont="1" applyFill="1" applyBorder="1" applyAlignment="1" applyProtection="1">
      <alignment horizontal="left"/>
      <protection locked="0"/>
    </xf>
    <xf numFmtId="164" fontId="48" fillId="0" borderId="0" xfId="0" applyNumberFormat="1" applyFont="1" applyFill="1" applyBorder="1" applyAlignment="1" applyProtection="1">
      <alignment horizontal="left"/>
      <protection locked="0"/>
    </xf>
    <xf numFmtId="164" fontId="1" fillId="17" borderId="0" xfId="0" applyNumberFormat="1" applyFont="1" applyFill="1" applyBorder="1" applyAlignment="1" applyProtection="1">
      <alignment horizontal="left"/>
      <protection locked="0"/>
    </xf>
    <xf numFmtId="164" fontId="1" fillId="0" borderId="5" xfId="0" applyNumberFormat="1" applyFont="1" applyFill="1" applyBorder="1" applyAlignment="1" applyProtection="1">
      <alignment horizontal="left"/>
      <protection locked="0"/>
    </xf>
    <xf numFmtId="0" fontId="37" fillId="0" borderId="0" xfId="0" applyFont="1" applyFill="1" applyBorder="1" applyAlignment="1" applyProtection="1">
      <alignment horizontal="left"/>
      <protection locked="0"/>
    </xf>
    <xf numFmtId="0" fontId="48" fillId="0" borderId="0" xfId="0" applyFont="1" applyFill="1" applyBorder="1" applyAlignment="1" applyProtection="1">
      <alignment horizontal="left"/>
      <protection locked="0"/>
    </xf>
    <xf numFmtId="0" fontId="52" fillId="3" borderId="0" xfId="0" applyFont="1" applyFill="1" applyAlignment="1">
      <alignment horizontal="left" textRotation="90" wrapText="1"/>
    </xf>
    <xf numFmtId="0" fontId="53" fillId="0" borderId="0" xfId="0" applyFont="1"/>
    <xf numFmtId="0" fontId="0" fillId="0" borderId="0" xfId="0" applyFill="1" applyAlignment="1"/>
    <xf numFmtId="2" fontId="0" fillId="0" borderId="0" xfId="0" applyNumberFormat="1" applyFill="1"/>
    <xf numFmtId="0" fontId="0" fillId="0" borderId="0" xfId="0" applyFill="1"/>
    <xf numFmtId="2" fontId="46" fillId="0" borderId="36" xfId="0" applyNumberFormat="1" applyFont="1" applyFill="1" applyBorder="1" applyAlignment="1" applyProtection="1">
      <alignment vertical="center"/>
    </xf>
    <xf numFmtId="2" fontId="46" fillId="0" borderId="36" xfId="0" applyNumberFormat="1" applyFont="1" applyFill="1" applyBorder="1" applyAlignment="1" applyProtection="1">
      <alignment horizontal="center" vertical="center"/>
    </xf>
    <xf numFmtId="0" fontId="46" fillId="0" borderId="36" xfId="0" applyFont="1" applyFill="1" applyBorder="1" applyAlignment="1" applyProtection="1">
      <alignment horizontal="center" vertical="center"/>
    </xf>
    <xf numFmtId="0" fontId="46" fillId="0" borderId="36" xfId="0" applyFont="1" applyFill="1" applyBorder="1" applyAlignment="1" applyProtection="1">
      <alignment vertical="center"/>
    </xf>
    <xf numFmtId="2" fontId="54" fillId="22" borderId="36" xfId="0" applyNumberFormat="1" applyFont="1" applyFill="1" applyBorder="1" applyAlignment="1">
      <alignment vertical="top" wrapText="1"/>
    </xf>
    <xf numFmtId="2" fontId="54" fillId="22" borderId="36" xfId="0" applyNumberFormat="1" applyFont="1" applyFill="1" applyBorder="1" applyAlignment="1">
      <alignment horizontal="center" vertical="top" wrapText="1"/>
    </xf>
    <xf numFmtId="0" fontId="54" fillId="22" borderId="36" xfId="0" applyFont="1" applyFill="1" applyBorder="1" applyAlignment="1">
      <alignment horizontal="center" vertical="top" wrapText="1"/>
    </xf>
    <xf numFmtId="0" fontId="54" fillId="22" borderId="36" xfId="0" applyFont="1" applyFill="1" applyBorder="1" applyAlignment="1">
      <alignment vertical="top" wrapText="1"/>
    </xf>
    <xf numFmtId="0" fontId="46" fillId="0" borderId="0" xfId="0" applyFont="1" applyFill="1" applyBorder="1" applyAlignment="1">
      <alignment vertical="top"/>
    </xf>
    <xf numFmtId="2" fontId="46" fillId="0" borderId="0" xfId="0" applyNumberFormat="1" applyFont="1" applyFill="1" applyBorder="1" applyAlignment="1">
      <alignment horizontal="center" vertical="top"/>
    </xf>
    <xf numFmtId="0" fontId="46" fillId="0" borderId="0" xfId="0" applyFont="1" applyFill="1" applyBorder="1" applyAlignment="1">
      <alignment horizontal="center" vertical="top"/>
    </xf>
    <xf numFmtId="0" fontId="32" fillId="0" borderId="0" xfId="0" applyFont="1" applyBorder="1"/>
    <xf numFmtId="0" fontId="55" fillId="0" borderId="0" xfId="0" applyFont="1" applyFill="1" applyBorder="1" applyAlignment="1">
      <alignment horizontal="left"/>
    </xf>
    <xf numFmtId="0" fontId="56" fillId="0" borderId="0" xfId="0" applyFont="1"/>
    <xf numFmtId="0" fontId="57" fillId="0" borderId="0" xfId="0" applyFont="1"/>
    <xf numFmtId="0" fontId="0" fillId="0" borderId="0" xfId="0" applyBorder="1"/>
    <xf numFmtId="0" fontId="0" fillId="0" borderId="0" xfId="0" applyFont="1" applyFill="1" applyBorder="1" applyAlignment="1">
      <alignment vertical="center" wrapText="1"/>
    </xf>
    <xf numFmtId="0" fontId="0" fillId="0" borderId="0" xfId="0" applyFont="1" applyFill="1" applyBorder="1" applyAlignment="1" applyProtection="1">
      <alignment vertical="center" wrapText="1"/>
      <protection locked="0"/>
    </xf>
    <xf numFmtId="0" fontId="0" fillId="0" borderId="0" xfId="0" applyFont="1" applyBorder="1" applyAlignment="1">
      <alignment wrapText="1"/>
    </xf>
    <xf numFmtId="0" fontId="0" fillId="0" borderId="0" xfId="0" applyFont="1" applyBorder="1" applyAlignment="1">
      <alignment vertical="center" wrapText="1"/>
    </xf>
    <xf numFmtId="0" fontId="0" fillId="0" borderId="0" xfId="0" applyFont="1" applyFill="1" applyBorder="1" applyAlignment="1">
      <alignment wrapText="1"/>
    </xf>
    <xf numFmtId="0" fontId="10" fillId="0" borderId="0" xfId="0" applyFont="1" applyFill="1" applyAlignment="1">
      <alignment horizontal="left"/>
    </xf>
    <xf numFmtId="0" fontId="1" fillId="0" borderId="0" xfId="0" applyFont="1" applyFill="1" applyAlignment="1" applyProtection="1">
      <alignment horizontal="left" vertical="top"/>
      <protection locked="0"/>
    </xf>
    <xf numFmtId="0" fontId="1" fillId="0" borderId="0" xfId="0" applyFont="1" applyFill="1" applyAlignment="1" applyProtection="1">
      <alignment horizontal="left" vertical="center"/>
      <protection locked="0"/>
    </xf>
    <xf numFmtId="0" fontId="1" fillId="0" borderId="0" xfId="0" applyNumberFormat="1" applyFont="1" applyFill="1" applyAlignment="1" applyProtection="1">
      <alignment horizontal="left" vertical="top"/>
      <protection locked="0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/>
    </xf>
    <xf numFmtId="0" fontId="1" fillId="0" borderId="0" xfId="0" applyFont="1" applyFill="1" applyAlignment="1" applyProtection="1">
      <alignment horizontal="left"/>
      <protection locked="0"/>
    </xf>
    <xf numFmtId="0" fontId="10" fillId="0" borderId="0" xfId="0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Fill="1" applyAlignment="1" applyProtection="1">
      <alignment horizontal="left"/>
    </xf>
    <xf numFmtId="0" fontId="20" fillId="0" borderId="0" xfId="0" applyFont="1" applyFill="1" applyAlignment="1" applyProtection="1">
      <alignment horizontal="left"/>
    </xf>
    <xf numFmtId="0" fontId="17" fillId="0" borderId="0" xfId="0" applyFont="1" applyFill="1" applyAlignment="1" applyProtection="1">
      <alignment horizontal="left"/>
    </xf>
    <xf numFmtId="0" fontId="15" fillId="0" borderId="0" xfId="0" applyFont="1" applyFill="1" applyAlignment="1" applyProtection="1">
      <alignment horizontal="left"/>
    </xf>
    <xf numFmtId="0" fontId="15" fillId="16" borderId="0" xfId="0" applyFont="1" applyFill="1" applyAlignment="1" applyProtection="1">
      <alignment horizontal="left"/>
    </xf>
    <xf numFmtId="0" fontId="0" fillId="0" borderId="0" xfId="0" quotePrefix="1" applyBorder="1"/>
    <xf numFmtId="0" fontId="57" fillId="23" borderId="0" xfId="0" applyFont="1" applyFill="1" applyBorder="1"/>
    <xf numFmtId="0" fontId="0" fillId="23" borderId="0" xfId="0" applyFill="1" applyAlignment="1">
      <alignment horizontal="center" textRotation="90"/>
    </xf>
    <xf numFmtId="0" fontId="0" fillId="23" borderId="0" xfId="0" applyFill="1" applyAlignment="1">
      <alignment horizontal="center" textRotation="90" wrapText="1"/>
    </xf>
    <xf numFmtId="0" fontId="0" fillId="0" borderId="1" xfId="0" applyFont="1" applyBorder="1" applyAlignment="1">
      <alignment horizontal="center"/>
    </xf>
    <xf numFmtId="0" fontId="0" fillId="21" borderId="1" xfId="0" applyNumberFormat="1" applyFont="1" applyFill="1" applyBorder="1" applyAlignment="1">
      <alignment horizontal="left" indent="1"/>
    </xf>
    <xf numFmtId="3" fontId="45" fillId="23" borderId="0" xfId="0" applyNumberFormat="1" applyFont="1" applyFill="1" applyAlignment="1">
      <alignment horizontal="center" textRotation="90"/>
    </xf>
    <xf numFmtId="0" fontId="59" fillId="23" borderId="5" xfId="0" applyFont="1" applyFill="1" applyBorder="1"/>
    <xf numFmtId="3" fontId="59" fillId="23" borderId="5" xfId="0" applyNumberFormat="1" applyFont="1" applyFill="1" applyBorder="1"/>
    <xf numFmtId="3" fontId="30" fillId="23" borderId="5" xfId="0" applyNumberFormat="1" applyFont="1" applyFill="1" applyBorder="1"/>
    <xf numFmtId="0" fontId="30" fillId="23" borderId="5" xfId="0" applyFont="1" applyFill="1" applyBorder="1"/>
    <xf numFmtId="3" fontId="0" fillId="0" borderId="5" xfId="0" applyNumberFormat="1" applyFont="1" applyBorder="1" applyAlignment="1">
      <alignment horizontal="center" textRotation="90"/>
    </xf>
    <xf numFmtId="0" fontId="57" fillId="0" borderId="5" xfId="0" applyFont="1" applyBorder="1"/>
    <xf numFmtId="0" fontId="57" fillId="0" borderId="5" xfId="0" applyFont="1" applyBorder="1" applyAlignment="1">
      <alignment textRotation="90"/>
    </xf>
    <xf numFmtId="0" fontId="0" fillId="0" borderId="5" xfId="0" applyBorder="1" applyAlignment="1">
      <alignment horizontal="center" textRotation="90"/>
    </xf>
    <xf numFmtId="0" fontId="0" fillId="0" borderId="5" xfId="0" applyBorder="1" applyAlignment="1">
      <alignment horizontal="center" textRotation="90" wrapText="1"/>
    </xf>
    <xf numFmtId="3" fontId="60" fillId="24" borderId="5" xfId="1" applyNumberFormat="1" applyFont="1" applyBorder="1"/>
    <xf numFmtId="167" fontId="59" fillId="23" borderId="5" xfId="0" applyNumberFormat="1" applyFont="1" applyFill="1" applyBorder="1"/>
    <xf numFmtId="0" fontId="10" fillId="6" borderId="0" xfId="0" applyFont="1" applyFill="1" applyBorder="1" applyAlignment="1" applyProtection="1">
      <alignment horizontal="left"/>
      <protection locked="0"/>
    </xf>
    <xf numFmtId="0" fontId="10" fillId="0" borderId="0" xfId="0" applyFont="1" applyFill="1" applyAlignment="1" applyProtection="1">
      <alignment horizontal="left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0" borderId="0" xfId="0" applyFont="1" applyProtection="1">
      <protection locked="0"/>
    </xf>
    <xf numFmtId="0" fontId="3" fillId="5" borderId="0" xfId="0" applyFont="1" applyFill="1" applyAlignment="1" applyProtection="1">
      <alignment horizontal="left" indent="1"/>
      <protection locked="0"/>
    </xf>
    <xf numFmtId="0" fontId="2" fillId="5" borderId="0" xfId="0" applyFont="1" applyFill="1" applyBorder="1" applyAlignment="1" applyProtection="1">
      <alignment horizontal="left" vertical="top" indent="1"/>
      <protection locked="0"/>
    </xf>
    <xf numFmtId="0" fontId="2" fillId="5" borderId="0" xfId="0" applyFont="1" applyFill="1" applyBorder="1" applyAlignment="1" applyProtection="1">
      <alignment horizontal="left" vertical="top" wrapText="1" indent="1"/>
      <protection locked="0"/>
    </xf>
    <xf numFmtId="0" fontId="17" fillId="2" borderId="0" xfId="0" applyFont="1" applyFill="1" applyBorder="1" applyAlignment="1">
      <alignment horizontal="left"/>
    </xf>
    <xf numFmtId="0" fontId="17" fillId="11" borderId="0" xfId="0" applyFont="1" applyFill="1" applyBorder="1" applyAlignment="1">
      <alignment horizontal="left"/>
    </xf>
    <xf numFmtId="0" fontId="17" fillId="12" borderId="0" xfId="0" applyFont="1" applyFill="1" applyBorder="1" applyAlignment="1" applyProtection="1">
      <alignment horizontal="left"/>
    </xf>
    <xf numFmtId="0" fontId="0" fillId="0" borderId="3" xfId="0" applyFont="1" applyBorder="1" applyAlignment="1">
      <alignment horizontal="center" textRotation="90"/>
    </xf>
    <xf numFmtId="0" fontId="34" fillId="0" borderId="4" xfId="0" applyFont="1" applyBorder="1" applyAlignment="1">
      <alignment horizontal="center" textRotation="90"/>
    </xf>
    <xf numFmtId="0" fontId="34" fillId="0" borderId="26" xfId="0" applyFont="1" applyBorder="1" applyAlignment="1">
      <alignment horizontal="center" textRotation="90"/>
    </xf>
    <xf numFmtId="0" fontId="0" fillId="0" borderId="17" xfId="0" applyFont="1" applyBorder="1" applyAlignment="1">
      <alignment horizontal="center" textRotation="90"/>
    </xf>
    <xf numFmtId="0" fontId="34" fillId="0" borderId="2" xfId="0" applyFont="1" applyBorder="1" applyAlignment="1">
      <alignment horizontal="center" textRotation="90"/>
    </xf>
    <xf numFmtId="0" fontId="31" fillId="20" borderId="0" xfId="0" applyFont="1" applyFill="1" applyBorder="1" applyAlignment="1">
      <alignment horizontal="left"/>
    </xf>
    <xf numFmtId="0" fontId="32" fillId="0" borderId="0" xfId="0" applyFont="1" applyFill="1" applyBorder="1" applyAlignment="1">
      <alignment horizontal="left"/>
    </xf>
    <xf numFmtId="0" fontId="31" fillId="0" borderId="0" xfId="0" applyFont="1" applyFill="1" applyBorder="1" applyAlignment="1">
      <alignment horizontal="left"/>
    </xf>
    <xf numFmtId="0" fontId="0" fillId="0" borderId="18" xfId="0" applyFont="1" applyBorder="1" applyAlignment="1">
      <alignment horizontal="left"/>
    </xf>
    <xf numFmtId="0" fontId="46" fillId="0" borderId="0" xfId="0" applyFont="1" applyBorder="1" applyAlignment="1">
      <alignment horizontal="left"/>
    </xf>
    <xf numFmtId="0" fontId="46" fillId="0" borderId="19" xfId="0" applyFont="1" applyBorder="1" applyAlignment="1">
      <alignment horizontal="left"/>
    </xf>
    <xf numFmtId="0" fontId="0" fillId="0" borderId="16" xfId="0" applyFont="1" applyBorder="1" applyAlignment="1">
      <alignment horizontal="left"/>
    </xf>
    <xf numFmtId="0" fontId="46" fillId="0" borderId="10" xfId="0" applyFont="1" applyBorder="1" applyAlignment="1">
      <alignment horizontal="left"/>
    </xf>
    <xf numFmtId="0" fontId="46" fillId="0" borderId="15" xfId="0" applyFont="1" applyBorder="1" applyAlignment="1">
      <alignment horizontal="left"/>
    </xf>
    <xf numFmtId="0" fontId="31" fillId="20" borderId="0" xfId="0" applyFont="1" applyFill="1" applyBorder="1" applyAlignment="1">
      <alignment horizontal="center"/>
    </xf>
    <xf numFmtId="0" fontId="33" fillId="20" borderId="6" xfId="0" applyFont="1" applyFill="1" applyBorder="1" applyAlignment="1">
      <alignment horizontal="center"/>
    </xf>
    <xf numFmtId="0" fontId="0" fillId="6" borderId="7" xfId="0" applyFont="1" applyFill="1" applyBorder="1" applyAlignment="1">
      <alignment horizontal="left"/>
    </xf>
    <xf numFmtId="0" fontId="46" fillId="6" borderId="8" xfId="0" applyFont="1" applyFill="1" applyBorder="1" applyAlignment="1">
      <alignment horizontal="left"/>
    </xf>
    <xf numFmtId="0" fontId="46" fillId="6" borderId="9" xfId="0" applyFont="1" applyFill="1" applyBorder="1" applyAlignment="1">
      <alignment horizontal="left"/>
    </xf>
    <xf numFmtId="0" fontId="0" fillId="0" borderId="11" xfId="0" applyFont="1" applyBorder="1" applyAlignment="1">
      <alignment horizontal="left"/>
    </xf>
    <xf numFmtId="0" fontId="46" fillId="0" borderId="12" xfId="0" applyFont="1" applyBorder="1" applyAlignment="1">
      <alignment horizontal="left"/>
    </xf>
  </cellXfs>
  <cellStyles count="2">
    <cellStyle name="Neutral" xfId="1" builtinId="28"/>
    <cellStyle name="Normal" xfId="0" builtinId="0"/>
  </cellStyles>
  <dxfs count="14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77111117893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77111117893"/>
        <name val="Calibri"/>
        <scheme val="minor"/>
      </font>
      <numFmt numFmtId="3" formatCode="#,##0"/>
      <fill>
        <patternFill patternType="solid">
          <fgColor indexed="64"/>
          <bgColor rgb="FF00B0F0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77111117893"/>
        <name val="Calibri"/>
        <scheme val="minor"/>
      </font>
      <numFmt numFmtId="3" formatCode="#,##0"/>
      <fill>
        <patternFill patternType="none">
          <fgColor indexed="64"/>
          <bgColor rgb="FF00B0F0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249977111117893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249977111117893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249977111117893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249977111117893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249977111117893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164" formatCode="&quot;CHF&quot;\ #,##0.00"/>
      <fill>
        <patternFill patternType="none">
          <fgColor indexed="64"/>
          <bgColor rgb="FFFFC000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164" formatCode="&quot;CHF&quot;\ #,##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164" formatCode="&quot;CHF&quot;\ #,##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164" formatCode="&quot;CHF&quot;\ #,##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164" formatCode="&quot;CHF&quot;\ #,##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164" formatCode="&quot;CHF&quot;\ #,##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164" formatCode="&quot;CHF&quot;\ #,##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164" formatCode="&quot;CHF&quot;\ #,##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164" formatCode="&quot;CHF&quot;\ #,##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164" formatCode="&quot;CHF&quot;\ #,##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164" formatCode="&quot;CHF&quot;\ #,##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164" formatCode="&quot;CHF&quot;\ #,##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164" formatCode="&quot;CHF&quot;\ #,##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164" formatCode="&quot;CHF&quot;\ #,##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164" formatCode="&quot;CHF&quot;\ #,##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164" formatCode="&quot;CHF&quot;\ #,##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164" formatCode="&quot;CHF&quot;\ #,##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164" formatCode="&quot;CHF&quot;\ #,##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164" formatCode="&quot;CHF&quot;\ #,##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164" formatCode="&quot;CHF&quot;\ #,##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164" formatCode="&quot;CHF&quot;\ #,##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164" formatCode="&quot;CHF&quot;\ #,##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164" formatCode="&quot;CHF&quot;\ #,##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164" formatCode="&quot;CHF&quot;\ #,##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164" formatCode="&quot;CHF&quot;\ #,##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164" formatCode="&quot;CHF&quot;\ #,##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164" formatCode="&quot;CHF&quot;\ #,##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164" formatCode="&quot;CHF&quot;\ #,##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164" formatCode="&quot;CHF&quot;\ #,##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  <strike val="0"/>
        <color auto="1"/>
      </font>
    </dxf>
    <dxf>
      <font>
        <color rgb="FF9C6500"/>
      </font>
      <fill>
        <patternFill>
          <bgColor rgb="FFFFEB9C"/>
        </patternFill>
      </fill>
    </dxf>
    <dxf>
      <font>
        <strike val="0"/>
        <color theme="1" tint="0.499984740745262"/>
      </font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top style="thin">
          <color indexed="64"/>
        </top>
        <bottom style="double">
          <color indexed="64"/>
        </bottom>
      </border>
    </dxf>
    <dxf>
      <border>
        <top style="thin">
          <color indexed="64"/>
        </top>
        <bottom style="double">
          <color indexed="64"/>
        </bottom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left style="thin">
          <color indexed="64"/>
        </left>
      </border>
    </dxf>
    <dxf>
      <border>
        <bottom style="double">
          <color indexed="64"/>
        </bottom>
      </border>
    </dxf>
    <dxf>
      <border>
        <bottom style="double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border>
        <top style="thin">
          <color indexed="64"/>
        </top>
        <bottom style="double">
          <color indexed="64"/>
        </bottom>
      </border>
    </dxf>
    <dxf>
      <border>
        <top style="thin">
          <color indexed="64"/>
        </top>
        <bottom style="double">
          <color indexed="64"/>
        </bottom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left style="thin">
          <color indexed="64"/>
        </left>
      </border>
    </dxf>
    <dxf>
      <border>
        <bottom style="double">
          <color indexed="64"/>
        </bottom>
      </border>
    </dxf>
    <dxf>
      <border>
        <bottom style="double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top style="thin">
          <color indexed="64"/>
        </top>
        <bottom style="double">
          <color indexed="64"/>
        </bottom>
      </border>
    </dxf>
    <dxf>
      <border>
        <top style="thin">
          <color indexed="64"/>
        </top>
        <bottom style="double">
          <color indexed="64"/>
        </bottom>
      </border>
    </dxf>
    <dxf>
      <border>
        <left style="thin">
          <color indexed="64"/>
        </left>
      </border>
    </dxf>
    <dxf>
      <border>
        <right style="thin">
          <color indexed="64"/>
        </righ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top style="thin">
          <color indexed="64"/>
        </top>
        <bottom style="double">
          <color indexed="64"/>
        </bottom>
      </border>
    </dxf>
    <dxf>
      <border>
        <top style="thin">
          <color indexed="64"/>
        </top>
        <bottom style="double">
          <color indexed="64"/>
        </bottom>
      </border>
    </dxf>
    <dxf>
      <border>
        <right style="thin">
          <color indexed="64"/>
        </righ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top style="thin">
          <color indexed="64"/>
        </top>
        <bottom style="double">
          <color indexed="64"/>
        </bottom>
      </border>
    </dxf>
    <dxf>
      <border>
        <top style="thin">
          <color indexed="64"/>
        </top>
        <bottom style="double">
          <color indexed="64"/>
        </bottom>
      </border>
    </dxf>
    <dxf>
      <border>
        <right style="thin">
          <color indexed="64"/>
        </right>
      </border>
    </dxf>
    <dxf>
      <border>
        <left style="thin">
          <color indexed="64"/>
        </left>
      </border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scheme val="minor"/>
      </font>
      <fill>
        <patternFill patternType="solid">
          <fgColor indexed="64"/>
          <bgColor theme="6" tint="0.59999389629810485"/>
        </patternFill>
      </fill>
      <alignment horizontal="left" vertical="bottom" textRotation="90" wrapText="1" indent="0" justifyLastLine="0" shrinkToFit="0" readingOrder="0"/>
    </dxf>
    <dxf>
      <font>
        <strike val="0"/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/>
      </font>
      <fill>
        <patternFill>
          <bgColor theme="0"/>
        </patternFill>
      </fill>
    </dxf>
    <dxf>
      <font>
        <strike val="0"/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/>
      </font>
      <fill>
        <patternFill>
          <bgColor theme="0"/>
        </patternFill>
      </fill>
    </dxf>
    <dxf>
      <font>
        <strike val="0"/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/>
      </font>
      <fill>
        <patternFill>
          <bgColor theme="0"/>
        </patternFill>
      </fill>
    </dxf>
    <dxf>
      <font>
        <strike val="0"/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/>
      </font>
      <fill>
        <patternFill>
          <bgColor theme="0"/>
        </patternFill>
      </fill>
    </dxf>
    <dxf>
      <font>
        <strike val="0"/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/>
      </font>
      <fill>
        <patternFill>
          <bgColor theme="0"/>
        </patternFill>
      </fill>
    </dxf>
    <dxf>
      <font>
        <strike val="0"/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/>
      </font>
      <fill>
        <patternFill>
          <bgColor theme="0"/>
        </patternFill>
      </fill>
    </dxf>
    <dxf>
      <font>
        <strike val="0"/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/>
      </font>
      <fill>
        <patternFill>
          <bgColor theme="0"/>
        </patternFill>
      </fill>
    </dxf>
    <dxf>
      <font>
        <strike val="0"/>
        <color rgb="FFD7191C"/>
      </font>
      <fill>
        <patternFill>
          <bgColor rgb="FFD7191C"/>
        </patternFill>
      </fill>
    </dxf>
    <dxf>
      <font>
        <color rgb="FFFFFFBF"/>
      </font>
      <fill>
        <patternFill>
          <bgColor rgb="FFFFFFBF"/>
        </patternFill>
      </fill>
    </dxf>
    <dxf>
      <font>
        <color rgb="FF1A9641"/>
      </font>
      <fill>
        <patternFill>
          <bgColor rgb="FF1A9641"/>
        </patternFill>
      </fill>
    </dxf>
    <dxf>
      <font>
        <color theme="0"/>
      </font>
      <fill>
        <patternFill>
          <bgColor theme="0"/>
        </patternFill>
      </fill>
    </dxf>
    <dxf>
      <font>
        <color rgb="FFD7191C"/>
      </font>
      <fill>
        <patternFill>
          <bgColor rgb="FFD7191C"/>
        </patternFill>
      </fill>
    </dxf>
    <dxf>
      <font>
        <color rgb="FFFFFFBF"/>
      </font>
      <fill>
        <patternFill>
          <bgColor rgb="FFFFFFBF"/>
        </patternFill>
      </fill>
    </dxf>
    <dxf>
      <font>
        <color rgb="FF1A9641"/>
      </font>
      <fill>
        <patternFill>
          <bgColor rgb="FF1A9641"/>
        </patternFill>
      </fill>
    </dxf>
    <dxf>
      <font>
        <strike val="0"/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/>
      </font>
      <fill>
        <patternFill>
          <bgColor theme="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Calibri"/>
        <scheme val="minor"/>
      </font>
      <numFmt numFmtId="14" formatCode="0.00%"/>
      <alignment horizontal="left" vertical="bottom" textRotation="90" wrapText="1" indent="0" justifyLastLine="0" shrinkToFit="0" readingOrder="0"/>
      <protection locked="0" hidden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65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65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65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65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65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65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65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65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65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D7191C"/>
      <color rgb="FFFFFFBF"/>
      <color rgb="FF1A9641"/>
      <color rgb="FFFF191C"/>
      <color rgb="FF00B050"/>
      <color rgb="FFFFFFFF"/>
      <color rgb="FFFF66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26" Type="http://schemas.openxmlformats.org/officeDocument/2006/relationships/customXml" Target="../customXml/item9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34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5" Type="http://schemas.openxmlformats.org/officeDocument/2006/relationships/customXml" Target="../customXml/item8.xml"/><Relationship Id="rId33" Type="http://schemas.openxmlformats.org/officeDocument/2006/relationships/customXml" Target="../customXml/item16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0" Type="http://schemas.openxmlformats.org/officeDocument/2006/relationships/customXml" Target="../customXml/item3.xml"/><Relationship Id="rId29" Type="http://schemas.openxmlformats.org/officeDocument/2006/relationships/customXml" Target="../customXml/item1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24" Type="http://schemas.openxmlformats.org/officeDocument/2006/relationships/customXml" Target="../customXml/item7.xml"/><Relationship Id="rId32" Type="http://schemas.openxmlformats.org/officeDocument/2006/relationships/customXml" Target="../customXml/item15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6.xml"/><Relationship Id="rId28" Type="http://schemas.openxmlformats.org/officeDocument/2006/relationships/customXml" Target="../customXml/item11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2.xml"/><Relationship Id="rId31" Type="http://schemas.openxmlformats.org/officeDocument/2006/relationships/customXml" Target="../customXml/item1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5.xml"/><Relationship Id="rId27" Type="http://schemas.openxmlformats.org/officeDocument/2006/relationships/customXml" Target="../customXml/item10.xml"/><Relationship Id="rId30" Type="http://schemas.openxmlformats.org/officeDocument/2006/relationships/customXml" Target="../customXml/item13.xml"/><Relationship Id="rId35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[PPM-Cockpit_20180130.xlsm]Auswertungen!PivotTable1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Totaler Aufwand und Anzahl Projekte </a:t>
            </a:r>
          </a:p>
          <a:p>
            <a:pPr>
              <a:defRPr/>
            </a:pPr>
            <a:r>
              <a:rPr lang="en-US" baseline="0"/>
              <a:t>pro Projekttyp 2018</a:t>
            </a:r>
          </a:p>
          <a:p>
            <a:pPr>
              <a:defRPr/>
            </a:pPr>
            <a:endParaRPr lang="en-US" baseline="0"/>
          </a:p>
        </c:rich>
      </c:tx>
      <c:layout>
        <c:manualLayout>
          <c:xMode val="edge"/>
          <c:yMode val="edge"/>
          <c:x val="0.33745328878475545"/>
          <c:y val="0.116030024141302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Auswertungen!$AK$67</c:f>
              <c:strCache>
                <c:ptCount val="1"/>
                <c:pt idx="0">
                  <c:v>Totaler Aufwand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Auswertungen!$AJ$68:$AJ$75</c:f>
              <c:strCache>
                <c:ptCount val="7"/>
                <c:pt idx="0">
                  <c:v>Begleitprojekt</c:v>
                </c:pt>
                <c:pt idx="1">
                  <c:v>Infrastruktur Werterhalt</c:v>
                </c:pt>
                <c:pt idx="2">
                  <c:v>Infrastruktur Wertvermehrung</c:v>
                </c:pt>
                <c:pt idx="3">
                  <c:v>offen</c:v>
                </c:pt>
                <c:pt idx="4">
                  <c:v>Politisches Projekt</c:v>
                </c:pt>
                <c:pt idx="5">
                  <c:v>Strategisches Projekt</c:v>
                </c:pt>
                <c:pt idx="6">
                  <c:v>(blank)</c:v>
                </c:pt>
              </c:strCache>
            </c:strRef>
          </c:cat>
          <c:val>
            <c:numRef>
              <c:f>Auswertungen!$AK$68:$AK$75</c:f>
              <c:numCache>
                <c:formatCode>General</c:formatCode>
                <c:ptCount val="7"/>
                <c:pt idx="0">
                  <c:v>4373</c:v>
                </c:pt>
                <c:pt idx="1">
                  <c:v>2116</c:v>
                </c:pt>
                <c:pt idx="2">
                  <c:v>136</c:v>
                </c:pt>
                <c:pt idx="3">
                  <c:v>1180</c:v>
                </c:pt>
                <c:pt idx="4">
                  <c:v>60</c:v>
                </c:pt>
                <c:pt idx="5">
                  <c:v>4102</c:v>
                </c:pt>
                <c:pt idx="6">
                  <c:v>840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FCE-49B7-84A2-411F1DF97010}"/>
            </c:ext>
          </c:extLst>
        </c:ser>
        <c:ser>
          <c:idx val="1"/>
          <c:order val="1"/>
          <c:tx>
            <c:strRef>
              <c:f>Auswertungen!$AL$67</c:f>
              <c:strCache>
                <c:ptCount val="1"/>
                <c:pt idx="0">
                  <c:v>Anzahl Projekte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Auswertungen!$AJ$68:$AJ$75</c:f>
              <c:strCache>
                <c:ptCount val="7"/>
                <c:pt idx="0">
                  <c:v>Begleitprojekt</c:v>
                </c:pt>
                <c:pt idx="1">
                  <c:v>Infrastruktur Werterhalt</c:v>
                </c:pt>
                <c:pt idx="2">
                  <c:v>Infrastruktur Wertvermehrung</c:v>
                </c:pt>
                <c:pt idx="3">
                  <c:v>offen</c:v>
                </c:pt>
                <c:pt idx="4">
                  <c:v>Politisches Projekt</c:v>
                </c:pt>
                <c:pt idx="5">
                  <c:v>Strategisches Projekt</c:v>
                </c:pt>
                <c:pt idx="6">
                  <c:v>(blank)</c:v>
                </c:pt>
              </c:strCache>
            </c:strRef>
          </c:cat>
          <c:val>
            <c:numRef>
              <c:f>Auswertungen!$AL$68:$AL$75</c:f>
              <c:numCache>
                <c:formatCode>General</c:formatCode>
                <c:ptCount val="7"/>
                <c:pt idx="0">
                  <c:v>68</c:v>
                </c:pt>
                <c:pt idx="1">
                  <c:v>34</c:v>
                </c:pt>
                <c:pt idx="2">
                  <c:v>5</c:v>
                </c:pt>
                <c:pt idx="3">
                  <c:v>9</c:v>
                </c:pt>
                <c:pt idx="4">
                  <c:v>3</c:v>
                </c:pt>
                <c:pt idx="5">
                  <c:v>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FCE-49B7-84A2-411F1DF970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19294712"/>
        <c:axId val="619289464"/>
      </c:barChart>
      <c:catAx>
        <c:axId val="619294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9289464"/>
        <c:crosses val="autoZero"/>
        <c:auto val="1"/>
        <c:lblAlgn val="ctr"/>
        <c:lblOffset val="100"/>
        <c:noMultiLvlLbl val="0"/>
      </c:catAx>
      <c:valAx>
        <c:axId val="619289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9294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2</xdr:row>
          <xdr:rowOff>28575</xdr:rowOff>
        </xdr:from>
        <xdr:to>
          <xdr:col>5</xdr:col>
          <xdr:colOff>190500</xdr:colOff>
          <xdr:row>2</xdr:row>
          <xdr:rowOff>238125</xdr:rowOff>
        </xdr:to>
        <xdr:sp macro="" textlink="">
          <xdr:nvSpPr>
            <xdr:cNvPr id="3105" name="Button 33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Ändern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2066925</xdr:colOff>
          <xdr:row>35</xdr:row>
          <xdr:rowOff>114300</xdr:rowOff>
        </xdr:from>
        <xdr:to>
          <xdr:col>0</xdr:col>
          <xdr:colOff>2838450</xdr:colOff>
          <xdr:row>37</xdr:row>
          <xdr:rowOff>142875</xdr:rowOff>
        </xdr:to>
        <xdr:sp macro="" textlink="">
          <xdr:nvSpPr>
            <xdr:cNvPr id="3107" name="Button 35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Prognose ändern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1933575</xdr:colOff>
          <xdr:row>0</xdr:row>
          <xdr:rowOff>85725</xdr:rowOff>
        </xdr:from>
        <xdr:to>
          <xdr:col>0</xdr:col>
          <xdr:colOff>3019425</xdr:colOff>
          <xdr:row>2</xdr:row>
          <xdr:rowOff>180975</xdr:rowOff>
        </xdr:to>
        <xdr:sp macro="" textlink="">
          <xdr:nvSpPr>
            <xdr:cNvPr id="3110" name="Button 38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Aktualisieren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2543175</xdr:colOff>
          <xdr:row>7</xdr:row>
          <xdr:rowOff>0</xdr:rowOff>
        </xdr:from>
        <xdr:to>
          <xdr:col>2</xdr:col>
          <xdr:colOff>3448050</xdr:colOff>
          <xdr:row>8</xdr:row>
          <xdr:rowOff>9525</xdr:rowOff>
        </xdr:to>
        <xdr:sp macro="" textlink="">
          <xdr:nvSpPr>
            <xdr:cNvPr id="3145" name="Button 73" hidden="1">
              <a:extLst>
                <a:ext uri="{63B3BB69-23CF-44E3-9099-C40C66FF867C}">
                  <a14:compatExt spid="_x0000_s3145"/>
                </a:ext>
                <a:ext uri="{FF2B5EF4-FFF2-40B4-BE49-F238E27FC236}">
                  <a16:creationId xmlns:a16="http://schemas.microsoft.com/office/drawing/2014/main" id="{00000000-0008-0000-0100-00004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Ändern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2162175</xdr:colOff>
          <xdr:row>50</xdr:row>
          <xdr:rowOff>19050</xdr:rowOff>
        </xdr:from>
        <xdr:to>
          <xdr:col>0</xdr:col>
          <xdr:colOff>2971800</xdr:colOff>
          <xdr:row>51</xdr:row>
          <xdr:rowOff>114300</xdr:rowOff>
        </xdr:to>
        <xdr:sp macro="" textlink="">
          <xdr:nvSpPr>
            <xdr:cNvPr id="3148" name="Button 76" hidden="1">
              <a:extLst>
                <a:ext uri="{63B3BB69-23CF-44E3-9099-C40C66FF867C}">
                  <a14:compatExt spid="_x0000_s3148"/>
                </a:ext>
                <a:ext uri="{FF2B5EF4-FFF2-40B4-BE49-F238E27FC236}">
                  <a16:creationId xmlns:a16="http://schemas.microsoft.com/office/drawing/2014/main" id="{00000000-0008-0000-0100-00004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Ändern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48</xdr:row>
          <xdr:rowOff>9525</xdr:rowOff>
        </xdr:from>
        <xdr:to>
          <xdr:col>7</xdr:col>
          <xdr:colOff>28575</xdr:colOff>
          <xdr:row>50</xdr:row>
          <xdr:rowOff>133350</xdr:rowOff>
        </xdr:to>
        <xdr:sp macro="" textlink="">
          <xdr:nvSpPr>
            <xdr:cNvPr id="3149" name="Button 77" hidden="1">
              <a:extLst>
                <a:ext uri="{63B3BB69-23CF-44E3-9099-C40C66FF867C}">
                  <a14:compatExt spid="_x0000_s3149"/>
                </a:ext>
                <a:ext uri="{FF2B5EF4-FFF2-40B4-BE49-F238E27FC236}">
                  <a16:creationId xmlns:a16="http://schemas.microsoft.com/office/drawing/2014/main" id="{00000000-0008-0000-0100-00004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Status Ändern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48</xdr:row>
          <xdr:rowOff>19050</xdr:rowOff>
        </xdr:from>
        <xdr:to>
          <xdr:col>12</xdr:col>
          <xdr:colOff>0</xdr:colOff>
          <xdr:row>50</xdr:row>
          <xdr:rowOff>104775</xdr:rowOff>
        </xdr:to>
        <xdr:sp macro="" textlink="">
          <xdr:nvSpPr>
            <xdr:cNvPr id="3151" name="Button 79" hidden="1">
              <a:extLst>
                <a:ext uri="{63B3BB69-23CF-44E3-9099-C40C66FF867C}">
                  <a14:compatExt spid="_x0000_s3151"/>
                </a:ext>
                <a:ext uri="{FF2B5EF4-FFF2-40B4-BE49-F238E27FC236}">
                  <a16:creationId xmlns:a16="http://schemas.microsoft.com/office/drawing/2014/main" id="{00000000-0008-0000-0100-00004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Tendenz Ändern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323850</xdr:colOff>
          <xdr:row>33</xdr:row>
          <xdr:rowOff>57150</xdr:rowOff>
        </xdr:from>
        <xdr:to>
          <xdr:col>14</xdr:col>
          <xdr:colOff>285750</xdr:colOff>
          <xdr:row>34</xdr:row>
          <xdr:rowOff>104775</xdr:rowOff>
        </xdr:to>
        <xdr:sp macro="" textlink="">
          <xdr:nvSpPr>
            <xdr:cNvPr id="3156" name="Button 84" hidden="1">
              <a:extLst>
                <a:ext uri="{63B3BB69-23CF-44E3-9099-C40C66FF867C}">
                  <a14:compatExt spid="_x0000_s3156"/>
                </a:ext>
                <a:ext uri="{FF2B5EF4-FFF2-40B4-BE49-F238E27FC236}">
                  <a16:creationId xmlns:a16="http://schemas.microsoft.com/office/drawing/2014/main" id="{00000000-0008-0000-0100-00005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Abhängigkeiten definieren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14703</xdr:colOff>
      <xdr:row>66</xdr:row>
      <xdr:rowOff>68096</xdr:rowOff>
    </xdr:from>
    <xdr:to>
      <xdr:col>33</xdr:col>
      <xdr:colOff>422662</xdr:colOff>
      <xdr:row>83</xdr:row>
      <xdr:rowOff>91818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gov.ch\Users\Users\madja\Desktop\PPM-Cockpit_2018011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ktportfolio"/>
      <sheetName val="Quellendaten"/>
      <sheetName val="Projekt-Cockpit"/>
      <sheetName val="Auswertungen"/>
      <sheetName val="Radar"/>
      <sheetName val="Quelldaten_Radar (Arbeitsmappe)"/>
      <sheetName val="PPM-Cockpit_20180118"/>
    </sheetNames>
    <sheetDataSet>
      <sheetData sheetId="0">
        <row r="9">
          <cell r="A9" t="str">
            <v>Aarstrasse KSP, Wiederherstellung (a)</v>
          </cell>
        </row>
        <row r="10">
          <cell r="A10" t="str">
            <v>Allmend kleine, Familiengartenareal, Sanierung</v>
          </cell>
        </row>
        <row r="11">
          <cell r="A11" t="str">
            <v>Aargauerstalden, Instandsetzung Fussweg (b)</v>
          </cell>
        </row>
        <row r="12">
          <cell r="A12" t="str">
            <v>Aargauerstalden, Instandsetzung Fussweg (c)</v>
          </cell>
        </row>
        <row r="13">
          <cell r="A13" t="str">
            <v>Allmend kleine, Familiengartenareal, Voruntersuchung</v>
          </cell>
        </row>
        <row r="14">
          <cell r="A14" t="str">
            <v>Aarstrasse KSP, Wiederherstellung (b)</v>
          </cell>
        </row>
        <row r="15">
          <cell r="A15" t="str">
            <v>Aarstrasse KSP, Wiederherstellung (c)</v>
          </cell>
        </row>
        <row r="16">
          <cell r="A16" t="str">
            <v>Allmend kleine, Pumptrack (a)</v>
          </cell>
        </row>
        <row r="17">
          <cell r="A17" t="str">
            <v>Allmenden, Sanierung Zirkusplatz</v>
          </cell>
        </row>
        <row r="18">
          <cell r="A18" t="str">
            <v>Allmenden, Umgestaltung Neuordnung der Nutzungen (a)</v>
          </cell>
        </row>
        <row r="19">
          <cell r="A19" t="str">
            <v>Ausführungskredit Massnahmen - WUV 5 (a)</v>
          </cell>
        </row>
        <row r="20">
          <cell r="A20" t="str">
            <v>Ausserholligen ESP (a)</v>
          </cell>
        </row>
        <row r="21">
          <cell r="A21" t="str">
            <v>Bahnhof Bern, Ausbau SBB/RBS (a)</v>
          </cell>
        </row>
        <row r="22">
          <cell r="A22" t="str">
            <v>Ausführungskredit Massnahmen - WUV 5 (b)</v>
          </cell>
        </row>
        <row r="23">
          <cell r="A23" t="str">
            <v>Ausführungskredit Massnahmen - WUV 5 (c)</v>
          </cell>
        </row>
        <row r="24">
          <cell r="A24" t="str">
            <v>Bären-/Waisenhausplatz (a)</v>
          </cell>
        </row>
        <row r="25">
          <cell r="A25" t="str">
            <v>Baugesuche (a)</v>
          </cell>
        </row>
        <row r="26">
          <cell r="A26" t="str">
            <v>Baumwert ökologischer (a)</v>
          </cell>
        </row>
        <row r="27">
          <cell r="A27" t="str">
            <v>Bauordnung, Revision: Baumschutz (a)</v>
          </cell>
        </row>
        <row r="28">
          <cell r="A28" t="str">
            <v>BEMotion Center (a)</v>
          </cell>
        </row>
        <row r="29">
          <cell r="A29" t="str">
            <v>Beratungen Karch</v>
          </cell>
        </row>
        <row r="30">
          <cell r="A30" t="str">
            <v>Bethlehemacker Planung (a)</v>
          </cell>
        </row>
        <row r="31">
          <cell r="A31" t="str">
            <v>Bethlehemacker VS, Ersatzneubau (a)</v>
          </cell>
        </row>
        <row r="32">
          <cell r="A32" t="str">
            <v>Biber, Konfliktmanagement (a)</v>
          </cell>
        </row>
        <row r="33">
          <cell r="A33" t="str">
            <v>Bienzgut, Generationenpark (a)</v>
          </cell>
        </row>
        <row r="34">
          <cell r="A34" t="str">
            <v>Biodiversität / Wiederansiedlungsprojekte (a)</v>
          </cell>
        </row>
        <row r="35">
          <cell r="A35" t="str">
            <v>Bitzius VS, Turnhalle (a)</v>
          </cell>
        </row>
        <row r="36">
          <cell r="A36" t="str">
            <v>Breitenrain "dr nöi Breitsch" (a)</v>
          </cell>
        </row>
        <row r="37">
          <cell r="A37" t="str">
            <v>Breitenrain-Länggasse, FVV (a)</v>
          </cell>
        </row>
        <row r="38">
          <cell r="A38" t="str">
            <v>Bremgarten FRH, Belegungsplanungen (a)</v>
          </cell>
        </row>
        <row r="39">
          <cell r="A39" t="str">
            <v>Bremgarten FRH, Buddhistisches Grabfeld (a)</v>
          </cell>
        </row>
        <row r="40">
          <cell r="A40" t="str">
            <v>Bremgarten FRH, Gemeinschaftsgrab Särge (a)</v>
          </cell>
        </row>
        <row r="41">
          <cell r="A41" t="str">
            <v>Bremgarten FRH, Grabfeld für Frühgeborene (a)</v>
          </cell>
        </row>
        <row r="42">
          <cell r="A42" t="str">
            <v>Bremgarten FRH, Buddhistisches Grabfeld (b)</v>
          </cell>
        </row>
        <row r="43">
          <cell r="A43" t="str">
            <v>Bremgarten FRH, Buddhistisches Grabfeld (c)</v>
          </cell>
        </row>
        <row r="44">
          <cell r="A44" t="str">
            <v>Bremgarten FRH, Pflegeplanung aktualisieren</v>
          </cell>
        </row>
        <row r="45">
          <cell r="A45" t="str">
            <v>Bremgarten FRH, Quartierpark (a)</v>
          </cell>
        </row>
        <row r="46">
          <cell r="A46" t="str">
            <v xml:space="preserve">Bremgarten FRH, Urnenthemengräber, Erweiterung </v>
          </cell>
        </row>
        <row r="47">
          <cell r="A47" t="str">
            <v>Brünnen, Nutzungskonzept Bauten (a)</v>
          </cell>
        </row>
        <row r="48">
          <cell r="A48" t="str">
            <v>Brünnen, Parkanlage (a)</v>
          </cell>
        </row>
        <row r="49">
          <cell r="A49" t="str">
            <v>Bremgarten FRH, Quartierpark (b)</v>
          </cell>
        </row>
        <row r="50">
          <cell r="A50" t="str">
            <v>Bremgarten FRH, Quartierpark (c)</v>
          </cell>
        </row>
        <row r="51">
          <cell r="A51" t="str">
            <v xml:space="preserve">Brünnen, Sanierung Parkanlage </v>
          </cell>
        </row>
        <row r="52">
          <cell r="A52" t="str">
            <v>Brünnen, Schulanlage (a)</v>
          </cell>
        </row>
        <row r="53">
          <cell r="A53" t="str">
            <v>Brünnengut, Barockparterre, Bepflanzung (a)</v>
          </cell>
        </row>
        <row r="54">
          <cell r="A54" t="str">
            <v>Brunnmattstr. - Fischermätteli, Instandsetzung (a)</v>
          </cell>
        </row>
        <row r="55">
          <cell r="A55" t="str">
            <v>Bubenbergrain FG, Instandsetzung (a)</v>
          </cell>
        </row>
        <row r="56">
          <cell r="A56" t="str">
            <v>Bümpliz FRH, Belegungsplanungen (a)</v>
          </cell>
        </row>
        <row r="57">
          <cell r="A57" t="str">
            <v>Bümpliz FRH, Erweiterung Urnenthemengrab</v>
          </cell>
        </row>
        <row r="58">
          <cell r="A58" t="str">
            <v>Bümpliz Neues Schloss Park (a)</v>
          </cell>
        </row>
        <row r="59">
          <cell r="A59" t="str">
            <v>Bümpliz, Sützpunkt WEST NEU</v>
          </cell>
        </row>
        <row r="60">
          <cell r="A60" t="str">
            <v>Bümpliz-Statthalter VS, Gesamterneuerung (a)</v>
          </cell>
        </row>
        <row r="61">
          <cell r="A61" t="str">
            <v>Bundesgasse, Instandsetzung Baumstandorte (a)</v>
          </cell>
        </row>
        <row r="62">
          <cell r="A62" t="str">
            <v>Containerstandplätze Stadt Bern (a)</v>
          </cell>
        </row>
        <row r="63">
          <cell r="A63" t="str">
            <v>Dählhölzli KSP, Gesamterneuerung (a)</v>
          </cell>
        </row>
        <row r="64">
          <cell r="A64" t="str">
            <v>Effinger-/Belpstrasse, BGK (a)</v>
          </cell>
        </row>
        <row r="65">
          <cell r="A65" t="str">
            <v xml:space="preserve">Egelsee, Ökologie (a) * </v>
          </cell>
        </row>
        <row r="66">
          <cell r="A66" t="str">
            <v>Egelsee, Zwischennutzung Entsorgungshof (a)</v>
          </cell>
        </row>
        <row r="67">
          <cell r="A67" t="str">
            <v>Dählhölzli KSP, Gesamterneuerung (b - P.)</v>
          </cell>
        </row>
        <row r="68">
          <cell r="A68" t="str">
            <v>Dählhölzli KSP, Gesamterneuerung (c - P.)</v>
          </cell>
        </row>
        <row r="69">
          <cell r="A69" t="str">
            <v>Eigerplatz Umgestaltung (a)</v>
          </cell>
        </row>
        <row r="70">
          <cell r="A70" t="str">
            <v>Elfenau Parkpflegewerk, Umsetzung (a)</v>
          </cell>
        </row>
        <row r="71">
          <cell r="A71" t="str">
            <v>Elfenau Pavillon VS, Ersatzneubau (a)</v>
          </cell>
        </row>
        <row r="72">
          <cell r="A72" t="str">
            <v>Elfenau Sanierung, Raumprogramm</v>
          </cell>
        </row>
        <row r="73">
          <cell r="A73" t="str">
            <v>Englische Anlagen Parkpflegewerk, Umsetzung (a)</v>
          </cell>
        </row>
        <row r="74">
          <cell r="A74" t="str">
            <v xml:space="preserve">Englische Anlagen, Sanierung </v>
          </cell>
        </row>
        <row r="75">
          <cell r="A75" t="str">
            <v>Externe, Diverse Kleinarbeiten (a)</v>
          </cell>
        </row>
        <row r="76">
          <cell r="A76" t="str">
            <v>Eymatt Familiengärten, Instandsetzung (a)</v>
          </cell>
        </row>
        <row r="77">
          <cell r="A77" t="str">
            <v>Fachaustausch, Organisation</v>
          </cell>
        </row>
        <row r="78">
          <cell r="A78" t="str">
            <v>Fachberatung für Dritte (GRG)</v>
          </cell>
        </row>
        <row r="79">
          <cell r="A79" t="str">
            <v>Fachberatung für Dritte, N+Ö (a)</v>
          </cell>
        </row>
        <row r="80">
          <cell r="A80" t="str">
            <v>Fachberatung für SGB (GRG)</v>
          </cell>
        </row>
        <row r="81">
          <cell r="A81" t="str">
            <v>Fachberatung für SGB, N+Ö (a)</v>
          </cell>
        </row>
        <row r="82">
          <cell r="A82" t="str">
            <v>Fachberatung für Stadt (GRG)</v>
          </cell>
        </row>
        <row r="83">
          <cell r="A83" t="str">
            <v>Fachberatung für Stadt, N+Ö (a)</v>
          </cell>
        </row>
        <row r="84">
          <cell r="A84" t="str">
            <v>Fachkommission Stadtnatur (a)</v>
          </cell>
        </row>
        <row r="85">
          <cell r="A85" t="str">
            <v>Fachverantwortungen GRG, Bewirtschaftung (a)</v>
          </cell>
        </row>
        <row r="86">
          <cell r="A86" t="str">
            <v>Fachverantwortungen N+Ö, Bewirtschaftung (a)</v>
          </cell>
        </row>
        <row r="87">
          <cell r="A87" t="str">
            <v>Falkenplatz KSP - WUV 5 (a)</v>
          </cell>
        </row>
        <row r="88">
          <cell r="A88" t="str">
            <v>Familiengärten, Bauordnung, Überarbeitung</v>
          </cell>
        </row>
        <row r="89">
          <cell r="A89" t="str">
            <v>Familiengärten, Bedarfsaklärung</v>
          </cell>
        </row>
        <row r="90">
          <cell r="A90" t="str">
            <v>Familiengärten, div. Instandsetzungsarbeiten (a)</v>
          </cell>
        </row>
        <row r="91">
          <cell r="A91" t="str">
            <v>Falkenplatz KSP - WUV 5 (b)</v>
          </cell>
        </row>
        <row r="92">
          <cell r="A92" t="str">
            <v>Falkenplatz KSP - WUV 5 (c)</v>
          </cell>
        </row>
        <row r="93">
          <cell r="A93" t="str">
            <v>Felsenaustrasse, Anwohnergärten (a)</v>
          </cell>
        </row>
        <row r="94">
          <cell r="A94" t="str">
            <v>Fledermausberatung</v>
          </cell>
        </row>
        <row r="95">
          <cell r="A95" t="str">
            <v>Freiraumplanung Rahmenkredit</v>
          </cell>
        </row>
        <row r="96">
          <cell r="A96" t="str">
            <v>Familiengärten, div. Instandsetzungsarbeiten (b)</v>
          </cell>
        </row>
        <row r="97">
          <cell r="A97" t="str">
            <v>Familiengärten, div. Instandsetzungsarbeiten (c)</v>
          </cell>
        </row>
        <row r="98">
          <cell r="A98" t="str">
            <v>Friedhöfe übergeordnete Aufgaben (a)</v>
          </cell>
        </row>
        <row r="99">
          <cell r="A99" t="str">
            <v>Friedhöfe, Instandsetzungsplanung (a) (SCHOSSER)</v>
          </cell>
        </row>
        <row r="100">
          <cell r="A100" t="str">
            <v>Friedhofkonzept/Pflegeplanungen (a)</v>
          </cell>
        </row>
        <row r="101">
          <cell r="A101" t="str">
            <v>Fröschmatt, Biodiversität im Wohnumfeld (a)</v>
          </cell>
        </row>
        <row r="102">
          <cell r="A102" t="str">
            <v>Gäbelbach, Hochwasserschutzkonzept (a)</v>
          </cell>
        </row>
        <row r="103">
          <cell r="A103" t="str">
            <v>Gartendenkmalpflege (a)</v>
          </cell>
        </row>
        <row r="104">
          <cell r="A104" t="str">
            <v>Garteninventar (a)</v>
          </cell>
        </row>
        <row r="105">
          <cell r="A105" t="str">
            <v xml:space="preserve">Gaswerkareal, Parkanlage </v>
          </cell>
        </row>
        <row r="106">
          <cell r="A106" t="str">
            <v>Gaswerkareal, Umnutzung (a)</v>
          </cell>
        </row>
        <row r="107">
          <cell r="A107" t="str">
            <v>Gesamtprojekt Bern OST (GBO) (a)</v>
          </cell>
        </row>
        <row r="108">
          <cell r="A108" t="str">
            <v>Geschäftskoordination</v>
          </cell>
        </row>
        <row r="109">
          <cell r="A109" t="str">
            <v>GÖR</v>
          </cell>
        </row>
        <row r="110">
          <cell r="A110" t="str">
            <v>Goumoën Areal, Machbarkeitsstudie (a)</v>
          </cell>
        </row>
        <row r="111">
          <cell r="A111" t="str">
            <v>Grünanlagen/Friedhöfe Nachholbedarf Werterh. (a)</v>
          </cell>
        </row>
        <row r="112">
          <cell r="A112" t="str">
            <v>Grünes Klassenzimmer, Administration (a)</v>
          </cell>
        </row>
        <row r="113">
          <cell r="A113" t="str">
            <v>Grünes Klassenzimmer, Klassen</v>
          </cell>
        </row>
        <row r="114">
          <cell r="A114" t="str">
            <v>Grünes Klassenzimmer, Pflege (a)</v>
          </cell>
        </row>
        <row r="115">
          <cell r="A115" t="str">
            <v>Grünes Klassenzimmer, Werkstätten</v>
          </cell>
        </row>
        <row r="116">
          <cell r="A116" t="str">
            <v>Grünflächenmanagementsystem GFMS</v>
          </cell>
        </row>
        <row r="117">
          <cell r="A117" t="str">
            <v>Handbuch Planen und Bauen, Revision 2016 (a)</v>
          </cell>
        </row>
        <row r="118">
          <cell r="A118" t="str">
            <v>Heilpädagogische Schule Bern - HPS (a)</v>
          </cell>
        </row>
        <row r="119">
          <cell r="A119" t="str">
            <v>Helvetiaplatz, Kunsthalle, Instandsetzung  (a)</v>
          </cell>
        </row>
        <row r="120">
          <cell r="A120" t="str">
            <v>Helvetiaplatz, Umgestaltung (a)</v>
          </cell>
        </row>
        <row r="121">
          <cell r="A121" t="str">
            <v>Hindernisfreier Raum, ÖV-Haltestellen 2023 (a)</v>
          </cell>
        </row>
        <row r="122">
          <cell r="A122" t="str">
            <v>Hindernisfreier Raum, Umsetzung (a)</v>
          </cell>
        </row>
        <row r="123">
          <cell r="A123" t="str">
            <v>Höhe Spielplatz, WUV4 (a)</v>
          </cell>
        </row>
        <row r="124">
          <cell r="A124" t="str">
            <v>Holligen KSP, Gesamterneuerung (a)</v>
          </cell>
        </row>
        <row r="125">
          <cell r="A125" t="str">
            <v>Holligen Nord, Parkanlage</v>
          </cell>
        </row>
        <row r="126">
          <cell r="A126" t="str">
            <v>Holligen Nord, Wettbewerb (a)</v>
          </cell>
        </row>
        <row r="127">
          <cell r="A127" t="str">
            <v>Hopfgut, Nutzungsentwicklung (a)</v>
          </cell>
        </row>
        <row r="128">
          <cell r="A128" t="str">
            <v>Holligen KSP, Gesamterneuerung (b)</v>
          </cell>
        </row>
        <row r="129">
          <cell r="A129" t="str">
            <v>Holligen KSP, Gesamterneuerung (c)</v>
          </cell>
        </row>
        <row r="130">
          <cell r="A130" t="str">
            <v>Humboldtstr. Obere, Anlage und Spielplatz (a)</v>
          </cell>
        </row>
        <row r="131">
          <cell r="A131" t="str">
            <v>Humboldtstr. Untere, Anlage und Spielplatz (a)</v>
          </cell>
        </row>
        <row r="132">
          <cell r="A132" t="str">
            <v>Inselareal, Baufeld 12 (a)</v>
          </cell>
        </row>
        <row r="133">
          <cell r="A133" t="str">
            <v>Johanneskirche, Instandsetzung Spielplatz (a)</v>
          </cell>
        </row>
        <row r="134">
          <cell r="A134" t="str">
            <v>Jourfixe (mit externen + Direktion TVS)</v>
          </cell>
        </row>
        <row r="135">
          <cell r="A135" t="str">
            <v xml:space="preserve">Kartierungen Natur und Ökologie </v>
          </cell>
        </row>
        <row r="136">
          <cell r="A136" t="str">
            <v>KiöR</v>
          </cell>
        </row>
        <row r="137">
          <cell r="A137" t="str">
            <v>Johanneskirche, Instandsetzung Spielplatz (b)</v>
          </cell>
        </row>
        <row r="138">
          <cell r="A138" t="str">
            <v>Johanneskirche, Instandsetzung Spielplatz (c)</v>
          </cell>
        </row>
        <row r="139">
          <cell r="A139" t="str">
            <v>Kleefeld VS, Ersatzneubau (a)</v>
          </cell>
        </row>
        <row r="140">
          <cell r="A140" t="str">
            <v>KöR</v>
          </cell>
        </row>
        <row r="141">
          <cell r="A141" t="str">
            <v>Länggasse Schule KSP, Instandsetzung (a)</v>
          </cell>
        </row>
        <row r="142">
          <cell r="A142" t="str">
            <v>Laupenstrasse 49 + 51 Villa; Instandsetzung (a)</v>
          </cell>
        </row>
        <row r="143">
          <cell r="A143" t="str">
            <v>Looslistrasse 15 KSP - WUV 5 (a)</v>
          </cell>
        </row>
        <row r="144">
          <cell r="A144" t="str">
            <v>Lorraine VS, Gesamterneuerung (a)</v>
          </cell>
        </row>
        <row r="145">
          <cell r="A145" t="str">
            <v>Länggasse Schule KSP, Instandsetzung (b)</v>
          </cell>
        </row>
        <row r="146">
          <cell r="A146" t="str">
            <v>Länggasse Schule KSP, Instandsetzung (c)</v>
          </cell>
        </row>
        <row r="147">
          <cell r="A147" t="str">
            <v>Loryplatz; Fusswegverbindung zum Loryspital (a)</v>
          </cell>
        </row>
        <row r="148">
          <cell r="A148" t="str">
            <v>Laupenstrasse 49 + 51 Villa; Instandsetzung (b-P.)</v>
          </cell>
        </row>
        <row r="149">
          <cell r="A149" t="str">
            <v>Manuelschule KSP, Instandsetzung (a)</v>
          </cell>
        </row>
        <row r="150">
          <cell r="A150" t="str">
            <v>Looslistrasse 15 KSP - WUV 5 (b)</v>
          </cell>
        </row>
        <row r="151">
          <cell r="A151" t="str">
            <v>Looslistrasse 15 KSP - WUV 5 (c)</v>
          </cell>
        </row>
        <row r="152">
          <cell r="A152" t="str">
            <v>Manuelschule, Erweiterungsbau (a)</v>
          </cell>
        </row>
        <row r="153">
          <cell r="A153" t="str">
            <v>Marzili VS, Provisorium KG (a) (Nachnutzung)</v>
          </cell>
        </row>
        <row r="154">
          <cell r="A154" t="str">
            <v>Marzili, Platzgestaltung (a)</v>
          </cell>
        </row>
        <row r="155">
          <cell r="A155" t="str">
            <v>Marzilibad, Entwicklungsplanung (a)</v>
          </cell>
        </row>
        <row r="156">
          <cell r="A156" t="str">
            <v>Marzilischule, Wettbewerb (a)</v>
          </cell>
        </row>
        <row r="157">
          <cell r="A157" t="str">
            <v>MIP, MIP-Mehrjahresplanung und Geschäftsplanung</v>
          </cell>
        </row>
        <row r="158">
          <cell r="A158" t="str">
            <v>Mittelstrasse 43, Platzgestaltung (a)</v>
          </cell>
        </row>
        <row r="159">
          <cell r="A159" t="str">
            <v>Monbijoupark, Instandsetzung (a)</v>
          </cell>
        </row>
        <row r="160">
          <cell r="A160" t="str">
            <v>Monbijoustr. - Seftigenstr, Instandsetzung (a)</v>
          </cell>
        </row>
        <row r="161">
          <cell r="A161" t="str">
            <v>Murtenstrasse (10-66), Umgestaltung (a)</v>
          </cell>
        </row>
        <row r="162">
          <cell r="A162" t="str">
            <v>Mittelstrasse 43, Platzgestaltung (b)</v>
          </cell>
        </row>
        <row r="163">
          <cell r="A163" t="str">
            <v>Mittelstrasse 43, Platzgestaltung (c)</v>
          </cell>
        </row>
        <row r="164">
          <cell r="A164" t="str">
            <v>Mutachstrasse FG, Aufhebung (a)</v>
          </cell>
        </row>
        <row r="165">
          <cell r="A165" t="str">
            <v>Natur- und Umweltkalender (a)</v>
          </cell>
        </row>
        <row r="166">
          <cell r="A166" t="str">
            <v>Naturerlebnispark Bern, Machbarkeitsstudie</v>
          </cell>
        </row>
        <row r="167">
          <cell r="A167" t="str">
            <v>Naturinselspital Instagram (a)</v>
          </cell>
        </row>
        <row r="168">
          <cell r="A168" t="str">
            <v>Naturschutz allgemein (a)</v>
          </cell>
        </row>
        <row r="169">
          <cell r="A169" t="str">
            <v>Naturschutz Städte ERFA</v>
          </cell>
        </row>
        <row r="170">
          <cell r="A170" t="str">
            <v>Neophyten, Arbeitsgruppe</v>
          </cell>
        </row>
        <row r="171">
          <cell r="A171" t="str">
            <v>Neophytenkonzept a</v>
          </cell>
        </row>
        <row r="172">
          <cell r="A172" t="str">
            <v>Neophytenkonzept, Infokampagne</v>
          </cell>
        </row>
        <row r="173">
          <cell r="A173" t="str">
            <v>Neufeld, Schwimmhalle (a)</v>
          </cell>
        </row>
        <row r="174">
          <cell r="A174" t="str">
            <v>Öffentliches Mobiliar, Pilotprojekt (a)</v>
          </cell>
        </row>
        <row r="175">
          <cell r="A175" t="str">
            <v>Öffentlichkeitsarbeit, diverse Kleinarbeiten (a)</v>
          </cell>
        </row>
        <row r="176">
          <cell r="A176" t="str">
            <v>Öffentlichkeitsarbeit,Führungen,Vorträge etc. (a)</v>
          </cell>
        </row>
        <row r="177">
          <cell r="A177" t="str">
            <v>Ökologie in der Landwirtschaft (a)</v>
          </cell>
        </row>
        <row r="178">
          <cell r="A178" t="str">
            <v>Pestalozzi VS, Basisstufe Neubau (a)</v>
          </cell>
        </row>
        <row r="179">
          <cell r="A179" t="str">
            <v>PPM, Visualisierung</v>
          </cell>
        </row>
        <row r="180">
          <cell r="A180" t="str">
            <v>Projektleitung Neophytenbekämpfung (a – P.)</v>
          </cell>
        </row>
        <row r="181">
          <cell r="A181" t="str">
            <v>Projekt-Management PM</v>
          </cell>
        </row>
        <row r="182">
          <cell r="A182" t="str">
            <v>Qindex, VSSG</v>
          </cell>
        </row>
        <row r="183">
          <cell r="A183" t="str">
            <v>RADAR</v>
          </cell>
        </row>
        <row r="184">
          <cell r="A184" t="str">
            <v>Rehagplanung, Freiwilligenarbeit Moosweg</v>
          </cell>
        </row>
        <row r="185">
          <cell r="A185" t="str">
            <v>Rehhagplanung (a)</v>
          </cell>
        </row>
        <row r="186">
          <cell r="A186" t="str">
            <v>Rehhagplanung Bottigenmoos</v>
          </cell>
        </row>
        <row r="187">
          <cell r="A187" t="str">
            <v>Saatkrähenpilotprojekt (a)</v>
          </cell>
        </row>
        <row r="188">
          <cell r="A188" t="str">
            <v>Schanze Kleine KSP, Instandsetzung (a)</v>
          </cell>
        </row>
        <row r="189">
          <cell r="A189" t="str">
            <v>Schanze Kleine, Parkpflegewerk (a)</v>
          </cell>
        </row>
        <row r="190">
          <cell r="A190" t="str">
            <v>Schönberg Ost, Erschliessung und Park (a)</v>
          </cell>
        </row>
        <row r="191">
          <cell r="A191" t="str">
            <v>Schanze Kleine KSP, Instandsetzung (b)</v>
          </cell>
        </row>
        <row r="192">
          <cell r="A192" t="str">
            <v>Schanze Kleine KSP, Instandsetzung (c)</v>
          </cell>
        </row>
        <row r="193">
          <cell r="A193" t="str">
            <v>Schönbergareal Parkpflegewerk, Umsetzung (a)</v>
          </cell>
        </row>
        <row r="194">
          <cell r="A194" t="str">
            <v>Schosshalden FRH, Belegungsplanungen (a)</v>
          </cell>
        </row>
        <row r="195">
          <cell r="A195" t="str">
            <v>Schosshalden FRH, Gemeinschaftsgrab (a)</v>
          </cell>
        </row>
        <row r="196">
          <cell r="A196" t="str">
            <v>Schosshalden FRH, Instands. Urnennischenw. (a)</v>
          </cell>
        </row>
        <row r="197">
          <cell r="A197" t="str">
            <v>Schosshalden FRH, Kindergräber (a)</v>
          </cell>
        </row>
        <row r="198">
          <cell r="A198" t="str">
            <v>Schosshalden FRH, Mensch &amp; Tier</v>
          </cell>
        </row>
        <row r="199">
          <cell r="A199" t="str">
            <v>Schosshalden FRH, Instands. Urnennischenw. (b)</v>
          </cell>
        </row>
        <row r="200">
          <cell r="A200" t="str">
            <v>Schosshalden FRH, Instands. Urnennischenw. (c)</v>
          </cell>
        </row>
        <row r="201">
          <cell r="A201" t="str">
            <v>Schosshalden FRH, Sanierung</v>
          </cell>
        </row>
        <row r="202">
          <cell r="A202" t="str">
            <v>Schosshalden FRH, Umfassungsmauer</v>
          </cell>
        </row>
        <row r="203">
          <cell r="A203" t="str">
            <v>Schosshalden FRH, Unrnenthemengrab</v>
          </cell>
        </row>
        <row r="204">
          <cell r="A204" t="str">
            <v>Schosshalden FRH, Wasser/Abwasser/Beläge (a)</v>
          </cell>
        </row>
        <row r="205">
          <cell r="A205" t="str">
            <v>Schul-,Sport- und Sozialbauten, div.Kleinarb. (a)</v>
          </cell>
        </row>
        <row r="206">
          <cell r="A206" t="str">
            <v>Schütte Parkpflegewerk, Aaretal Umsetzung (a)</v>
          </cell>
        </row>
        <row r="207">
          <cell r="A207" t="str">
            <v>Schützenmatte, Planung (a)</v>
          </cell>
        </row>
        <row r="208">
          <cell r="A208" t="str">
            <v>Schwarztorstrasse BGK (a)</v>
          </cell>
        </row>
        <row r="209">
          <cell r="A209" t="str">
            <v>Segler, diverse Niststandorte (a)</v>
          </cell>
        </row>
        <row r="210">
          <cell r="A210" t="str">
            <v>Sitzbänke hindernisfrei (a)</v>
          </cell>
        </row>
        <row r="211">
          <cell r="A211" t="str">
            <v>Spielplätze, Instandsetzungsplanung (a)</v>
          </cell>
        </row>
        <row r="212">
          <cell r="A212" t="str">
            <v>Spielplätze, Instandsetzungsplanung Tranchen</v>
          </cell>
        </row>
        <row r="213">
          <cell r="A213" t="str">
            <v>Spitalacker VS, Erweiterungsbau (a)</v>
          </cell>
        </row>
        <row r="214">
          <cell r="A214" t="str">
            <v>Spitalackerpark KSP, Instandsetzung (a)</v>
          </cell>
        </row>
        <row r="215">
          <cell r="A215" t="str">
            <v>Stadtflorakartierung a</v>
          </cell>
        </row>
        <row r="216">
          <cell r="A216" t="str">
            <v>Spitalackerpark KSP, Instandsetzung (b)</v>
          </cell>
        </row>
        <row r="217">
          <cell r="A217" t="str">
            <v>Spitalackerpark KSP, Instandsetzung (c)</v>
          </cell>
        </row>
        <row r="218">
          <cell r="A218" t="str">
            <v>Stadtplanungsamt, diverse Kleinarbeiten (a)</v>
          </cell>
        </row>
        <row r="219">
          <cell r="A219" t="str">
            <v>Stadtverwaltung übrige, diverse Kleinarbeiten (a)</v>
          </cell>
        </row>
        <row r="220">
          <cell r="A220" t="str">
            <v xml:space="preserve">Stadtwildtiere, Internetplattform (a) </v>
          </cell>
        </row>
        <row r="221">
          <cell r="A221" t="str">
            <v xml:space="preserve">Stadtwildtiere, Internetplattform (a) </v>
          </cell>
        </row>
        <row r="222">
          <cell r="A222" t="str">
            <v>Stapfenacker VS, Erweiterungsbau (a)</v>
          </cell>
        </row>
        <row r="223">
          <cell r="A223" t="str">
            <v>Steigerhubel VS, Instandsetzung Umgebung (a)</v>
          </cell>
        </row>
        <row r="224">
          <cell r="A224" t="str">
            <v>STEK 15 / Freiraumkonzept (a)</v>
          </cell>
        </row>
        <row r="225">
          <cell r="A225" t="str">
            <v>Tiefbauamt, diverse Kleinarbeiten (a)</v>
          </cell>
        </row>
        <row r="226">
          <cell r="A226" t="str">
            <v>Studerstein FG, WC-Kanalisation (c)</v>
          </cell>
        </row>
        <row r="227">
          <cell r="A227" t="str">
            <v>Tram Ostermundigen (a)</v>
          </cell>
        </row>
        <row r="228">
          <cell r="A228" t="str">
            <v>Tscharnergut KSP, Gesamterneuerung (a)</v>
          </cell>
        </row>
        <row r="229">
          <cell r="A229" t="str">
            <v>Tscharnergut Quartierzentrum (a)</v>
          </cell>
        </row>
        <row r="230">
          <cell r="A230" t="str">
            <v>Veielihubel KSP, Instandsetzung (a)</v>
          </cell>
        </row>
        <row r="231">
          <cell r="A231" t="str">
            <v>Velo-Freizeitanlagen (a)</v>
          </cell>
        </row>
        <row r="232">
          <cell r="A232" t="str">
            <v>Veielihubel KSP, Instandsetzung (b)</v>
          </cell>
        </row>
        <row r="233">
          <cell r="A233" t="str">
            <v>Veielihubel KSP, Instandsetzung (c)</v>
          </cell>
        </row>
        <row r="234">
          <cell r="A234" t="str">
            <v>Velorouten (a)</v>
          </cell>
        </row>
        <row r="235">
          <cell r="A235" t="str">
            <v>Veloverleihsystem VVS (a)</v>
          </cell>
        </row>
        <row r="236">
          <cell r="A236" t="str">
            <v>Verkehrsplanung, diverse Kleinarbeiten (a)</v>
          </cell>
        </row>
        <row r="237">
          <cell r="A237" t="str">
            <v>Verwaltungsarbeit übrige</v>
          </cell>
        </row>
        <row r="238">
          <cell r="A238" t="str">
            <v xml:space="preserve">Viererfeld - Mittelfeld,  Zwischennutzung </v>
          </cell>
        </row>
        <row r="239">
          <cell r="A239" t="str">
            <v xml:space="preserve">Viererfeld - Mittelfeld, Planung (a) (Park) </v>
          </cell>
        </row>
        <row r="240">
          <cell r="A240" t="str">
            <v>Viererfeld, Pumptrack (a)</v>
          </cell>
        </row>
        <row r="241">
          <cell r="A241" t="str">
            <v>Viktoriarain BGK (a)</v>
          </cell>
        </row>
        <row r="242">
          <cell r="A242" t="str">
            <v>Viktoriastrasse, Instands. Anlage und KSP (a)</v>
          </cell>
        </row>
        <row r="243">
          <cell r="A243" t="str">
            <v>VSS, Baumnormalien</v>
          </cell>
        </row>
        <row r="244">
          <cell r="A244" t="str">
            <v>VSSG, Tagung Biodiversität</v>
          </cell>
        </row>
        <row r="245">
          <cell r="A245" t="str">
            <v>Wankdorf ESP (a)</v>
          </cell>
        </row>
        <row r="246">
          <cell r="A246" t="str">
            <v>Wankdorf KRW (a)</v>
          </cell>
        </row>
        <row r="247">
          <cell r="A247" t="str">
            <v>Wankdorffeld Sprachheilschule + KG (a)</v>
          </cell>
        </row>
        <row r="248">
          <cell r="A248" t="str">
            <v>Warmbächliweg Verlängerung Buslinie 11 (a)</v>
          </cell>
        </row>
        <row r="249">
          <cell r="A249" t="str">
            <v>Warmbächliweg, Wettbewerb (a)</v>
          </cell>
        </row>
        <row r="250">
          <cell r="A250" t="str">
            <v>Wasserbecken, Sicherheit (a)</v>
          </cell>
        </row>
        <row r="251">
          <cell r="A251" t="str">
            <v>Wechselflorrabatten a</v>
          </cell>
        </row>
        <row r="252">
          <cell r="A252" t="str">
            <v>Weihergasse Jugendherberge, Umsetzung (a)</v>
          </cell>
        </row>
        <row r="253">
          <cell r="A253" t="str">
            <v>Werterhalt Grünanlagen</v>
          </cell>
        </row>
        <row r="254">
          <cell r="A254" t="str">
            <v>Werterhalt Infrastruktur, Park- und Grünanlagen</v>
          </cell>
        </row>
        <row r="255">
          <cell r="A255" t="str">
            <v>Weyermannsstr. Instands. PP und Trottoir (a)</v>
          </cell>
        </row>
        <row r="256">
          <cell r="A256" t="str">
            <v>Wildwechsel - Betrieb</v>
          </cell>
        </row>
        <row r="257">
          <cell r="A257" t="str">
            <v>Wildwechsel (a)</v>
          </cell>
        </row>
        <row r="258">
          <cell r="A258" t="str">
            <v>Weyermannsstr. Instands. PP und Trottoir (b)</v>
          </cell>
        </row>
        <row r="259">
          <cell r="A259" t="str">
            <v>Weyermannsstr. Instands. PP und Trottoir (c)</v>
          </cell>
        </row>
        <row r="260">
          <cell r="A260" t="str">
            <v>Winterhalde KSP - WUV5 (a)</v>
          </cell>
        </row>
        <row r="261">
          <cell r="A261" t="str">
            <v>Wochen- / Bereichsbesprechung SGB-intern</v>
          </cell>
        </row>
        <row r="262">
          <cell r="A262" t="str">
            <v>Wohlensee Schutzverband (a)</v>
          </cell>
        </row>
        <row r="263">
          <cell r="A263" t="str">
            <v>Winterhalde KSP - WUV5 (b)</v>
          </cell>
        </row>
        <row r="264">
          <cell r="A264" t="str">
            <v>Winterhalde KSP - WUV5 (c)</v>
          </cell>
        </row>
        <row r="265">
          <cell r="A265" t="str">
            <v>Wohnumfeldverbess. 3, Stadtteile I-VI (a)</v>
          </cell>
        </row>
        <row r="266">
          <cell r="A266" t="str">
            <v>WUV (a)</v>
          </cell>
        </row>
        <row r="267">
          <cell r="A267" t="str">
            <v>WUV 6</v>
          </cell>
        </row>
        <row r="268">
          <cell r="A268" t="str">
            <v>WUV 7</v>
          </cell>
        </row>
        <row r="269">
          <cell r="A269" t="str">
            <v>Wyler Alt KSP, Instandsetzung (a)</v>
          </cell>
        </row>
        <row r="270">
          <cell r="A270" t="str">
            <v>Wyssloch Stadtteilpark (a)</v>
          </cell>
        </row>
        <row r="271">
          <cell r="A271" t="str">
            <v>Wyssloch, Schulanlage (a)</v>
          </cell>
        </row>
        <row r="272">
          <cell r="A272" t="str">
            <v>Wyssloch, Zwischennutzungen (a)</v>
          </cell>
        </row>
        <row r="273">
          <cell r="A273" t="str">
            <v>Zentrale Dienste, Broschüren, Fotoaufträge &amp; Signaletik</v>
          </cell>
        </row>
        <row r="278">
          <cell r="A278" t="str">
            <v>Total Aufwendungen Kosten / Personal (inkl. RADAR)</v>
          </cell>
        </row>
        <row r="280">
          <cell r="A280" t="str">
            <v>Bedarf Vollzeistellen</v>
          </cell>
        </row>
        <row r="281">
          <cell r="A281" t="str">
            <v>Staapelbecken</v>
          </cell>
        </row>
      </sheetData>
      <sheetData sheetId="1">
        <row r="3">
          <cell r="C3" t="str">
            <v>offen</v>
          </cell>
          <cell r="F3" t="str">
            <v>offen</v>
          </cell>
          <cell r="H3" t="str">
            <v>offen</v>
          </cell>
          <cell r="Q3" t="str">
            <v>offen</v>
          </cell>
          <cell r="R3" t="str">
            <v>offen</v>
          </cell>
          <cell r="S3" t="str">
            <v>offen</v>
          </cell>
          <cell r="U3" t="str">
            <v>offen</v>
          </cell>
          <cell r="AB3" t="str">
            <v>offen</v>
          </cell>
          <cell r="AC3" t="str">
            <v>offen</v>
          </cell>
          <cell r="AH3" t="str">
            <v>-</v>
          </cell>
          <cell r="AL3" t="str">
            <v>1. Quartal</v>
          </cell>
        </row>
        <row r="4">
          <cell r="C4" t="str">
            <v>Begleitprojekt</v>
          </cell>
          <cell r="F4" t="str">
            <v>a)</v>
          </cell>
          <cell r="G4" t="str">
            <v>Leuchtturmprojekte</v>
          </cell>
          <cell r="H4" t="str">
            <v>Neuartiges oder komplexes Projekt</v>
          </cell>
          <cell r="Q4" t="str">
            <v>x</v>
          </cell>
          <cell r="R4" t="str">
            <v>x</v>
          </cell>
          <cell r="S4" t="str">
            <v>x</v>
          </cell>
          <cell r="U4" t="str">
            <v>x</v>
          </cell>
          <cell r="AB4" t="str">
            <v>x</v>
          </cell>
          <cell r="AC4" t="str">
            <v>x</v>
          </cell>
          <cell r="AH4" t="str">
            <v>=</v>
          </cell>
          <cell r="AL4" t="str">
            <v>2. Quartal</v>
          </cell>
        </row>
        <row r="5">
          <cell r="C5" t="str">
            <v>Strategisches Projekt</v>
          </cell>
          <cell r="F5" t="str">
            <v>b)</v>
          </cell>
          <cell r="G5" t="str">
            <v>1. Priorität Projekt</v>
          </cell>
          <cell r="H5" t="str">
            <v>Herausforderndes oder schwierig organisiertes Projekt</v>
          </cell>
          <cell r="Q5" t="str">
            <v>SGB</v>
          </cell>
          <cell r="R5" t="str">
            <v>Stab</v>
          </cell>
          <cell r="S5" t="str">
            <v>TWu</v>
          </cell>
          <cell r="U5" t="str">
            <v>Ext.</v>
          </cell>
          <cell r="AB5" t="str">
            <v>angemeldet</v>
          </cell>
          <cell r="AC5" t="str">
            <v>bewilligt</v>
          </cell>
          <cell r="AH5" t="str">
            <v>+</v>
          </cell>
          <cell r="AL5" t="str">
            <v>3. Quartal</v>
          </cell>
        </row>
        <row r="6">
          <cell r="C6" t="str">
            <v>Politisches Projekt</v>
          </cell>
          <cell r="G6" t="str">
            <v>2. Priorität Projekt</v>
          </cell>
          <cell r="H6" t="str">
            <v>Bekanntes und gut organisiertes Projekt</v>
          </cell>
          <cell r="Q6" t="str">
            <v xml:space="preserve">HSB </v>
          </cell>
          <cell r="R6" t="str">
            <v>SSM</v>
          </cell>
          <cell r="S6" t="str">
            <v>CRa</v>
          </cell>
          <cell r="U6" t="str">
            <v>AHo</v>
          </cell>
          <cell r="AC6" t="str">
            <v>budgetiert</v>
          </cell>
          <cell r="AE6">
            <v>20</v>
          </cell>
          <cell r="AL6" t="str">
            <v>4. Quartal</v>
          </cell>
        </row>
        <row r="7">
          <cell r="C7" t="str">
            <v>Infrastruktur Wertvermehrung</v>
          </cell>
          <cell r="G7" t="str">
            <v>3. Priorität Projekt</v>
          </cell>
          <cell r="H7" t="str">
            <v>Routineprojekt</v>
          </cell>
          <cell r="Q7" t="str">
            <v>ISB</v>
          </cell>
          <cell r="R7" t="str">
            <v>GG</v>
          </cell>
          <cell r="S7" t="str">
            <v>MSt</v>
          </cell>
          <cell r="U7" t="str">
            <v>AZu (ext.)</v>
          </cell>
          <cell r="AE7">
            <v>40</v>
          </cell>
          <cell r="AL7" t="str">
            <v>Gesamt</v>
          </cell>
        </row>
        <row r="8">
          <cell r="C8" t="str">
            <v>Infrastruktur Werterhalt</v>
          </cell>
          <cell r="Q8" t="str">
            <v>SA</v>
          </cell>
          <cell r="R8" t="str">
            <v>NÖ</v>
          </cell>
          <cell r="S8" t="str">
            <v>STs</v>
          </cell>
          <cell r="U8" t="str">
            <v>CFr</v>
          </cell>
          <cell r="AE8">
            <v>60</v>
          </cell>
        </row>
        <row r="9">
          <cell r="Q9" t="str">
            <v>SCH</v>
          </cell>
          <cell r="S9" t="str">
            <v>SNe</v>
          </cell>
          <cell r="U9" t="str">
            <v>CRa</v>
          </cell>
          <cell r="AE9">
            <v>80</v>
          </cell>
        </row>
        <row r="10">
          <cell r="Q10" t="str">
            <v>SPA</v>
          </cell>
          <cell r="S10" t="str">
            <v>CSc</v>
          </cell>
          <cell r="U10" t="str">
            <v>DHu</v>
          </cell>
          <cell r="AE10">
            <v>100</v>
          </cell>
        </row>
        <row r="11">
          <cell r="Q11" t="str">
            <v>TAB</v>
          </cell>
          <cell r="U11" t="str">
            <v>FBo (ext.)</v>
          </cell>
          <cell r="AE11">
            <v>125</v>
          </cell>
        </row>
        <row r="12">
          <cell r="Q12" t="str">
            <v>VP</v>
          </cell>
          <cell r="U12" t="str">
            <v>IMe</v>
          </cell>
          <cell r="AE12">
            <v>150</v>
          </cell>
        </row>
        <row r="13">
          <cell r="Q13" t="str">
            <v>ASTRA</v>
          </cell>
          <cell r="U13" t="str">
            <v>IWe</v>
          </cell>
          <cell r="AE13">
            <v>175</v>
          </cell>
        </row>
        <row r="14">
          <cell r="Q14" t="str">
            <v>SBB</v>
          </cell>
          <cell r="U14" t="str">
            <v>JEn</v>
          </cell>
          <cell r="AE14">
            <v>200</v>
          </cell>
        </row>
        <row r="15">
          <cell r="Q15" t="str">
            <v>BLS</v>
          </cell>
          <cell r="U15" t="str">
            <v>KMu</v>
          </cell>
          <cell r="AE15">
            <v>225</v>
          </cell>
        </row>
        <row r="16">
          <cell r="Q16" t="str">
            <v>Andere</v>
          </cell>
          <cell r="U16" t="str">
            <v>LEr</v>
          </cell>
          <cell r="AE16">
            <v>250</v>
          </cell>
        </row>
        <row r="17">
          <cell r="U17" t="str">
            <v>MSt</v>
          </cell>
          <cell r="AE17">
            <v>275</v>
          </cell>
        </row>
        <row r="18">
          <cell r="U18" t="str">
            <v>NIn</v>
          </cell>
          <cell r="AE18">
            <v>300</v>
          </cell>
        </row>
        <row r="19">
          <cell r="U19" t="str">
            <v>Rki</v>
          </cell>
          <cell r="AE19">
            <v>400</v>
          </cell>
        </row>
        <row r="20">
          <cell r="U20" t="str">
            <v>SGf</v>
          </cell>
          <cell r="AE20">
            <v>500</v>
          </cell>
        </row>
        <row r="21">
          <cell r="U21" t="str">
            <v>SNe</v>
          </cell>
        </row>
        <row r="22">
          <cell r="U22" t="str">
            <v>STs</v>
          </cell>
        </row>
        <row r="23">
          <cell r="U23" t="str">
            <v>TWu</v>
          </cell>
        </row>
        <row r="24">
          <cell r="U24" t="str">
            <v>Anderes Amt</v>
          </cell>
        </row>
      </sheetData>
      <sheetData sheetId="2"/>
      <sheetData sheetId="3"/>
      <sheetData sheetId="4"/>
      <sheetData sheetId="5"/>
      <sheetData sheetId="6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ürsch Tobias, TVS SGB" refreshedDate="43125.44022488426" createdVersion="6" refreshedVersion="6" minRefreshableVersion="3" recordCount="280" xr:uid="{00000000-000A-0000-FFFF-FFFF01000000}">
  <cacheSource type="worksheet">
    <worksheetSource name="Tabelle4"/>
  </cacheSource>
  <cacheFields count="133">
    <cacheField name="Namen " numFmtId="0">
      <sharedItems containsBlank="1" count="278">
        <s v="_RADAR"/>
        <s v="_Walk"/>
        <s v="Aare, Hochwasserschutz Bern (a)"/>
        <s v="Aargauerstalden, Instandsetzung Fussweg (a)"/>
        <s v="Aarstrasse KSP, Wiederherstellung (a)"/>
        <s v="Aargauerstalden, Instandsetzung Fussweg (b)"/>
        <s v="Aargauerstalden, Instandsetzung Fussweg (c)"/>
        <s v="Allmend kleine, Familiengartenareal, Sanierung"/>
        <s v="Aarstrasse KSP, Wiederherstellung (b)"/>
        <s v="Aarstrasse KSP, Wiederherstellung (c)"/>
        <s v="Allmend kleine, Familiengartenareal, Voruntersuchung"/>
        <s v="Allmend kleine, Pumptrack (a)"/>
        <s v="Allmenden, funktioneller Unterhalt Zirkusplatz, Analysa"/>
        <s v="Allmenden, Sanierung Zirkusplatz"/>
        <s v="Allmenden, Umgestaltung Neuordnung der Nutzungen (a)"/>
        <s v="Ausführungskredit Massnahmen - WUV 5 (a)"/>
        <s v="Ausserholligen ESP (a)"/>
        <s v="Ausführungskredit Massnahmen - WUV 5 (b)"/>
        <s v="Ausführungskredit Massnahmen - WUV 5 (c)"/>
        <s v="Bahnhof Bern, Ausbau SBB/RBS (a)"/>
        <s v="Bären-/Waisenhausplatz (a)"/>
        <s v="Baugesuche (a)"/>
        <s v="Baumgrubensubstrat"/>
        <s v="Baumwert ökologischer (a)"/>
        <s v="Bauordnung, Revision: Baumschutz (a)"/>
        <s v="BEMotion Center (a)"/>
        <s v="Beratungen Karch"/>
        <s v="Bethlehemacker Planung (a)"/>
        <s v="Bethlehemacker VS, Ersatzneubau (a)"/>
        <s v="Biber, Konfliktmanagement (a)"/>
        <s v="Bienzgut, Generationenpark (a)"/>
        <s v="Biodiversität / Wiederansiedlungsprojekte (a)"/>
        <s v="Biodiversität, Überarbeitung Handbuch"/>
        <s v="Bitzius VS, Turnhalle (a)"/>
        <s v="Breitenrain &quot;dr nöi Breitsch&quot; (a)"/>
        <s v="Breitenrain-Länggasse, FVV (a)"/>
        <s v="Bremgarten FRH, Belegungsplanungen (a)"/>
        <s v="Bremgarten FRH, Buddhistisches Grabfeld (a)"/>
        <s v="Bremgarten FRH, Gemeinschaftsgrab Särge (a)"/>
        <s v="Bremgarten FRH, Buddhistisches Grabfeld (b)"/>
        <s v="Bremgarten FRH, Buddhistisches Grabfeld (c)"/>
        <s v="Bremgarten FRH, Grabfeld für Frühgeborene (a)"/>
        <s v="Bremgarten FRH, Pflegeplanung aktualisieren"/>
        <s v="Bremgarten FRH, Quartierpark (a)"/>
        <s v="Bremgarten FRH, Urnenthemengräber, Erweiterung "/>
        <s v="Brünnen, Nutzungskonzept Bauten (a)"/>
        <s v="Bremgarten FRH, Quartierpark (b)"/>
        <s v="Bremgarten FRH, Quartierpark (c)"/>
        <s v="Brünnen, Parkanlage (a)"/>
        <s v="Brünnen, Sanierung Parkanlage "/>
        <s v="Brünnen, Schulanlage (a)"/>
        <s v="Brünnengut, Barockparterre, Bepflanzung (a)"/>
        <s v="Brunnmattstr. - Fischermätteli, Instandsetzung (a)"/>
        <s v="Bubenbergrain FG, Instandsetzung (a)"/>
        <s v="Bümpliz FRH, Belegungsplanungen (a)"/>
        <s v="Bümpliz FRH, Erweiterung Urnenthemengrab"/>
        <s v="Bümpliz Neues Schloss Park (a)"/>
        <s v="Bümpliz, Sützpunkt WEST NEU"/>
        <s v="Bümpliz-Statthalter VS, Gesamterneuerung (a)"/>
        <s v="Bundesgasse, Instandsetzung Baumstandorte (a)"/>
        <s v="Coaching GFP; Jungi "/>
        <s v="Containerstandplätze Stadt Bern (a)"/>
        <s v="Dählhölzli KSP, Gesamterneuerung (a)"/>
        <s v="Effinger-/Belpstrasse, BGK (a)"/>
        <s v="Egelsee, Ökologie (a) * "/>
        <s v="Dählhölzli KSP, Gesamterneuerung (b - P.)"/>
        <s v="Dählhölzli KSP, Gesamterneuerung (c - P.)"/>
        <s v="Egelsee, Zwischennutzung Entsorgungshof (a)"/>
        <s v="Eigerplatz Umgestaltung (a)"/>
        <s v="Elfenau Parkpflegewerk, Umsetzung (a)"/>
        <s v="Elfenau Pavillon VS, Ersatzneubau (a)"/>
        <s v="Elfenau Sanierung, Raumprogramm"/>
        <s v="Englische Anlagen Parkpflegewerk, Umsetzung (a)"/>
        <s v="Englische Anlagen, Sanierung "/>
        <s v="Externe, Diverse Kleinarbeiten (a)"/>
        <s v="Eymatt Familiengärten, Instandsetzung (a)"/>
        <s v="Fachaustausch, Organisation"/>
        <s v="Fachberatung für Dritte (GRG)"/>
        <s v="Fachberatung für Dritte, N+Ö (a)"/>
        <s v="Fachberatung für SGB (GRG)"/>
        <s v="Fachberatung für SGB, N+Ö (a)"/>
        <s v="Fachberatung für Stadt (GRG)"/>
        <s v="Fachberatung für Stadt, N+Ö (a)"/>
        <s v="Fachkommission Stadtnatur (a)"/>
        <s v="Fachverantwortungen GRG, Bewirtschaftung (a)"/>
        <s v="Fachverantwortungen N+Ö, Bewirtschaftung (a)"/>
        <s v="Falkenplatz KSP - WUV 5 (a)"/>
        <s v="Familiengärten, Bauordnung, Überarbeitung"/>
        <s v="Familiengärten, Bedarfsaklärung"/>
        <s v="Falkenplatz KSP - WUV 5 (b)"/>
        <s v="Falkenplatz KSP - WUV 5 (c)"/>
        <s v="Familiengärten, div. Instandsetzungsarbeiten (a)"/>
        <s v="Felsenaustrasse, Anwohnergärten (a)"/>
        <s v="Finanzen; Überbprüfung Instrumente &amp; Planung"/>
        <s v="Fledermausberatung"/>
        <s v="Familiengärten, div. Instandsetzungsarbeiten (b)"/>
        <s v="Familiengärten, div. Instandsetzungsarbeiten (c)"/>
        <s v="Freiraumplanung Rahmenkredit"/>
        <s v="Friedhöfe übergeordnete Aufgaben (a)"/>
        <s v="Friedhöfe, Instandsetzungsplanung (a) (SCHOSSER)"/>
        <s v="Friedhofkonzept/Pflegeplanungen (a)"/>
        <s v="Fröschmatt, Biodiversität im Wohnumfeld (a)"/>
        <s v="Gäbelbach, Hochwasserschutzkonzept (a)"/>
        <s v="Gartendenkmalpflege (a)"/>
        <s v="Garteninventar (a)"/>
        <s v="Gaswerkareal, Parkanlage "/>
        <s v="Gaswerkareal, Umnutzung (a)"/>
        <s v="Gesamtprojekt Bern OST (GBO) (a)"/>
        <s v="Geschäftskoordination"/>
        <s v="GÖR"/>
        <s v="Goumoën Areal, Machbarkeitsstudie (a)"/>
        <s v="Grünanlagen/Friedhöfe Nachholbedarf Werterh. (a)"/>
        <s v="Grünes Klassenzimmer, Administration (a)"/>
        <s v="Grünes Klassenzimmer, Klassen"/>
        <s v="Grünes Klassenzimmer, Pflege (a)"/>
        <s v="Grünes Klassenzimmer, Werkstätten"/>
        <s v="Grünflächenmanagementsystem GFMS"/>
        <s v="Handbuch Planen und Bauen, Revision 2016 (a)"/>
        <s v="Heilpädagogische Schule Bern - HPS (a)"/>
        <s v="Helvetiaplatz, Kunsthalle, Instandsetzung  (a)"/>
        <s v="Helvetiaplatz, Umgestaltung (a)"/>
        <s v="Hindernisfreier Raum, ÖV-Haltestellen 2023 (a)"/>
        <s v="Hindernisfreier Raum, Umsetzung (a)"/>
        <s v="Höhe Spielplatz, WUV4 (a)"/>
        <s v="Holligen KSP, Gesamterneuerung (a)"/>
        <s v="Holligen Nord, Parkanlage"/>
        <s v="Holligen Nord, Wettbewerb (a)"/>
        <s v="Holligen KSP, Gesamterneuerung (b)"/>
        <s v="Holligen KSP, Gesamterneuerung (c)"/>
        <s v="Hopfgut, Nutzungsentwicklung (a)"/>
        <s v="Humboldtstr. Obere, Anlage und Spielplatz (a)"/>
        <s v="Humboldtstr. Untere, Anlage und Spielplatz (a)"/>
        <s v="Inselareal, Baufeld 12 (a)"/>
        <s v="Johanneskirche, Instandsetzung Spielplatz (a)"/>
        <s v="Jourfixe (mit externen + Direktion TVS)"/>
        <s v="Kartierungen Natur und Ökologie "/>
        <s v="Johanneskirche, Instandsetzung Spielplatz (b)"/>
        <s v="Johanneskirche, Instandsetzung Spielplatz (c)"/>
        <s v="KiöR"/>
        <s v="Kleefeld VS, Ersatzneubau (a)"/>
        <s v="KöR"/>
        <s v="Länggasse Schule KSP, Instandsetzung (a)"/>
        <s v="Laupenstrasse 49 + 51 Villa; Instandsetzung (a)"/>
        <s v="Looslistrasse 15 KSP - WUV 5 (a)"/>
        <s v="Länggasse Schule KSP, Instandsetzung (b)"/>
        <s v="Länggasse Schule KSP, Instandsetzung (c)"/>
        <s v="Lorraine VS, Gesamterneuerung (a)"/>
        <s v="Laupenstrasse 49 + 51 Villa; Instandsetzung (b-P.)"/>
        <s v="Loryplatz; Fusswegverbindung zum Loryspital (a)"/>
        <s v="Looslistrasse 15 KSP - WUV 5 (b)"/>
        <s v="Looslistrasse 15 KSP - WUV 5 (c)"/>
        <s v="Manuelschule KSP, Instandsetzung (a)"/>
        <s v="Manuelschule, Erweiterungsbau (a)"/>
        <s v="Marzili VS, Provisorium KG (a) (Nachnutzung)"/>
        <s v="Marzili, Platzgestaltung (a)"/>
        <s v="Marzilibad, Entwicklungsplanung (a)"/>
        <s v="Marzilischule, Wettbewerb (a)"/>
        <s v="MIP, MIP-Mehrjahresplanung und Geschäftsplanung"/>
        <s v="Mittelstrasse 43, Platzgestaltung (a)"/>
        <s v="Monbijoupark, Instandsetzung (a)"/>
        <s v="Monbijoustr. - Seftigenstr, Instandsetzung (a)"/>
        <s v="Münsterplattform, Pilotversuch Öffnung Bericht Reflecta"/>
        <s v="Mittelstrasse 43, Platzgestaltung (b)"/>
        <s v="Mittelstrasse 43, Platzgestaltung (c)"/>
        <s v="Murtenstrasse (10-66), Umgestaltung (a)"/>
        <s v="Mutachstrasse FG, Aufhebung (a)"/>
        <s v="Natur- und Umweltkalender (a)"/>
        <s v="Naturerlebnispark Bern, Machbarkeitsstudie"/>
        <s v="Naturinselspital Instagram (a)"/>
        <s v="Naturschutz allgemein (a)"/>
        <s v="Naturschutz Städte ERFA"/>
        <s v="Neophyten, Arbeitsgruppe"/>
        <s v="Neophytenkonzept a"/>
        <s v="Neophytenkonzept, Infokampagne"/>
        <s v="Neufeld, Schwimmhalle (a)"/>
        <s v="Öffentlicher Raum, Schnittstellen SGB / TVS / GÖR, GEOREGIO "/>
        <s v="Öffentliches Mobiliar, Pilotprojekt (a)"/>
        <s v="Öffentliches Mobiliar, Zusatzauftrag Farbe Stühle "/>
        <s v="Öffentlichkeitsarbeit, diverse Kleinarbeiten (a)"/>
        <s v="Öffentlichkeitsarbeit,Führungen,Vorträge etc. (a)"/>
        <s v="Ökologie in der Landwirtschaft (a)"/>
        <s v="Pestalozzi VS, Basisstufe Neubau (a)"/>
        <s v="PPM, Visualisierung"/>
        <s v="Projektleitung Neophytenbekämpfung (a – P.)"/>
        <s v="Projekt-Management PM"/>
        <s v="Qindex, VSSG"/>
        <s v="Rehagplanung, Freiwilligenarbeit Moosweg"/>
        <s v="Rehhagplanung (a)"/>
        <s v="Rehhagplanung Bottigenmoos"/>
        <s v="Saatkrähenpilotprojekt (a)"/>
        <s v="Schanze Kleine KSP, Instandsetzung (a)"/>
        <s v="Schanze Kleine, Parkpflegewerk (a)"/>
        <s v="Schönberg Ost, Erschliessung und Park (a)"/>
        <s v="Schanze Kleine KSP, Instandsetzung (b)"/>
        <s v="Schanze Kleine KSP, Instandsetzung (c)"/>
        <s v="Schönbergareal Parkpflegewerk, Umsetzung (a)"/>
        <s v="Schosshalden FRH, Belegungsplanungen (a)"/>
        <s v="Schosshalden FRH, Gemeinschaftsgrab (a)"/>
        <s v="Schosshalden FRH, Instands. Urnennischenw. (a)"/>
        <s v="Schosshalden FRH, Kindergräber (a)"/>
        <s v="Schosshalden FRH, Mensch &amp; Tier"/>
        <s v="Schosshalden FRH, Instands. Urnennischenw. (b)"/>
        <s v="Schosshalden FRH, Instands. Urnennischenw. (c)"/>
        <s v="Schosshalden FRH, Sanierung"/>
        <s v="Schosshalden FRH, Umfassungsmauer"/>
        <s v="Schosshalden FRH, Unrnenthemengrab"/>
        <s v="Schosshalden FRH, Wasser/Abwasser/Beläge (a)"/>
        <s v="Schul-,Sport- und Sozialbauten, div.Kleinarb. (a)"/>
        <s v="Schütte Parkpflegewerk, Aaretal Umsetzung (a)"/>
        <s v="Schützenmatte, Planung (a)"/>
        <s v="Schwarztorstrasse BGK (a)"/>
        <s v="Segler, diverse Niststandorte (a)"/>
        <s v="Sitzbänke hindernisfrei (a)"/>
        <s v="Spielplätze, Instandsetzungsplanung (a)"/>
        <s v="Spielplätze, Instandsetzungsplanung Tranchen"/>
        <s v="Spitalacker VS, Erweiterungsbau (a)"/>
        <s v="Spitalackerpark KSP, Instandsetzung (a)"/>
        <s v="Stadtflorakartierung a"/>
        <s v="Spitalackerpark KSP, Instandsetzung (b)"/>
        <s v="Spitalackerpark KSP, Instandsetzung (c)"/>
        <s v="Stadtplanungsamt, diverse Kleinarbeiten (a)"/>
        <s v="Stadtverwaltung übrige, diverse Kleinarbeiten (a)"/>
        <s v="Stadtwildtiere, Internetplattform (a) "/>
        <s v="Stapfenacker VS, Erweiterungsbau (a)"/>
        <s v="Steigerhubel VS, Instandsetzung Umgebung (a)"/>
        <s v="STEK 15 / Freiraumkonzept (a)"/>
        <s v="Tiefbauamt, diverse Kleinarbeiten (a)"/>
        <s v="Studerstein FG, WC-Kanalisation (c)"/>
        <s v="Tram Ostermundigen (a)"/>
        <s v="Tscharnergut KSP, Gesamterneuerung (a)"/>
        <s v="Tscharnergut Quartierzentrum (a)"/>
        <s v="Veielihubel KSP, Instandsetzung (a)"/>
        <s v="Velo-Freizeitanlagen (a)"/>
        <s v="Veielihubel KSP, Instandsetzung (b)"/>
        <s v="Veielihubel KSP, Instandsetzung (c)"/>
        <s v="Velorouten (a)"/>
        <s v="Veloverleihsystem VVS (a)"/>
        <s v="Verkehrsplanung, diverse Kleinarbeiten (a)"/>
        <s v="Verwaltungsarbeit übrige"/>
        <s v="Viererfeld - Mittelfeld,  Zwischennutzung "/>
        <s v="Viererfeld - Mittelfeld, Planung (a) (Park) "/>
        <s v="Viererfeld, Pumptrack (a)"/>
        <s v="Viktoriarain BGK (a)"/>
        <s v="Viktoriastrasse, Instands. Anlage und KSP (a)"/>
        <s v="Vision, Leitbild SGB Human Events"/>
        <s v="Vision, Leitbild SGB, Richner"/>
        <s v="VSS, Baumnormalien"/>
        <s v="VSSG, Tagung Biodiversität"/>
        <s v="Wankdorf ESP (a)"/>
        <s v="Wankdorf KRW (a)"/>
        <s v="Wankdorffeld Sprachheilschule + KG (a)"/>
        <s v="Warmbächliweg Verlängerung Buslinie 11 (a)"/>
        <s v="Warmbächliweg, Wettbewerb (a)"/>
        <s v="Wasserbecken, Sicherheit (a)"/>
        <s v="Wechselflorrabatten a"/>
        <s v="Weihergasse Jugendherberge, Umsetzung (a)"/>
        <s v="Werterhalt Grünanlagen"/>
        <s v="Werterhalt Infrastruktur, Park- und Grünanlagen"/>
        <s v="Weyermannsstr. Instands. PP und Trottoir (a)"/>
        <s v="Wildwechsel - Betrieb"/>
        <s v="Wildwechsel (a)"/>
        <s v="Weyermannsstr. Instands. PP und Trottoir (b)"/>
        <s v="Weyermannsstr. Instands. PP und Trottoir (c)"/>
        <s v="Winterhalde KSP - WUV5 (a)"/>
        <s v="Wochen- / Bereichsbesprechung SGB-intern"/>
        <s v="Wohlensee Schutzverband (a)"/>
        <s v="Winterhalde KSP - WUV5 (b)"/>
        <s v="Winterhalde KSP - WUV5 (c)"/>
        <s v="Wohnumfeldverbess. 3, Stadtteile I-VI (a)"/>
        <s v="WUV (a)"/>
        <s v="WUV 6"/>
        <s v="WUV 7"/>
        <s v="Wyler Alt KSP, Instandsetzung (a)"/>
        <s v="Wyssloch Stadtteilpark (a)"/>
        <s v="Wyssloch, Schulanlage (a)"/>
        <s v="Wyssloch, Zwischennutzungen (a)"/>
        <s v="Zentrale Dienste, Broschüren, Fotoaufträge &amp; Signaletik (gem. Liste)"/>
        <m/>
      </sharedItems>
    </cacheField>
    <cacheField name="Rader oder Portfolio" numFmtId="0">
      <sharedItems containsBlank="1"/>
    </cacheField>
    <cacheField name="Geschäftsantrag" numFmtId="0">
      <sharedItems containsBlank="1"/>
    </cacheField>
    <cacheField name="Projekttyp" numFmtId="0">
      <sharedItems containsBlank="1" count="7">
        <m/>
        <s v="Strategisches Projekt"/>
        <s v="Begleitprojekt"/>
        <s v="Infrastruktur Werterhalt"/>
        <s v="Infrastruktur Wertvermehrung"/>
        <s v="Politisches Projekt"/>
        <s v="offen"/>
      </sharedItems>
    </cacheField>
    <cacheField name="Projektart: " numFmtId="0">
      <sharedItems containsBlank="1"/>
    </cacheField>
    <cacheField name="Strategische Bedeutung" numFmtId="0">
      <sharedItems containsBlank="1" containsMixedTypes="1" containsNumber="1" containsInteger="1" minValue="1" maxValue="5"/>
    </cacheField>
    <cacheField name="Operative Dringlichkeit" numFmtId="0">
      <sharedItems containsBlank="1" containsMixedTypes="1" containsNumber="1" containsInteger="1" minValue="1" maxValue="5"/>
    </cacheField>
    <cacheField name="Politische Bedeutung" numFmtId="0">
      <sharedItems containsBlank="1"/>
    </cacheField>
    <cacheField name="Projektpriorität" numFmtId="0">
      <sharedItems containsBlank="1"/>
    </cacheField>
    <cacheField name="Projektcharakter (Projektleiterbezogen)" numFmtId="0">
      <sharedItems containsBlank="1"/>
    </cacheField>
    <cacheField name="Steuerungszyklus" numFmtId="0">
      <sharedItems containsBlank="1"/>
    </cacheField>
    <cacheField name="Projekt-Risikobeurteilung " numFmtId="0">
      <sharedItems containsNonDate="0" containsString="0" containsBlank="1"/>
    </cacheField>
    <cacheField name="Projektziel für Datenbank" numFmtId="0">
      <sharedItems containsNonDate="0" containsString="0" containsBlank="1"/>
    </cacheField>
    <cacheField name="Projekthandbuch für Datenbank" numFmtId="0">
      <sharedItems containsBlank="1"/>
    </cacheField>
    <cacheField name="E3 Nummer" numFmtId="0">
      <sharedItems containsBlank="1"/>
    </cacheField>
    <cacheField name="Geschäftskategorie" numFmtId="0">
      <sharedItems containsString="0" containsBlank="1" containsNumber="1" containsInteger="1" minValue="1" maxValue="6"/>
    </cacheField>
    <cacheField name="Leistungsart" numFmtId="0">
      <sharedItems containsString="0" containsBlank="1" containsNumber="1" containsInteger="1" minValue="0" maxValue="2"/>
    </cacheField>
    <cacheField name="Verrechbarkeit" numFmtId="0">
      <sharedItems containsString="0" containsBlank="1" containsNumber="1" containsInteger="1" minValue="0" maxValue="1"/>
    </cacheField>
    <cacheField name="Geschäftsnummer" numFmtId="49">
      <sharedItems containsBlank="1"/>
    </cacheField>
    <cacheField name="Projektstatus_x000a_Projektphase" numFmtId="49">
      <sharedItems containsBlank="1" count="21">
        <m/>
        <s v="Anderes (nicht SIA)"/>
        <s v="offen"/>
        <s v="21 Definition des Bauvorhabens"/>
        <s v="Sistiert"/>
        <s v="Start ausstehend"/>
        <s v="0 Vorarbeiten"/>
        <s v="32 Bauprojekt"/>
        <s v="52 Realisierung"/>
        <s v="22 Auswahlverfahren"/>
        <s v="31 Vorprojekt"/>
        <s v="Abr. / Archiv"/>
        <s v="41 Ausschreibung, Offertvergleich, Vergabe"/>
        <s v="51 Ausführungsprojekt"/>
        <s v="Abgeschlossen"/>
        <s v="31 BGK"/>
        <s v="33 Bewilligungsverfahren"/>
        <s v="62 Überwachung, Überprüfung, Wartung"/>
        <s v="1 Strategische Planung"/>
        <s v="53 Inbetriebnahme, Abschluss"/>
        <s v="61 Betrieb"/>
      </sharedItems>
    </cacheField>
    <cacheField name="Bemerkung Projektdaten" numFmtId="0">
      <sharedItems containsBlank="1"/>
    </cacheField>
    <cacheField name="Federführende Stelle" numFmtId="0">
      <sharedItems containsBlank="1"/>
    </cacheField>
    <cacheField name="Federführende Fachgruppe" numFmtId="0">
      <sharedItems containsBlank="1"/>
    </cacheField>
    <cacheField name="Projektverantwortung_x000a_(Lenkungsausschuss)" numFmtId="0">
      <sharedItems containsBlank="1" count="8">
        <m/>
        <s v="STs"/>
        <s v="offen"/>
        <s v="CRa"/>
        <s v="MSt"/>
        <s v="CSc"/>
        <s v="TWu"/>
        <s v="x"/>
      </sharedItems>
    </cacheField>
    <cacheField name="Gesamtprojektleitung_x000a_(Koordinationsteam)" numFmtId="0">
      <sharedItems containsBlank="1" count="8">
        <m/>
        <s v="x"/>
        <s v="TWu"/>
        <s v="NIn"/>
        <s v="CRa"/>
        <s v="offen"/>
        <s v="MSt"/>
        <s v="STs"/>
      </sharedItems>
    </cacheField>
    <cacheField name="Projektleitung" numFmtId="0">
      <sharedItems containsBlank="1" count="20">
        <m/>
        <s v="NIn"/>
        <s v="STs"/>
        <s v="IMe"/>
        <s v="offen"/>
        <s v="x"/>
        <s v="LEr"/>
        <s v="SNe"/>
        <s v="DHu"/>
        <s v="CRa"/>
        <s v="IWe"/>
        <s v="KMu"/>
        <s v="JEn"/>
        <s v="AZu (ext.)"/>
        <s v="SGf"/>
        <s v="CFr"/>
        <s v="MSt"/>
        <s v="FBo (ext.)"/>
        <s v="Rki"/>
        <s v="Ext."/>
      </sharedItems>
    </cacheField>
    <cacheField name="Planerleistung" numFmtId="0">
      <sharedItems containsBlank="1" count="14">
        <m/>
        <s v="MSt"/>
        <s v="IMe"/>
        <s v="offen"/>
        <s v="SGf"/>
        <s v="Ext."/>
        <s v="x"/>
        <s v="LEr"/>
        <s v="JEn"/>
        <s v="KMu"/>
        <s v="FBo (ext.)"/>
        <s v="STs"/>
        <s v="CFr"/>
        <s v="DHu"/>
      </sharedItems>
    </cacheField>
    <cacheField name="Bauleitung_x000a_(Baubegleitung)" numFmtId="0">
      <sharedItems containsBlank="1" count="7">
        <m/>
        <s v="Ext."/>
        <s v="x"/>
        <s v="offen"/>
        <s v="SGf"/>
        <s v="CFr"/>
        <s v="FBo (ext.)"/>
      </sharedItems>
    </cacheField>
    <cacheField name="ZeichnerIn" numFmtId="0">
      <sharedItems containsBlank="1" count="7">
        <m/>
        <s v="offen"/>
        <s v="JFl"/>
        <s v="x"/>
        <s v="Ext."/>
        <s v="IMe"/>
        <s v="AHo"/>
      </sharedItems>
    </cacheField>
    <cacheField name="Kommunikation" numFmtId="0">
      <sharedItems containsBlank="1" count="6">
        <m/>
        <s v="Ext."/>
        <s v="x"/>
        <s v="offen"/>
        <s v="SGB"/>
        <s v="BBü"/>
      </sharedItems>
    </cacheField>
    <cacheField name="Art der Abhängigkeit" numFmtId="0">
      <sharedItems containsNonDate="0" containsString="0" containsBlank="1"/>
    </cacheField>
    <cacheField name="Von " numFmtId="0">
      <sharedItems containsNonDate="0" containsString="0" containsBlank="1"/>
    </cacheField>
    <cacheField name="Für" numFmtId="0">
      <sharedItems containsNonDate="0" containsString="0" containsBlank="1"/>
    </cacheField>
    <cacheField name="Finanzierungsart / MIP Rubrik" numFmtId="164">
      <sharedItems containsBlank="1" count="22">
        <m/>
        <s v="Honorar Natur &amp; Ökologie"/>
        <s v="Fremdfinanziert "/>
        <s v="offen"/>
        <s v="MIP "/>
        <s v="MIP Nachholbedarf FRH / Grünanlagen"/>
        <s v="Honorar Realisierung Anlagen"/>
        <s v="MIP WUV 4"/>
        <s v="Honorar GFP"/>
        <s v="MIP WUV 5"/>
        <s v="x"/>
        <s v="Budget funkt. Unterhalt"/>
        <s v="Honorar Friedhöfe"/>
        <s v="Honorar Leitung"/>
        <s v="MIP ???"/>
        <s v="MIP WUV 3"/>
        <s v="Budget Honorar Einnahmen"/>
        <s v="Honorar GRG"/>
        <s v="MIP Biodiversität"/>
        <s v="Honorar Parkanlagen / Spielplätze"/>
        <s v="MIP WUV 6"/>
        <s v="MIP WUV 7"/>
      </sharedItems>
    </cacheField>
    <cacheField name="Bedürfnisabklärung" numFmtId="164">
      <sharedItems containsBlank="1"/>
    </cacheField>
    <cacheField name="Status Projektkredit" numFmtId="164">
      <sharedItems containsBlank="1"/>
    </cacheField>
    <cacheField name="Investitions-Nr." numFmtId="0">
      <sharedItems containsBlank="1"/>
    </cacheField>
    <cacheField name="Kredit-  / Budgetsumme_x000a_(RADAR: Gesamtkosten S)" numFmtId="164">
      <sharedItems containsString="0" containsBlank="1" containsNumber="1" containsInteger="1" minValue="0" maxValue="19800000"/>
    </cacheField>
    <cacheField name="Beiträge Dritter" numFmtId="0">
      <sharedItems containsString="0" containsBlank="1" containsNumber="1" containsInteger="1" minValue="8000" maxValue="450000"/>
    </cacheField>
    <cacheField name="Netto-Ausgaben Vorjahre " numFmtId="0">
      <sharedItems containsString="0" containsBlank="1" containsNumber="1" minValue="248" maxValue="1015459"/>
    </cacheField>
    <cacheField name="Kreditrest per 1.1. aktuelles Jahr" numFmtId="0">
      <sharedItems containsString="0" containsBlank="1" containsNumber="1" minValue="-793793.45" maxValue="19800000"/>
    </cacheField>
    <cacheField name="Ist Ausgaben 2018" numFmtId="0">
      <sharedItems containsNonDate="0" containsString="0" containsBlank="1"/>
    </cacheField>
    <cacheField name="Prognose 2018_x000a_(RADAR: Kosten 2018 S)" numFmtId="164">
      <sharedItems containsString="0" containsBlank="1" containsNumber="1" containsInteger="1" minValue="0" maxValue="400000"/>
    </cacheField>
    <cacheField name="Kreditrest per 1.1. folgendes Jahr" numFmtId="164">
      <sharedItems containsString="0" containsBlank="1" containsNumber="1" minValue="-793793.45" maxValue="19800000"/>
    </cacheField>
    <cacheField name="Mehrwertabschöpfung3" numFmtId="0">
      <sharedItems containsString="0" containsBlank="1" containsNumber="1" containsInteger="1" minValue="68310" maxValue="750000"/>
    </cacheField>
    <cacheField name="Prognose 2019_x000a_(RADAR: Kosten 2019 S)" numFmtId="164">
      <sharedItems containsBlank="1" containsMixedTypes="1" containsNumber="1" containsInteger="1" minValue="0" maxValue="1900000"/>
    </cacheField>
    <cacheField name="Mehrwertabschöpfung4" numFmtId="0">
      <sharedItems containsNonDate="0" containsString="0" containsBlank="1"/>
    </cacheField>
    <cacheField name="Prognose 2020_x000a_(RADAR: Kosten 2020 S)" numFmtId="164">
      <sharedItems containsString="0" containsBlank="1" containsNumber="1" containsInteger="1" minValue="0" maxValue="1350000"/>
    </cacheField>
    <cacheField name="Mehrwertabschöpfung5" numFmtId="0">
      <sharedItems containsNonDate="0" containsString="0" containsBlank="1"/>
    </cacheField>
    <cacheField name="Prognose 2021_x000a_(RADAR: Kosten 2021 S)" numFmtId="164">
      <sharedItems containsBlank="1" containsMixedTypes="1" containsNumber="1" containsInteger="1" minValue="0" maxValue="1500000"/>
    </cacheField>
    <cacheField name="Mehrwertabschöpfung6" numFmtId="0">
      <sharedItems containsString="0" containsBlank="1" containsNumber="1" containsInteger="1" minValue="3000000" maxValue="3000000"/>
    </cacheField>
    <cacheField name="Prognose 2022_x000a_(RADAR: Kosten 2022 S)" numFmtId="164">
      <sharedItems containsBlank="1" containsMixedTypes="1" containsNumber="1" containsInteger="1" minValue="0" maxValue="1320000"/>
    </cacheField>
    <cacheField name="Mehrwertabschöpfung " numFmtId="164">
      <sharedItems containsNonDate="0" containsString="0" containsBlank="1"/>
    </cacheField>
    <cacheField name="Prognose 2023" numFmtId="164">
      <sharedItems containsBlank="1" containsMixedTypes="1" containsNumber="1" containsInteger="1" minValue="1000" maxValue="4737500"/>
    </cacheField>
    <cacheField name="Mehrwertabschöpfung   " numFmtId="0">
      <sharedItems containsNonDate="0" containsString="0" containsBlank="1"/>
    </cacheField>
    <cacheField name="Prognose 2024" numFmtId="0">
      <sharedItems containsBlank="1" containsMixedTypes="1" containsNumber="1" containsInteger="1" minValue="1000" maxValue="4737500"/>
    </cacheField>
    <cacheField name="Mehrwertabschöpfung    " numFmtId="0">
      <sharedItems containsNonDate="0" containsString="0" containsBlank="1"/>
    </cacheField>
    <cacheField name="Prognose 2025" numFmtId="0">
      <sharedItems containsBlank="1" containsMixedTypes="1" containsNumber="1" containsInteger="1" minValue="1000" maxValue="4737500"/>
    </cacheField>
    <cacheField name="Mehrwertabschöpfung      " numFmtId="0">
      <sharedItems containsNonDate="0" containsString="0" containsBlank="1"/>
    </cacheField>
    <cacheField name="Prognose 2026" numFmtId="0">
      <sharedItems containsBlank="1" containsMixedTypes="1" containsNumber="1" containsInteger="1" minValue="1000" maxValue="4737500"/>
    </cacheField>
    <cacheField name="Mehrwertabschöpfung     " numFmtId="0">
      <sharedItems containsNonDate="0" containsString="0" containsBlank="1"/>
    </cacheField>
    <cacheField name="Bemerkungen Finanzierung" numFmtId="0">
      <sharedItems containsBlank="1"/>
    </cacheField>
    <cacheField name="Spalte1" numFmtId="164">
      <sharedItems containsNonDate="0" containsString="0" containsBlank="1"/>
    </cacheField>
    <cacheField name="1. Quartal 2018_x000a_(Phase)" numFmtId="0">
      <sharedItems containsBlank="1"/>
    </cacheField>
    <cacheField name="Projektverantwortung_x000a_(Lenkungsausschuss) " numFmtId="0">
      <sharedItems containsBlank="1" containsMixedTypes="1" containsNumber="1" containsInteger="1" minValue="0" maxValue="100"/>
    </cacheField>
    <cacheField name="Gesamtprojektleitung_x000a_(Koordinationsteam) " numFmtId="0">
      <sharedItems containsBlank="1" containsMixedTypes="1" containsNumber="1" containsInteger="1" minValue="0" maxValue="80"/>
    </cacheField>
    <cacheField name="Projektleitung " numFmtId="0">
      <sharedItems containsBlank="1" containsMixedTypes="1" containsNumber="1" containsInteger="1" minValue="0" maxValue="100"/>
    </cacheField>
    <cacheField name="Planerleistung " numFmtId="0">
      <sharedItems containsBlank="1" containsMixedTypes="1" containsNumber="1" containsInteger="1" minValue="0" maxValue="100"/>
    </cacheField>
    <cacheField name="Bauleitung " numFmtId="0">
      <sharedItems containsString="0" containsBlank="1" containsNumber="1" containsInteger="1" minValue="0" maxValue="40"/>
    </cacheField>
    <cacheField name="ZeichnerIn " numFmtId="0">
      <sharedItems containsString="0" containsBlank="1" containsNumber="1" containsInteger="1" minValue="0" maxValue="80"/>
    </cacheField>
    <cacheField name="Kommunikation " numFmtId="0">
      <sharedItems containsString="0" containsBlank="1" containsNumber="1" containsInteger="1" minValue="0" maxValue="0"/>
    </cacheField>
    <cacheField name="Total Aufwand_x000a_1. Quartal 2018" numFmtId="0">
      <sharedItems containsString="0" containsBlank="1" containsNumber="1" containsInteger="1" minValue="0" maxValue="200"/>
    </cacheField>
    <cacheField name="2. Quartal 2018_x000a_(Phase)" numFmtId="0">
      <sharedItems containsNonDate="0" containsString="0" containsBlank="1"/>
    </cacheField>
    <cacheField name="Projektverantwortung_x000a_(Lenkungsausschuss)   " numFmtId="0">
      <sharedItems containsString="0" containsBlank="1" containsNumber="1" containsInteger="1" minValue="0" maxValue="40"/>
    </cacheField>
    <cacheField name="Gesamtprojektleitung_x000a_(Koordinationsteam)   " numFmtId="0">
      <sharedItems containsString="0" containsBlank="1" containsNumber="1" containsInteger="1" minValue="0" maxValue="80"/>
    </cacheField>
    <cacheField name="Projektleitung   " numFmtId="0">
      <sharedItems containsBlank="1" containsMixedTypes="1" containsNumber="1" containsInteger="1" minValue="0" maxValue="80"/>
    </cacheField>
    <cacheField name="Planerleistung   " numFmtId="0">
      <sharedItems containsString="0" containsBlank="1" containsNumber="1" containsInteger="1" minValue="0" maxValue="100"/>
    </cacheField>
    <cacheField name="Bauleitung   " numFmtId="0">
      <sharedItems containsString="0" containsBlank="1" containsNumber="1" containsInteger="1" minValue="0" maxValue="80"/>
    </cacheField>
    <cacheField name="ZeichnerIn   " numFmtId="0">
      <sharedItems containsString="0" containsBlank="1" containsNumber="1" containsInteger="1" minValue="0" maxValue="80"/>
    </cacheField>
    <cacheField name="Kommunikation   " numFmtId="0">
      <sharedItems containsString="0" containsBlank="1" containsNumber="1" containsInteger="1" minValue="0" maxValue="0"/>
    </cacheField>
    <cacheField name="Total Aufwand_x000a_2. Quartal 2018" numFmtId="0">
      <sharedItems containsString="0" containsBlank="1" containsNumber="1" containsInteger="1" minValue="0" maxValue="160"/>
    </cacheField>
    <cacheField name="3. Quartal 2018_x000a_(Phase)" numFmtId="0">
      <sharedItems containsNonDate="0" containsString="0" containsBlank="1"/>
    </cacheField>
    <cacheField name="Projektverantwortung_x000a_(Lenkungsausschuss)." numFmtId="0">
      <sharedItems containsString="0" containsBlank="1" containsNumber="1" containsInteger="1" minValue="0" maxValue="40"/>
    </cacheField>
    <cacheField name="Gesamtprojektleitung_x000a_(Koordinationsteam)    " numFmtId="0">
      <sharedItems containsString="0" containsBlank="1" containsNumber="1" containsInteger="1" minValue="0" maxValue="80"/>
    </cacheField>
    <cacheField name="Projektleitung    " numFmtId="0">
      <sharedItems containsString="0" containsBlank="1" containsNumber="1" containsInteger="1" minValue="0" maxValue="80"/>
    </cacheField>
    <cacheField name="Planerleistung    " numFmtId="0">
      <sharedItems containsString="0" containsBlank="1" containsNumber="1" containsInteger="1" minValue="0" maxValue="100"/>
    </cacheField>
    <cacheField name="Bauleitung    " numFmtId="0">
      <sharedItems containsString="0" containsBlank="1" containsNumber="1" containsInteger="1" minValue="0" maxValue="80"/>
    </cacheField>
    <cacheField name="ZeichnerIn    " numFmtId="0">
      <sharedItems containsString="0" containsBlank="1" containsNumber="1" containsInteger="1" minValue="0" maxValue="20"/>
    </cacheField>
    <cacheField name="Kommunikation    " numFmtId="0">
      <sharedItems containsString="0" containsBlank="1" containsNumber="1" containsInteger="1" minValue="0" maxValue="0"/>
    </cacheField>
    <cacheField name="Total Aufwand_x000a_3. Quartal 2018" numFmtId="0">
      <sharedItems containsString="0" containsBlank="1" containsNumber="1" containsInteger="1" minValue="0" maxValue="160"/>
    </cacheField>
    <cacheField name="4. Quartal 2018_x000a_(Phase)" numFmtId="0">
      <sharedItems containsNonDate="0" containsString="0" containsBlank="1"/>
    </cacheField>
    <cacheField name="Projektverantwortung_x000a_(Lenkungsausschuss)    " numFmtId="0">
      <sharedItems containsString="0" containsBlank="1" containsNumber="1" containsInteger="1" minValue="0" maxValue="40"/>
    </cacheField>
    <cacheField name="Gesamtprojektleitung_x000a_(Koordinationsteam)     " numFmtId="0">
      <sharedItems containsString="0" containsBlank="1" containsNumber="1" containsInteger="1" minValue="0" maxValue="80"/>
    </cacheField>
    <cacheField name="Projektleitung     " numFmtId="0">
      <sharedItems containsString="0" containsBlank="1" containsNumber="1" containsInteger="1" minValue="0" maxValue="150"/>
    </cacheField>
    <cacheField name="Planerleistung     " numFmtId="0">
      <sharedItems containsString="0" containsBlank="1" containsNumber="1" containsInteger="1" minValue="0" maxValue="100"/>
    </cacheField>
    <cacheField name="Bauleitung     " numFmtId="0">
      <sharedItems containsString="0" containsBlank="1" containsNumber="1" containsInteger="1" minValue="0" maxValue="60"/>
    </cacheField>
    <cacheField name="ZeichnerIn     " numFmtId="0">
      <sharedItems containsString="0" containsBlank="1" containsNumber="1" containsInteger="1" minValue="0" maxValue="40"/>
    </cacheField>
    <cacheField name="Kommunikation     " numFmtId="0">
      <sharedItems containsString="0" containsBlank="1" containsNumber="1" containsInteger="1" minValue="0" maxValue="0"/>
    </cacheField>
    <cacheField name="Total Aufwand_x000a_4. Quartal 2018" numFmtId="0">
      <sharedItems containsString="0" containsBlank="1" containsNumber="1" containsInteger="1" minValue="0" maxValue="170"/>
    </cacheField>
    <cacheField name="Total Aufwand_x000a_2018" numFmtId="3">
      <sharedItems containsString="0" containsBlank="1" containsNumber="1" containsInteger="1" minValue="0" maxValue="640"/>
    </cacheField>
    <cacheField name="1. Quartal 2019_x000a_(Phase)" numFmtId="0">
      <sharedItems containsNonDate="0" containsString="0" containsBlank="1"/>
    </cacheField>
    <cacheField name="Aufwand " numFmtId="0">
      <sharedItems containsString="0" containsBlank="1" containsNumber="1" containsInteger="1" minValue="60" maxValue="100"/>
    </cacheField>
    <cacheField name="2. Quartal 2019_x000a_(Phase)" numFmtId="0">
      <sharedItems containsNonDate="0" containsString="0" containsBlank="1"/>
    </cacheField>
    <cacheField name="Aufwand 2" numFmtId="0">
      <sharedItems containsBlank="1" containsMixedTypes="1" containsNumber="1" containsInteger="1" minValue="60" maxValue="60"/>
    </cacheField>
    <cacheField name="3. Quartal 2019_x000a_(Phase)" numFmtId="0">
      <sharedItems containsNonDate="0" containsString="0" containsBlank="1"/>
    </cacheField>
    <cacheField name="Aufwand 3" numFmtId="0">
      <sharedItems containsBlank="1" containsMixedTypes="1" containsNumber="1" containsInteger="1" minValue="40" maxValue="40"/>
    </cacheField>
    <cacheField name="4. Quartal 2019_x000a_(Phase)" numFmtId="0">
      <sharedItems containsNonDate="0" containsString="0" containsBlank="1"/>
    </cacheField>
    <cacheField name="Aufwand 4" numFmtId="0">
      <sharedItems containsBlank="1" containsMixedTypes="1" containsNumber="1" containsInteger="1" minValue="0" maxValue="0"/>
    </cacheField>
    <cacheField name="Total Aufwand_x000a_2019" numFmtId="3">
      <sharedItems containsString="0" containsBlank="1" containsNumber="1" containsInteger="1" minValue="0" maxValue="160"/>
    </cacheField>
    <cacheField name="1. Quartal 2020_x000a_(Phase)" numFmtId="0">
      <sharedItems containsNonDate="0" containsString="0" containsBlank="1"/>
    </cacheField>
    <cacheField name="Aufwand  " numFmtId="0">
      <sharedItems containsNonDate="0" containsString="0" containsBlank="1"/>
    </cacheField>
    <cacheField name="2. Quartal 2020_x000a_(Phase)" numFmtId="0">
      <sharedItems containsNonDate="0" containsString="0" containsBlank="1"/>
    </cacheField>
    <cacheField name="Aufwand  2" numFmtId="0">
      <sharedItems containsBlank="1"/>
    </cacheField>
    <cacheField name="3. Quartal 2020_x000a_(Phase)" numFmtId="0">
      <sharedItems containsNonDate="0" containsString="0" containsBlank="1"/>
    </cacheField>
    <cacheField name="Aufwand  3" numFmtId="0">
      <sharedItems containsBlank="1"/>
    </cacheField>
    <cacheField name="4. Quartal 2020_x000a_(Phase)" numFmtId="0">
      <sharedItems containsNonDate="0" containsString="0" containsBlank="1"/>
    </cacheField>
    <cacheField name="Aufwand  4" numFmtId="0">
      <sharedItems containsNonDate="0" containsString="0" containsBlank="1"/>
    </cacheField>
    <cacheField name="Total Aufwand_x000a_2020" numFmtId="3">
      <sharedItems containsString="0" containsBlank="1" containsNumber="1" containsInteger="1" minValue="0" maxValue="0"/>
    </cacheField>
    <cacheField name="1. Quartal 2021_x000a_(Phase)" numFmtId="0">
      <sharedItems containsNonDate="0" containsString="0" containsBlank="1"/>
    </cacheField>
    <cacheField name="Aufwand   " numFmtId="0">
      <sharedItems containsBlank="1"/>
    </cacheField>
    <cacheField name="2. Quartal 2021_x000a_(Phase)" numFmtId="0">
      <sharedItems containsNonDate="0" containsString="0" containsBlank="1"/>
    </cacheField>
    <cacheField name="Aufwand   2" numFmtId="0">
      <sharedItems containsBlank="1"/>
    </cacheField>
    <cacheField name="3. Quartal 2021_x000a_(Phase)" numFmtId="0">
      <sharedItems containsNonDate="0" containsString="0" containsBlank="1"/>
    </cacheField>
    <cacheField name="Aufwand   3" numFmtId="0">
      <sharedItems containsBlank="1"/>
    </cacheField>
    <cacheField name="4. Quartal 2021_x000a_(Phase)" numFmtId="0">
      <sharedItems containsNonDate="0" containsString="0" containsBlank="1"/>
    </cacheField>
    <cacheField name="Aufwand   4" numFmtId="0">
      <sharedItems containsBlank="1"/>
    </cacheField>
    <cacheField name="Total Aufwand_x000a_2021" numFmtId="3">
      <sharedItems containsString="0" containsBlank="1" containsNumber="1" containsInteger="1" minValue="0" maxValue="0"/>
    </cacheField>
    <cacheField name="Phase 2022" numFmtId="0">
      <sharedItems containsNonDate="0" containsString="0" containsBlank="1"/>
    </cacheField>
    <cacheField name="Aufwand 2022" numFmtId="0">
      <sharedItems containsBlank="1" containsMixedTypes="1" containsNumber="1" containsInteger="1" minValue="0" maxValue="0"/>
    </cacheField>
    <cacheField name="Phase 2023" numFmtId="0">
      <sharedItems containsNonDate="0" containsString="0" containsBlank="1"/>
    </cacheField>
    <cacheField name="Aufwand 2023" numFmtId="0">
      <sharedItems containsString="0" containsBlank="1" containsNumber="1" containsInteger="1" minValue="0" maxValue="0"/>
    </cacheField>
    <cacheField name="Gesamaufwand" numFmtId="3">
      <sharedItems containsString="0" containsBlank="1" containsNumber="1" containsInteger="1" minValue="0" maxValue="640"/>
    </cacheField>
    <cacheField name="Stellenprozente" numFmtId="0">
      <sharedItems containsString="0" containsBlank="1" containsNumber="1" minValue="0" maxValue="0.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0">
  <r>
    <x v="0"/>
    <m/>
    <m/>
    <x v="0"/>
    <m/>
    <m/>
    <m/>
    <m/>
    <m/>
    <m/>
    <m/>
    <m/>
    <m/>
    <m/>
    <m/>
    <m/>
    <m/>
    <m/>
    <m/>
    <x v="0"/>
    <m/>
    <m/>
    <m/>
    <x v="0"/>
    <x v="0"/>
    <x v="0"/>
    <x v="0"/>
    <x v="0"/>
    <x v="0"/>
    <x v="0"/>
    <m/>
    <m/>
    <m/>
    <x v="0"/>
    <m/>
    <m/>
    <m/>
    <n v="0"/>
    <m/>
    <m/>
    <m/>
    <m/>
    <n v="0"/>
    <n v="0"/>
    <m/>
    <n v="0"/>
    <m/>
    <n v="0"/>
    <m/>
    <n v="0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n v="0"/>
    <m/>
    <n v="0"/>
    <n v="0"/>
    <n v="0"/>
  </r>
  <r>
    <x v="1"/>
    <s v="PP"/>
    <s v="X"/>
    <x v="1"/>
    <s v="Natur &amp; Ökologie"/>
    <n v="2"/>
    <n v="1"/>
    <s v="a)"/>
    <m/>
    <m/>
    <m/>
    <m/>
    <m/>
    <m/>
    <s v="X"/>
    <m/>
    <m/>
    <m/>
    <m/>
    <x v="1"/>
    <m/>
    <s v="SGB"/>
    <s v="NÖ"/>
    <x v="1"/>
    <x v="0"/>
    <x v="1"/>
    <x v="0"/>
    <x v="0"/>
    <x v="0"/>
    <x v="0"/>
    <m/>
    <m/>
    <m/>
    <x v="1"/>
    <m/>
    <m/>
    <m/>
    <m/>
    <m/>
    <m/>
    <m/>
    <m/>
    <n v="15000"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2"/>
    <s v="PP"/>
    <s v="offen"/>
    <x v="2"/>
    <s v="Planungen, Studien, Arealentwicklung"/>
    <n v="3"/>
    <n v="2"/>
    <m/>
    <s v="2. Priorität Projekt"/>
    <s v="Herausforderndes oder schwierig organisiertes Projekt"/>
    <s v="monatlich"/>
    <m/>
    <m/>
    <m/>
    <s v="5202-200-0001"/>
    <n v="2"/>
    <n v="0"/>
    <n v="0"/>
    <s v="0001"/>
    <x v="2"/>
    <m/>
    <s v="TAB"/>
    <s v="NÖ"/>
    <x v="1"/>
    <x v="1"/>
    <x v="2"/>
    <x v="1"/>
    <x v="1"/>
    <x v="1"/>
    <x v="1"/>
    <m/>
    <m/>
    <m/>
    <x v="2"/>
    <s v="x"/>
    <s v="x"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n v="8"/>
    <m/>
    <m/>
    <m/>
    <n v="8"/>
    <m/>
    <m/>
    <m/>
    <m/>
    <m/>
    <m/>
    <m/>
    <m/>
    <n v="0"/>
    <m/>
    <m/>
    <m/>
    <m/>
    <m/>
    <m/>
    <m/>
    <m/>
    <n v="0"/>
    <m/>
    <m/>
    <m/>
    <m/>
    <m/>
    <m/>
    <m/>
    <m/>
    <n v="0"/>
    <n v="8"/>
    <m/>
    <m/>
    <m/>
    <m/>
    <m/>
    <m/>
    <m/>
    <m/>
    <n v="0"/>
    <m/>
    <m/>
    <m/>
    <s v="offen"/>
    <m/>
    <s v="offen"/>
    <m/>
    <m/>
    <n v="0"/>
    <m/>
    <s v="offen"/>
    <m/>
    <s v="offen"/>
    <m/>
    <s v="offen"/>
    <m/>
    <s v="offen"/>
    <n v="0"/>
    <m/>
    <s v="offen"/>
    <m/>
    <m/>
    <n v="8"/>
    <n v="4.0000000000000001E-3"/>
  </r>
  <r>
    <x v="3"/>
    <s v="PP"/>
    <s v="verabschiedet"/>
    <x v="3"/>
    <s v="Instandsetzung, Werterhalt"/>
    <n v="4"/>
    <n v="2"/>
    <m/>
    <s v="2. Priorität Projekt"/>
    <m/>
    <m/>
    <m/>
    <m/>
    <s v="Ja "/>
    <s v="5202-100-0001"/>
    <n v="1"/>
    <n v="0"/>
    <n v="0"/>
    <s v="0001"/>
    <x v="3"/>
    <m/>
    <s v="SGB"/>
    <s v="GG"/>
    <x v="2"/>
    <x v="1"/>
    <x v="0"/>
    <x v="0"/>
    <x v="0"/>
    <x v="2"/>
    <x v="1"/>
    <m/>
    <m/>
    <m/>
    <x v="3"/>
    <s v="offen"/>
    <s v="budgetiert"/>
    <s v="I5200XXX"/>
    <n v="250000"/>
    <m/>
    <m/>
    <n v="250000"/>
    <m/>
    <m/>
    <n v="250000"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m/>
    <n v="0"/>
    <m/>
    <m/>
    <m/>
    <m/>
    <m/>
    <m/>
    <n v="0"/>
    <m/>
    <n v="0"/>
    <m/>
    <m/>
    <m/>
    <m/>
    <m/>
    <m/>
    <n v="0"/>
    <m/>
    <n v="0"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4"/>
    <s v="Sistiert"/>
    <s v="verabschiedet"/>
    <x v="4"/>
    <s v="Spielplatz "/>
    <s v="x"/>
    <s v="x"/>
    <m/>
    <s v="3. Priorität Projekt"/>
    <m/>
    <m/>
    <m/>
    <m/>
    <m/>
    <s v="5202-100-0002"/>
    <n v="1"/>
    <n v="0"/>
    <n v="0"/>
    <s v="0002"/>
    <x v="4"/>
    <m/>
    <s v="SGB"/>
    <s v="SSM"/>
    <x v="3"/>
    <x v="1"/>
    <x v="3"/>
    <x v="2"/>
    <x v="2"/>
    <x v="3"/>
    <x v="2"/>
    <m/>
    <m/>
    <m/>
    <x v="4"/>
    <s v="angemeldet"/>
    <s v="bewilligt"/>
    <s v="I5200228"/>
    <n v="120000"/>
    <m/>
    <m/>
    <n v="120000"/>
    <m/>
    <m/>
    <n v="12000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5"/>
    <s v="PP"/>
    <s v="verabschiedet"/>
    <x v="0"/>
    <m/>
    <m/>
    <m/>
    <m/>
    <m/>
    <m/>
    <m/>
    <m/>
    <m/>
    <m/>
    <s v="5202-110-0001"/>
    <n v="1"/>
    <n v="1"/>
    <n v="0"/>
    <s v="0001"/>
    <x v="2"/>
    <m/>
    <s v="SGB"/>
    <s v="GG"/>
    <x v="4"/>
    <x v="1"/>
    <x v="4"/>
    <x v="3"/>
    <x v="3"/>
    <x v="1"/>
    <x v="3"/>
    <m/>
    <m/>
    <m/>
    <x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s v="offen"/>
    <m/>
    <s v="offen"/>
    <m/>
    <s v="offen"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6"/>
    <s v="PP"/>
    <s v="verabschiedet"/>
    <x v="0"/>
    <m/>
    <m/>
    <m/>
    <m/>
    <m/>
    <m/>
    <m/>
    <m/>
    <m/>
    <m/>
    <s v="5202-110-0001"/>
    <n v="1"/>
    <n v="2"/>
    <n v="0"/>
    <s v="0001"/>
    <x v="2"/>
    <m/>
    <s v="SGB"/>
    <s v="GG"/>
    <x v="4"/>
    <x v="1"/>
    <x v="4"/>
    <x v="3"/>
    <x v="3"/>
    <x v="1"/>
    <x v="3"/>
    <m/>
    <m/>
    <m/>
    <x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s v="offen"/>
    <m/>
    <s v="offen"/>
    <m/>
    <s v="offen"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7"/>
    <s v="PP"/>
    <s v="in Arbeit"/>
    <x v="0"/>
    <s v="Familiengarten"/>
    <m/>
    <m/>
    <m/>
    <m/>
    <m/>
    <m/>
    <m/>
    <m/>
    <m/>
    <m/>
    <m/>
    <m/>
    <m/>
    <m/>
    <x v="5"/>
    <m/>
    <m/>
    <s v="SSM"/>
    <x v="3"/>
    <x v="1"/>
    <x v="0"/>
    <x v="4"/>
    <x v="4"/>
    <x v="2"/>
    <x v="4"/>
    <m/>
    <m/>
    <m/>
    <x v="5"/>
    <m/>
    <s v="offen"/>
    <s v="I5200118"/>
    <m/>
    <m/>
    <m/>
    <n v="0"/>
    <m/>
    <m/>
    <n v="0"/>
    <m/>
    <m/>
    <m/>
    <m/>
    <m/>
    <m/>
    <m/>
    <m/>
    <m/>
    <m/>
    <m/>
    <m/>
    <m/>
    <m/>
    <m/>
    <m/>
    <m/>
    <m/>
    <m/>
    <m/>
    <n v="20"/>
    <m/>
    <n v="20"/>
    <m/>
    <m/>
    <m/>
    <m/>
    <n v="40"/>
    <m/>
    <m/>
    <m/>
    <n v="20"/>
    <m/>
    <n v="20"/>
    <m/>
    <m/>
    <n v="40"/>
    <m/>
    <m/>
    <m/>
    <m/>
    <m/>
    <n v="20"/>
    <n v="20"/>
    <m/>
    <n v="40"/>
    <m/>
    <m/>
    <m/>
    <m/>
    <m/>
    <n v="40"/>
    <m/>
    <m/>
    <n v="40"/>
    <n v="16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160"/>
    <n v="0.08"/>
  </r>
  <r>
    <x v="8"/>
    <s v="Sistiert"/>
    <s v="verabschiedet"/>
    <x v="0"/>
    <m/>
    <m/>
    <m/>
    <m/>
    <m/>
    <m/>
    <m/>
    <m/>
    <m/>
    <m/>
    <s v="5202-110-0002"/>
    <n v="1"/>
    <n v="1"/>
    <n v="0"/>
    <s v="0002"/>
    <x v="4"/>
    <m/>
    <s v="SGB"/>
    <s v="SSM"/>
    <x v="3"/>
    <x v="1"/>
    <x v="3"/>
    <x v="2"/>
    <x v="2"/>
    <x v="3"/>
    <x v="2"/>
    <m/>
    <m/>
    <m/>
    <x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s v="offen"/>
    <m/>
    <s v="offen"/>
    <m/>
    <s v="offen"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9"/>
    <s v="Sistiert"/>
    <s v="verabschiedet"/>
    <x v="0"/>
    <m/>
    <m/>
    <m/>
    <m/>
    <m/>
    <m/>
    <m/>
    <m/>
    <m/>
    <m/>
    <s v="5202-110-0002"/>
    <n v="1"/>
    <n v="2"/>
    <n v="0"/>
    <s v="0002"/>
    <x v="4"/>
    <m/>
    <s v="SGB"/>
    <s v="SSM"/>
    <x v="3"/>
    <x v="1"/>
    <x v="3"/>
    <x v="2"/>
    <x v="2"/>
    <x v="3"/>
    <x v="2"/>
    <m/>
    <m/>
    <m/>
    <x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s v="offen"/>
    <m/>
    <s v="offen"/>
    <m/>
    <s v="offen"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10"/>
    <s v="PP"/>
    <s v="in Arbeit"/>
    <x v="0"/>
    <s v="Familiengarten"/>
    <m/>
    <m/>
    <m/>
    <m/>
    <m/>
    <m/>
    <m/>
    <m/>
    <m/>
    <m/>
    <m/>
    <m/>
    <m/>
    <m/>
    <x v="6"/>
    <m/>
    <m/>
    <s v="SSM"/>
    <x v="3"/>
    <x v="1"/>
    <x v="5"/>
    <x v="4"/>
    <x v="3"/>
    <x v="1"/>
    <x v="4"/>
    <m/>
    <m/>
    <m/>
    <x v="6"/>
    <m/>
    <m/>
    <m/>
    <m/>
    <m/>
    <m/>
    <m/>
    <m/>
    <n v="10000"/>
    <m/>
    <m/>
    <m/>
    <m/>
    <m/>
    <m/>
    <m/>
    <m/>
    <m/>
    <m/>
    <m/>
    <m/>
    <m/>
    <m/>
    <m/>
    <m/>
    <m/>
    <m/>
    <m/>
    <m/>
    <m/>
    <n v="8"/>
    <n v="0"/>
    <n v="0"/>
    <n v="20"/>
    <n v="0"/>
    <n v="0"/>
    <n v="0"/>
    <n v="28"/>
    <m/>
    <m/>
    <m/>
    <m/>
    <m/>
    <m/>
    <m/>
    <m/>
    <n v="0"/>
    <m/>
    <m/>
    <m/>
    <m/>
    <m/>
    <m/>
    <m/>
    <m/>
    <n v="0"/>
    <m/>
    <m/>
    <m/>
    <m/>
    <m/>
    <m/>
    <m/>
    <m/>
    <n v="0"/>
    <n v="28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28"/>
    <n v="1.4E-2"/>
  </r>
  <r>
    <x v="11"/>
    <s v="PP"/>
    <s v="verabschiedet"/>
    <x v="1"/>
    <s v="Velo"/>
    <n v="1"/>
    <n v="1"/>
    <s v="a)"/>
    <s v="Leuchtturmprojekte"/>
    <m/>
    <m/>
    <m/>
    <m/>
    <m/>
    <s v="5202-100-0091"/>
    <n v="1"/>
    <n v="0"/>
    <n v="0"/>
    <s v="0091"/>
    <x v="7"/>
    <m/>
    <s v="SGB"/>
    <s v="SSM"/>
    <x v="3"/>
    <x v="1"/>
    <x v="6"/>
    <x v="5"/>
    <x v="1"/>
    <x v="4"/>
    <x v="4"/>
    <m/>
    <m/>
    <m/>
    <x v="7"/>
    <s v="angemeldet"/>
    <s v="bewilligt"/>
    <s v="I5200237"/>
    <n v="160000"/>
    <m/>
    <m/>
    <n v="160000"/>
    <m/>
    <n v="140000"/>
    <n v="20000"/>
    <m/>
    <n v="20000"/>
    <m/>
    <m/>
    <m/>
    <m/>
    <m/>
    <m/>
    <m/>
    <m/>
    <m/>
    <m/>
    <m/>
    <m/>
    <m/>
    <m/>
    <m/>
    <m/>
    <m/>
    <m/>
    <n v="20"/>
    <n v="0"/>
    <n v="8"/>
    <n v="0"/>
    <n v="0"/>
    <n v="0"/>
    <n v="0"/>
    <n v="28"/>
    <m/>
    <n v="8"/>
    <m/>
    <n v="40"/>
    <m/>
    <m/>
    <m/>
    <m/>
    <n v="48"/>
    <m/>
    <n v="8"/>
    <m/>
    <n v="20"/>
    <m/>
    <m/>
    <m/>
    <m/>
    <n v="28"/>
    <m/>
    <n v="8"/>
    <m/>
    <n v="8"/>
    <m/>
    <m/>
    <m/>
    <m/>
    <n v="16"/>
    <n v="12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120"/>
    <n v="0.06"/>
  </r>
  <r>
    <x v="12"/>
    <m/>
    <m/>
    <x v="0"/>
    <m/>
    <m/>
    <m/>
    <m/>
    <m/>
    <m/>
    <m/>
    <m/>
    <m/>
    <m/>
    <m/>
    <m/>
    <m/>
    <m/>
    <m/>
    <x v="0"/>
    <m/>
    <m/>
    <m/>
    <x v="0"/>
    <x v="0"/>
    <x v="0"/>
    <x v="0"/>
    <x v="0"/>
    <x v="0"/>
    <x v="0"/>
    <m/>
    <m/>
    <m/>
    <x v="8"/>
    <m/>
    <m/>
    <m/>
    <m/>
    <m/>
    <m/>
    <m/>
    <m/>
    <n v="19000"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m/>
  </r>
  <r>
    <x v="13"/>
    <m/>
    <m/>
    <x v="0"/>
    <m/>
    <m/>
    <m/>
    <m/>
    <m/>
    <m/>
    <m/>
    <m/>
    <m/>
    <m/>
    <m/>
    <m/>
    <m/>
    <m/>
    <m/>
    <x v="5"/>
    <m/>
    <m/>
    <s v="GG"/>
    <x v="5"/>
    <x v="2"/>
    <x v="4"/>
    <x v="5"/>
    <x v="1"/>
    <x v="4"/>
    <x v="4"/>
    <m/>
    <m/>
    <m/>
    <x v="4"/>
    <s v="angemeldet"/>
    <s v="offen"/>
    <s v="I5200102"/>
    <n v="3200000"/>
    <m/>
    <m/>
    <n v="3200000"/>
    <m/>
    <m/>
    <n v="3200000"/>
    <m/>
    <n v="250000"/>
    <m/>
    <n v="1200000"/>
    <m/>
    <n v="1500000"/>
    <m/>
    <n v="250000"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14"/>
    <s v="PP"/>
    <s v="nicht vorhanden"/>
    <x v="1"/>
    <s v="Park- &amp; Grünanlagen"/>
    <n v="1"/>
    <n v="1"/>
    <m/>
    <s v="1. Priorität Projekt"/>
    <m/>
    <m/>
    <m/>
    <m/>
    <m/>
    <s v="5202-100-0005"/>
    <n v="1"/>
    <n v="0"/>
    <n v="0"/>
    <s v="0005"/>
    <x v="2"/>
    <m/>
    <s v="SGB"/>
    <s v="Stab"/>
    <x v="5"/>
    <x v="2"/>
    <x v="7"/>
    <x v="5"/>
    <x v="1"/>
    <x v="4"/>
    <x v="4"/>
    <m/>
    <m/>
    <m/>
    <x v="4"/>
    <m/>
    <m/>
    <m/>
    <n v="58000"/>
    <m/>
    <m/>
    <n v="58000"/>
    <m/>
    <n v="58000"/>
    <m/>
    <m/>
    <m/>
    <m/>
    <m/>
    <m/>
    <m/>
    <m/>
    <m/>
    <m/>
    <m/>
    <m/>
    <m/>
    <m/>
    <m/>
    <m/>
    <m/>
    <m/>
    <m/>
    <m/>
    <m/>
    <n v="20"/>
    <n v="20"/>
    <n v="40"/>
    <m/>
    <m/>
    <m/>
    <m/>
    <n v="80"/>
    <m/>
    <m/>
    <m/>
    <m/>
    <m/>
    <m/>
    <m/>
    <m/>
    <n v="0"/>
    <m/>
    <m/>
    <m/>
    <m/>
    <m/>
    <m/>
    <m/>
    <m/>
    <n v="0"/>
    <m/>
    <m/>
    <m/>
    <m/>
    <m/>
    <m/>
    <m/>
    <m/>
    <n v="0"/>
    <n v="8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80"/>
    <n v="0.04"/>
  </r>
  <r>
    <x v="15"/>
    <s v="PP"/>
    <s v="verabschiedet"/>
    <x v="1"/>
    <s v="Park- &amp; Grünanlagen"/>
    <n v="2"/>
    <n v="2"/>
    <m/>
    <s v="2. Priorität Projekt"/>
    <m/>
    <m/>
    <m/>
    <m/>
    <m/>
    <s v="5202-100-0006"/>
    <n v="1"/>
    <n v="0"/>
    <n v="0"/>
    <s v="0006"/>
    <x v="8"/>
    <m/>
    <s v="SGB"/>
    <s v="SSM"/>
    <x v="3"/>
    <x v="1"/>
    <x v="3"/>
    <x v="2"/>
    <x v="4"/>
    <x v="2"/>
    <x v="4"/>
    <m/>
    <m/>
    <m/>
    <x v="9"/>
    <s v="angemeldet"/>
    <s v="bewilligt"/>
    <m/>
    <n v="2000000"/>
    <m/>
    <m/>
    <n v="2000000"/>
    <m/>
    <m/>
    <n v="2000000"/>
    <m/>
    <m/>
    <m/>
    <m/>
    <m/>
    <m/>
    <m/>
    <m/>
    <m/>
    <m/>
    <m/>
    <m/>
    <m/>
    <m/>
    <m/>
    <m/>
    <m/>
    <m/>
    <m/>
    <m/>
    <m/>
    <m/>
    <n v="0"/>
    <m/>
    <m/>
    <n v="20"/>
    <m/>
    <n v="20"/>
    <m/>
    <m/>
    <m/>
    <m/>
    <m/>
    <n v="20"/>
    <n v="20"/>
    <m/>
    <n v="40"/>
    <m/>
    <m/>
    <m/>
    <m/>
    <m/>
    <m/>
    <m/>
    <m/>
    <n v="0"/>
    <m/>
    <m/>
    <m/>
    <m/>
    <m/>
    <m/>
    <m/>
    <m/>
    <n v="0"/>
    <n v="6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60"/>
    <n v="0.03"/>
  </r>
  <r>
    <x v="16"/>
    <s v="PP"/>
    <s v="nicht vorhanden"/>
    <x v="2"/>
    <s v="Planungen, Studien, Arealentwicklung"/>
    <n v="2"/>
    <n v="2"/>
    <m/>
    <s v="2. Priorität Projekt"/>
    <m/>
    <m/>
    <m/>
    <m/>
    <m/>
    <s v="5202-200-0002"/>
    <n v="2"/>
    <n v="0"/>
    <n v="0"/>
    <s v="0002"/>
    <x v="3"/>
    <m/>
    <s v="SPA"/>
    <s v="Stab"/>
    <x v="6"/>
    <x v="3"/>
    <x v="6"/>
    <x v="3"/>
    <x v="3"/>
    <x v="1"/>
    <x v="1"/>
    <m/>
    <m/>
    <m/>
    <x v="2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n v="8"/>
    <n v="8"/>
    <n v="8"/>
    <m/>
    <m/>
    <m/>
    <m/>
    <n v="24"/>
    <m/>
    <n v="8"/>
    <n v="8"/>
    <n v="8"/>
    <m/>
    <m/>
    <m/>
    <m/>
    <n v="24"/>
    <m/>
    <n v="8"/>
    <n v="8"/>
    <n v="8"/>
    <m/>
    <m/>
    <m/>
    <m/>
    <n v="24"/>
    <m/>
    <n v="8"/>
    <n v="8"/>
    <n v="8"/>
    <m/>
    <m/>
    <m/>
    <m/>
    <n v="24"/>
    <n v="96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96"/>
    <n v="4.8000000000000001E-2"/>
  </r>
  <r>
    <x v="17"/>
    <s v="PP"/>
    <s v="verabschiedet"/>
    <x v="0"/>
    <m/>
    <m/>
    <m/>
    <m/>
    <m/>
    <m/>
    <m/>
    <m/>
    <m/>
    <m/>
    <s v="5202-110-0006"/>
    <n v="1"/>
    <n v="1"/>
    <n v="0"/>
    <s v="0006"/>
    <x v="8"/>
    <m/>
    <s v="SGB"/>
    <s v="SSM"/>
    <x v="3"/>
    <x v="1"/>
    <x v="3"/>
    <x v="2"/>
    <x v="4"/>
    <x v="5"/>
    <x v="3"/>
    <m/>
    <m/>
    <m/>
    <x v="0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s v="offen"/>
    <m/>
    <s v="offen"/>
    <m/>
    <s v="offen"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18"/>
    <s v="PP"/>
    <s v="verabschiedet"/>
    <x v="0"/>
    <m/>
    <m/>
    <m/>
    <m/>
    <m/>
    <m/>
    <m/>
    <m/>
    <m/>
    <m/>
    <s v="5202-110-0006"/>
    <n v="1"/>
    <n v="2"/>
    <n v="0"/>
    <s v="0006"/>
    <x v="8"/>
    <m/>
    <s v="SGB"/>
    <s v="SSM"/>
    <x v="3"/>
    <x v="1"/>
    <x v="3"/>
    <x v="2"/>
    <x v="4"/>
    <x v="5"/>
    <x v="3"/>
    <m/>
    <m/>
    <m/>
    <x v="0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s v="offen"/>
    <m/>
    <s v="offen"/>
    <m/>
    <s v="offen"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19"/>
    <s v="PP"/>
    <s v="nicht vorhanden"/>
    <x v="2"/>
    <s v="Grauraum (Strassen, Plätze &amp; Verkehr)"/>
    <n v="2"/>
    <n v="2"/>
    <m/>
    <s v="2. Priorität Projekt"/>
    <m/>
    <m/>
    <m/>
    <m/>
    <m/>
    <s v="5202-200-0003"/>
    <n v="2"/>
    <n v="0"/>
    <n v="0"/>
    <s v="0003"/>
    <x v="8"/>
    <m/>
    <s v="SBB"/>
    <s v="SSM"/>
    <x v="5"/>
    <x v="4"/>
    <x v="8"/>
    <x v="5"/>
    <x v="1"/>
    <x v="4"/>
    <x v="1"/>
    <m/>
    <m/>
    <m/>
    <x v="2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n v="0"/>
    <n v="20"/>
    <n v="20"/>
    <m/>
    <m/>
    <m/>
    <m/>
    <n v="40"/>
    <m/>
    <n v="0"/>
    <n v="20"/>
    <n v="40"/>
    <m/>
    <m/>
    <m/>
    <m/>
    <n v="60"/>
    <m/>
    <n v="0"/>
    <n v="20"/>
    <n v="20"/>
    <m/>
    <m/>
    <m/>
    <m/>
    <n v="40"/>
    <m/>
    <n v="0"/>
    <n v="20"/>
    <n v="20"/>
    <m/>
    <m/>
    <m/>
    <m/>
    <n v="40"/>
    <n v="18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180"/>
    <n v="0.09"/>
  </r>
  <r>
    <x v="20"/>
    <s v="PP"/>
    <s v="nicht vorhanden"/>
    <x v="2"/>
    <s v="Grauraum (Strassen, Plätze &amp; Verkehr)"/>
    <n v="2"/>
    <n v="4"/>
    <m/>
    <s v="2. Priorität Projekt"/>
    <s v="Bekanntes und gut organisiertes Projekt"/>
    <s v="monatlich"/>
    <m/>
    <m/>
    <m/>
    <s v="5202-200-0004"/>
    <n v="2"/>
    <n v="0"/>
    <n v="0"/>
    <s v="0004"/>
    <x v="9"/>
    <m/>
    <s v="TAB"/>
    <s v="SSM"/>
    <x v="5"/>
    <x v="1"/>
    <x v="9"/>
    <x v="5"/>
    <x v="1"/>
    <x v="4"/>
    <x v="1"/>
    <m/>
    <m/>
    <m/>
    <x v="2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n v="60"/>
    <m/>
    <m/>
    <m/>
    <m/>
    <m/>
    <m/>
    <n v="60"/>
    <m/>
    <m/>
    <m/>
    <m/>
    <m/>
    <m/>
    <m/>
    <m/>
    <n v="0"/>
    <m/>
    <m/>
    <m/>
    <m/>
    <m/>
    <m/>
    <m/>
    <m/>
    <n v="0"/>
    <m/>
    <m/>
    <m/>
    <m/>
    <m/>
    <m/>
    <m/>
    <m/>
    <n v="0"/>
    <n v="6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60"/>
    <n v="0.03"/>
  </r>
  <r>
    <x v="21"/>
    <s v="offen"/>
    <s v="X"/>
    <x v="0"/>
    <m/>
    <m/>
    <m/>
    <m/>
    <m/>
    <m/>
    <m/>
    <m/>
    <m/>
    <m/>
    <s v="5202-500-0001"/>
    <n v="5"/>
    <n v="0"/>
    <n v="0"/>
    <s v="0001"/>
    <x v="2"/>
    <m/>
    <s v="offen"/>
    <s v="Stab"/>
    <x v="6"/>
    <x v="1"/>
    <x v="4"/>
    <x v="5"/>
    <x v="1"/>
    <x v="4"/>
    <x v="1"/>
    <m/>
    <m/>
    <m/>
    <x v="10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22"/>
    <m/>
    <m/>
    <x v="0"/>
    <m/>
    <m/>
    <m/>
    <m/>
    <m/>
    <m/>
    <m/>
    <m/>
    <m/>
    <m/>
    <m/>
    <m/>
    <m/>
    <m/>
    <m/>
    <x v="0"/>
    <m/>
    <m/>
    <s v="x"/>
    <x v="7"/>
    <x v="0"/>
    <x v="0"/>
    <x v="0"/>
    <x v="0"/>
    <x v="0"/>
    <x v="0"/>
    <m/>
    <m/>
    <m/>
    <x v="8"/>
    <m/>
    <m/>
    <m/>
    <m/>
    <m/>
    <m/>
    <m/>
    <m/>
    <n v="8000"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m/>
  </r>
  <r>
    <x v="23"/>
    <s v="offen"/>
    <s v="offen"/>
    <x v="0"/>
    <m/>
    <m/>
    <m/>
    <m/>
    <m/>
    <m/>
    <m/>
    <m/>
    <m/>
    <m/>
    <s v="5202-500-0002"/>
    <n v="5"/>
    <n v="0"/>
    <n v="0"/>
    <s v="0002"/>
    <x v="2"/>
    <m/>
    <s v="offen"/>
    <s v="offen"/>
    <x v="2"/>
    <x v="5"/>
    <x v="4"/>
    <x v="3"/>
    <x v="3"/>
    <x v="1"/>
    <x v="3"/>
    <m/>
    <m/>
    <m/>
    <x v="3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24"/>
    <s v="offen"/>
    <s v="offen"/>
    <x v="0"/>
    <m/>
    <m/>
    <m/>
    <m/>
    <m/>
    <m/>
    <m/>
    <m/>
    <m/>
    <m/>
    <s v="5202-200-0005"/>
    <n v="2"/>
    <n v="0"/>
    <n v="0"/>
    <s v="0005"/>
    <x v="2"/>
    <m/>
    <s v="offen"/>
    <s v="offen"/>
    <x v="6"/>
    <x v="5"/>
    <x v="2"/>
    <x v="5"/>
    <x v="1"/>
    <x v="4"/>
    <x v="1"/>
    <m/>
    <m/>
    <m/>
    <x v="2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25"/>
    <s v="PP"/>
    <s v="nicht vorhanden"/>
    <x v="2"/>
    <s v="Planungen, Studien, Arealentwicklung"/>
    <n v="1"/>
    <n v="1"/>
    <m/>
    <s v="1. Priorität Projekt"/>
    <m/>
    <m/>
    <m/>
    <m/>
    <m/>
    <m/>
    <m/>
    <m/>
    <m/>
    <m/>
    <x v="0"/>
    <m/>
    <s v="Andere"/>
    <s v="Stab"/>
    <x v="5"/>
    <x v="2"/>
    <x v="7"/>
    <x v="5"/>
    <x v="1"/>
    <x v="4"/>
    <x v="1"/>
    <m/>
    <m/>
    <m/>
    <x v="2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n v="0"/>
    <n v="40"/>
    <n v="100"/>
    <m/>
    <m/>
    <m/>
    <m/>
    <n v="140"/>
    <m/>
    <m/>
    <m/>
    <m/>
    <m/>
    <m/>
    <m/>
    <m/>
    <n v="0"/>
    <m/>
    <m/>
    <m/>
    <m/>
    <m/>
    <m/>
    <m/>
    <m/>
    <n v="0"/>
    <m/>
    <m/>
    <m/>
    <m/>
    <m/>
    <m/>
    <m/>
    <m/>
    <n v="0"/>
    <n v="14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140"/>
    <n v="7.0000000000000007E-2"/>
  </r>
  <r>
    <x v="26"/>
    <s v="PP"/>
    <s v="nicht vorhanden"/>
    <x v="1"/>
    <s v="Natur &amp; Ökologie"/>
    <n v="4"/>
    <n v="1"/>
    <m/>
    <s v="2. Priorität Projekt"/>
    <m/>
    <m/>
    <m/>
    <m/>
    <m/>
    <s v="5202-500-0015"/>
    <n v="5"/>
    <n v="0"/>
    <n v="0"/>
    <s v="0015"/>
    <x v="1"/>
    <m/>
    <s v="SGB"/>
    <s v="NÖ"/>
    <x v="1"/>
    <x v="0"/>
    <x v="0"/>
    <x v="0"/>
    <x v="0"/>
    <x v="0"/>
    <x v="0"/>
    <m/>
    <m/>
    <m/>
    <x v="1"/>
    <m/>
    <m/>
    <m/>
    <m/>
    <m/>
    <m/>
    <m/>
    <m/>
    <n v="2000"/>
    <m/>
    <m/>
    <n v="2000"/>
    <m/>
    <n v="2000"/>
    <m/>
    <n v="2000"/>
    <m/>
    <n v="2000"/>
    <m/>
    <n v="2000"/>
    <m/>
    <n v="2000"/>
    <m/>
    <n v="2000"/>
    <m/>
    <n v="2000"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m/>
  </r>
  <r>
    <x v="27"/>
    <s v="Radar"/>
    <s v="nicht vorhanden"/>
    <x v="2"/>
    <s v="Planungen, Studien, Arealentwicklung"/>
    <n v="4"/>
    <n v="4"/>
    <m/>
    <s v="3. Priorität Projekt"/>
    <m/>
    <m/>
    <m/>
    <m/>
    <m/>
    <s v="5202-200-0006"/>
    <n v="2"/>
    <n v="0"/>
    <n v="0"/>
    <s v="0006"/>
    <x v="5"/>
    <m/>
    <s v="SPA"/>
    <s v="SSM"/>
    <x v="2"/>
    <x v="5"/>
    <x v="4"/>
    <x v="3"/>
    <x v="3"/>
    <x v="1"/>
    <x v="1"/>
    <m/>
    <m/>
    <m/>
    <x v="2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28"/>
    <s v="PP"/>
    <s v="nicht vorhanden"/>
    <x v="2"/>
    <s v="Verwaltungsvermögen (HSB)"/>
    <n v="2"/>
    <n v="2"/>
    <m/>
    <s v="2. Priorität Projekt"/>
    <m/>
    <m/>
    <m/>
    <m/>
    <m/>
    <s v="5202-200-0007"/>
    <n v="2"/>
    <n v="0"/>
    <n v="0"/>
    <s v="0007"/>
    <x v="10"/>
    <m/>
    <s v="HSB "/>
    <s v="SSM"/>
    <x v="3"/>
    <x v="1"/>
    <x v="6"/>
    <x v="5"/>
    <x v="1"/>
    <x v="4"/>
    <x v="1"/>
    <m/>
    <m/>
    <m/>
    <x v="2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n v="8"/>
    <m/>
    <n v="20"/>
    <m/>
    <m/>
    <m/>
    <m/>
    <n v="28"/>
    <m/>
    <n v="8"/>
    <m/>
    <n v="20"/>
    <m/>
    <m/>
    <m/>
    <m/>
    <n v="28"/>
    <m/>
    <n v="8"/>
    <m/>
    <n v="20"/>
    <m/>
    <m/>
    <m/>
    <m/>
    <n v="28"/>
    <m/>
    <n v="8"/>
    <m/>
    <n v="20"/>
    <m/>
    <m/>
    <m/>
    <m/>
    <n v="28"/>
    <n v="112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112"/>
    <n v="5.6000000000000001E-2"/>
  </r>
  <r>
    <x v="29"/>
    <s v="offen"/>
    <s v="offen"/>
    <x v="1"/>
    <s v="Natur &amp; Ökologie"/>
    <n v="3"/>
    <n v="1"/>
    <m/>
    <s v="2. Priorität Projekt"/>
    <m/>
    <m/>
    <m/>
    <m/>
    <m/>
    <s v="5202-500-0003"/>
    <n v="5"/>
    <n v="0"/>
    <n v="0"/>
    <s v="0003"/>
    <x v="2"/>
    <m/>
    <s v="SGB"/>
    <s v="NÖ"/>
    <x v="1"/>
    <x v="5"/>
    <x v="10"/>
    <x v="3"/>
    <x v="3"/>
    <x v="1"/>
    <x v="1"/>
    <m/>
    <m/>
    <m/>
    <x v="11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30"/>
    <s v="PP"/>
    <s v="verabschiedet"/>
    <x v="1"/>
    <s v="Park- &amp; Grünanlagen"/>
    <n v="2"/>
    <n v="2"/>
    <m/>
    <s v="2. Priorität Projekt"/>
    <m/>
    <m/>
    <m/>
    <m/>
    <s v="Ja "/>
    <s v="5202-100-0008"/>
    <n v="1"/>
    <n v="0"/>
    <n v="0"/>
    <s v="0008"/>
    <x v="7"/>
    <m/>
    <s v="SGB"/>
    <s v="SSM"/>
    <x v="3"/>
    <x v="1"/>
    <x v="8"/>
    <x v="5"/>
    <x v="1"/>
    <x v="4"/>
    <x v="3"/>
    <m/>
    <m/>
    <m/>
    <x v="9"/>
    <s v="angemeldet"/>
    <s v="bewilligt"/>
    <s v="I5200208 "/>
    <n v="474000"/>
    <m/>
    <n v="62447"/>
    <n v="411553"/>
    <m/>
    <n v="400000"/>
    <n v="11553"/>
    <m/>
    <s v="X"/>
    <m/>
    <m/>
    <m/>
    <m/>
    <m/>
    <m/>
    <m/>
    <m/>
    <m/>
    <m/>
    <m/>
    <m/>
    <m/>
    <m/>
    <m/>
    <m/>
    <m/>
    <m/>
    <n v="8"/>
    <m/>
    <n v="40"/>
    <m/>
    <m/>
    <m/>
    <m/>
    <n v="48"/>
    <m/>
    <n v="8"/>
    <m/>
    <n v="20"/>
    <m/>
    <m/>
    <m/>
    <m/>
    <n v="28"/>
    <m/>
    <n v="8"/>
    <m/>
    <n v="20"/>
    <m/>
    <m/>
    <m/>
    <m/>
    <n v="28"/>
    <m/>
    <n v="8"/>
    <m/>
    <n v="20"/>
    <m/>
    <m/>
    <m/>
    <m/>
    <n v="28"/>
    <n v="132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132"/>
    <n v="6.6000000000000003E-2"/>
  </r>
  <r>
    <x v="31"/>
    <s v="offen"/>
    <s v="offen"/>
    <x v="1"/>
    <s v="Natur &amp; Ökologie"/>
    <n v="4"/>
    <n v="1"/>
    <m/>
    <s v="2. Priorität Projekt"/>
    <m/>
    <m/>
    <m/>
    <m/>
    <m/>
    <s v="5202-100-0009"/>
    <n v="1"/>
    <n v="0"/>
    <n v="0"/>
    <s v="0009"/>
    <x v="2"/>
    <m/>
    <s v="SGB"/>
    <s v="NÖ"/>
    <x v="1"/>
    <x v="5"/>
    <x v="1"/>
    <x v="3"/>
    <x v="3"/>
    <x v="1"/>
    <x v="0"/>
    <m/>
    <m/>
    <m/>
    <x v="1"/>
    <m/>
    <m/>
    <m/>
    <m/>
    <m/>
    <m/>
    <m/>
    <m/>
    <n v="10000"/>
    <m/>
    <m/>
    <n v="10000"/>
    <m/>
    <n v="10000"/>
    <m/>
    <n v="10000"/>
    <m/>
    <n v="10000"/>
    <m/>
    <n v="10000"/>
    <m/>
    <n v="10000"/>
    <m/>
    <n v="10000"/>
    <m/>
    <n v="10000"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32"/>
    <m/>
    <m/>
    <x v="1"/>
    <s v="Natur &amp; Ökologie"/>
    <n v="3"/>
    <n v="1"/>
    <m/>
    <s v="2. Priorität Projekt"/>
    <m/>
    <m/>
    <m/>
    <m/>
    <m/>
    <s v="5202-500-0015"/>
    <n v="5"/>
    <n v="0"/>
    <n v="0"/>
    <s v="0015"/>
    <x v="1"/>
    <m/>
    <s v="SGB"/>
    <s v="NÖ"/>
    <x v="1"/>
    <x v="0"/>
    <x v="1"/>
    <x v="0"/>
    <x v="0"/>
    <x v="0"/>
    <x v="0"/>
    <m/>
    <m/>
    <m/>
    <x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m/>
  </r>
  <r>
    <x v="33"/>
    <s v="PP"/>
    <s v="nicht vorhanden"/>
    <x v="2"/>
    <s v="Verwaltungsvermögen (HSB)"/>
    <n v="3"/>
    <n v="3"/>
    <m/>
    <s v="2. Priorität Projekt"/>
    <m/>
    <m/>
    <m/>
    <m/>
    <m/>
    <s v="5202-200-0008"/>
    <n v="2"/>
    <n v="0"/>
    <n v="0"/>
    <s v="0008"/>
    <x v="11"/>
    <m/>
    <s v="HSB "/>
    <s v="SSM"/>
    <x v="3"/>
    <x v="1"/>
    <x v="11"/>
    <x v="5"/>
    <x v="1"/>
    <x v="4"/>
    <x v="1"/>
    <m/>
    <m/>
    <m/>
    <x v="2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n v="20"/>
    <m/>
    <m/>
    <m/>
    <m/>
    <n v="20"/>
    <m/>
    <m/>
    <m/>
    <m/>
    <m/>
    <m/>
    <m/>
    <m/>
    <n v="0"/>
    <m/>
    <m/>
    <m/>
    <m/>
    <m/>
    <m/>
    <m/>
    <m/>
    <n v="0"/>
    <m/>
    <m/>
    <m/>
    <m/>
    <m/>
    <m/>
    <m/>
    <m/>
    <n v="0"/>
    <n v="2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20"/>
    <n v="0.01"/>
  </r>
  <r>
    <x v="34"/>
    <s v="PP"/>
    <s v="nicht vorhanden"/>
    <x v="2"/>
    <s v="Grauraum (Strassen, Plätze &amp; Verkehr)"/>
    <n v="3"/>
    <n v="2"/>
    <m/>
    <s v="2. Priorität Projekt"/>
    <m/>
    <m/>
    <m/>
    <m/>
    <m/>
    <s v="5202-200-0009"/>
    <n v="2"/>
    <n v="0"/>
    <n v="0"/>
    <s v="0009"/>
    <x v="12"/>
    <m/>
    <s v="SGB"/>
    <s v="SSM"/>
    <x v="3"/>
    <x v="1"/>
    <x v="9"/>
    <x v="5"/>
    <x v="1"/>
    <x v="4"/>
    <x v="1"/>
    <m/>
    <m/>
    <m/>
    <x v="2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n v="20"/>
    <m/>
    <m/>
    <m/>
    <m/>
    <n v="20"/>
    <m/>
    <m/>
    <m/>
    <n v="8"/>
    <m/>
    <m/>
    <m/>
    <m/>
    <n v="8"/>
    <m/>
    <m/>
    <m/>
    <n v="8"/>
    <m/>
    <m/>
    <m/>
    <m/>
    <n v="8"/>
    <m/>
    <m/>
    <m/>
    <n v="8"/>
    <m/>
    <m/>
    <m/>
    <m/>
    <n v="8"/>
    <n v="44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44"/>
    <n v="2.1999999999999999E-2"/>
  </r>
  <r>
    <x v="35"/>
    <s v="PP"/>
    <s v="nicht vorhanden"/>
    <x v="2"/>
    <s v="Grauraum (Strassen, Plätze &amp; Verkehr)"/>
    <n v="4"/>
    <n v="4"/>
    <m/>
    <s v="3. Priorität Projekt"/>
    <m/>
    <m/>
    <m/>
    <m/>
    <m/>
    <s v="5202-200-0010"/>
    <n v="2"/>
    <n v="0"/>
    <n v="0"/>
    <s v="0010"/>
    <x v="9"/>
    <m/>
    <s v="TAB"/>
    <s v="SSM"/>
    <x v="3"/>
    <x v="1"/>
    <x v="9"/>
    <x v="5"/>
    <x v="1"/>
    <x v="4"/>
    <x v="1"/>
    <m/>
    <m/>
    <m/>
    <x v="2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n v="40"/>
    <m/>
    <m/>
    <m/>
    <m/>
    <n v="40"/>
    <m/>
    <m/>
    <m/>
    <m/>
    <m/>
    <m/>
    <m/>
    <m/>
    <n v="0"/>
    <m/>
    <m/>
    <m/>
    <m/>
    <m/>
    <m/>
    <m/>
    <m/>
    <n v="0"/>
    <m/>
    <m/>
    <m/>
    <m/>
    <m/>
    <m/>
    <m/>
    <m/>
    <n v="0"/>
    <n v="4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40"/>
    <n v="0.02"/>
  </r>
  <r>
    <x v="36"/>
    <s v="PP"/>
    <s v="offen"/>
    <x v="3"/>
    <s v="Grundlagenarbeit, Planung &amp; Diverses"/>
    <n v="3"/>
    <n v="2"/>
    <m/>
    <s v="2. Priorität Projekt"/>
    <m/>
    <m/>
    <m/>
    <m/>
    <m/>
    <s v="5202-100-0013"/>
    <n v="1"/>
    <n v="0"/>
    <n v="0"/>
    <s v="0013"/>
    <x v="1"/>
    <m/>
    <s v="SGB"/>
    <s v="GG"/>
    <x v="4"/>
    <x v="1"/>
    <x v="5"/>
    <x v="5"/>
    <x v="2"/>
    <x v="3"/>
    <x v="4"/>
    <m/>
    <m/>
    <m/>
    <x v="12"/>
    <m/>
    <m/>
    <m/>
    <n v="4000"/>
    <m/>
    <m/>
    <n v="4000"/>
    <m/>
    <n v="4000"/>
    <m/>
    <m/>
    <m/>
    <m/>
    <m/>
    <m/>
    <m/>
    <m/>
    <m/>
    <m/>
    <m/>
    <m/>
    <m/>
    <m/>
    <m/>
    <m/>
    <m/>
    <m/>
    <m/>
    <m/>
    <m/>
    <n v="8"/>
    <m/>
    <m/>
    <m/>
    <m/>
    <m/>
    <m/>
    <n v="8"/>
    <m/>
    <m/>
    <m/>
    <m/>
    <m/>
    <m/>
    <m/>
    <m/>
    <n v="0"/>
    <m/>
    <m/>
    <m/>
    <m/>
    <m/>
    <m/>
    <m/>
    <m/>
    <n v="0"/>
    <m/>
    <m/>
    <m/>
    <m/>
    <m/>
    <m/>
    <m/>
    <m/>
    <n v="0"/>
    <n v="8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8"/>
    <n v="4.0000000000000001E-3"/>
  </r>
  <r>
    <x v="37"/>
    <s v="PP"/>
    <s v="verabschiedet"/>
    <x v="1"/>
    <s v="Friedhof "/>
    <n v="2"/>
    <n v="1"/>
    <m/>
    <s v="2. Priorität Projekt"/>
    <m/>
    <m/>
    <m/>
    <m/>
    <s v="Nein"/>
    <s v="5202-100-0014"/>
    <n v="1"/>
    <n v="0"/>
    <n v="0"/>
    <s v="0014"/>
    <x v="13"/>
    <m/>
    <s v="SGB"/>
    <s v="GG"/>
    <x v="4"/>
    <x v="1"/>
    <x v="12"/>
    <x v="6"/>
    <x v="4"/>
    <x v="2"/>
    <x v="4"/>
    <m/>
    <m/>
    <m/>
    <x v="5"/>
    <s v="angemeldet"/>
    <s v="bewilligt"/>
    <s v="I5120036"/>
    <n v="225000"/>
    <m/>
    <m/>
    <n v="225000"/>
    <m/>
    <n v="200000"/>
    <n v="25000"/>
    <m/>
    <m/>
    <m/>
    <m/>
    <m/>
    <m/>
    <m/>
    <m/>
    <m/>
    <m/>
    <m/>
    <m/>
    <m/>
    <m/>
    <m/>
    <m/>
    <m/>
    <m/>
    <m/>
    <m/>
    <n v="8"/>
    <m/>
    <n v="60"/>
    <m/>
    <n v="40"/>
    <n v="40"/>
    <m/>
    <n v="148"/>
    <m/>
    <n v="8"/>
    <m/>
    <n v="60"/>
    <m/>
    <n v="20"/>
    <n v="20"/>
    <m/>
    <n v="108"/>
    <m/>
    <m/>
    <m/>
    <m/>
    <m/>
    <m/>
    <m/>
    <m/>
    <n v="0"/>
    <m/>
    <m/>
    <m/>
    <m/>
    <m/>
    <m/>
    <m/>
    <m/>
    <n v="0"/>
    <n v="256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256"/>
    <n v="0.128"/>
  </r>
  <r>
    <x v="38"/>
    <s v="PP"/>
    <s v="offen"/>
    <x v="1"/>
    <s v="Friedhof "/>
    <n v="3"/>
    <n v="2"/>
    <m/>
    <s v="2. Priorität Projekt"/>
    <m/>
    <m/>
    <m/>
    <m/>
    <m/>
    <s v="5202-100-0011"/>
    <n v="1"/>
    <n v="0"/>
    <n v="0"/>
    <s v="0011"/>
    <x v="5"/>
    <s v="Eröffnung 2022"/>
    <s v="SGB"/>
    <s v="GG"/>
    <x v="4"/>
    <x v="1"/>
    <x v="4"/>
    <x v="3"/>
    <x v="3"/>
    <x v="1"/>
    <x v="4"/>
    <m/>
    <m/>
    <m/>
    <x v="5"/>
    <m/>
    <s v="offen"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39"/>
    <s v="PP"/>
    <s v="offen"/>
    <x v="0"/>
    <m/>
    <m/>
    <m/>
    <m/>
    <m/>
    <m/>
    <m/>
    <m/>
    <m/>
    <m/>
    <s v="5202-110-0014"/>
    <n v="1"/>
    <n v="1"/>
    <n v="0"/>
    <s v="0014"/>
    <x v="2"/>
    <m/>
    <s v="SGB"/>
    <s v="offen"/>
    <x v="2"/>
    <x v="1"/>
    <x v="4"/>
    <x v="3"/>
    <x v="3"/>
    <x v="1"/>
    <x v="3"/>
    <m/>
    <m/>
    <m/>
    <x v="4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s v="offen"/>
    <m/>
    <s v="offen"/>
    <m/>
    <s v="offen"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40"/>
    <s v="PP"/>
    <s v="offen"/>
    <x v="0"/>
    <m/>
    <m/>
    <m/>
    <m/>
    <m/>
    <m/>
    <m/>
    <m/>
    <m/>
    <m/>
    <s v="5202-110-0014"/>
    <n v="1"/>
    <n v="2"/>
    <n v="0"/>
    <s v="0014"/>
    <x v="2"/>
    <m/>
    <s v="SGB"/>
    <s v="offen"/>
    <x v="2"/>
    <x v="1"/>
    <x v="4"/>
    <x v="3"/>
    <x v="3"/>
    <x v="1"/>
    <x v="3"/>
    <m/>
    <m/>
    <m/>
    <x v="4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s v="offen"/>
    <m/>
    <s v="offen"/>
    <m/>
    <s v="offen"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41"/>
    <s v="PP"/>
    <s v="offen"/>
    <x v="1"/>
    <s v="Friedhof "/>
    <n v="3"/>
    <n v="2"/>
    <m/>
    <s v="2. Priorität Projekt"/>
    <m/>
    <m/>
    <m/>
    <m/>
    <m/>
    <s v="5202-100-0015"/>
    <n v="1"/>
    <n v="0"/>
    <n v="0"/>
    <s v="0015"/>
    <x v="5"/>
    <s v="Eröffnung 2022"/>
    <s v="SGB"/>
    <s v="GG"/>
    <x v="4"/>
    <x v="1"/>
    <x v="4"/>
    <x v="3"/>
    <x v="3"/>
    <x v="1"/>
    <x v="4"/>
    <m/>
    <m/>
    <m/>
    <x v="5"/>
    <m/>
    <m/>
    <m/>
    <n v="170000"/>
    <m/>
    <m/>
    <n v="170000"/>
    <m/>
    <m/>
    <n v="170000"/>
    <m/>
    <n v="100000"/>
    <m/>
    <n v="70000"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42"/>
    <s v="PP"/>
    <s v="verabschiedet"/>
    <x v="3"/>
    <s v="Grundlagenarbeit, Planung &amp; Diverses"/>
    <n v="2"/>
    <n v="1"/>
    <m/>
    <s v="2. Priorität Projekt"/>
    <m/>
    <m/>
    <m/>
    <m/>
    <s v="Nein"/>
    <m/>
    <m/>
    <m/>
    <m/>
    <m/>
    <x v="1"/>
    <m/>
    <s v="SGB"/>
    <s v="GG"/>
    <x v="4"/>
    <x v="1"/>
    <x v="5"/>
    <x v="5"/>
    <x v="2"/>
    <x v="3"/>
    <x v="4"/>
    <m/>
    <m/>
    <m/>
    <x v="6"/>
    <m/>
    <m/>
    <m/>
    <n v="7000"/>
    <m/>
    <m/>
    <n v="7000"/>
    <m/>
    <n v="7000"/>
    <m/>
    <m/>
    <m/>
    <m/>
    <m/>
    <m/>
    <m/>
    <m/>
    <m/>
    <m/>
    <m/>
    <m/>
    <m/>
    <m/>
    <m/>
    <m/>
    <m/>
    <m/>
    <m/>
    <m/>
    <m/>
    <n v="20"/>
    <m/>
    <m/>
    <m/>
    <m/>
    <m/>
    <m/>
    <n v="20"/>
    <m/>
    <m/>
    <m/>
    <m/>
    <m/>
    <m/>
    <m/>
    <m/>
    <n v="0"/>
    <m/>
    <m/>
    <m/>
    <m/>
    <m/>
    <m/>
    <m/>
    <m/>
    <n v="0"/>
    <m/>
    <m/>
    <m/>
    <m/>
    <m/>
    <m/>
    <m/>
    <m/>
    <n v="0"/>
    <n v="2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20"/>
    <n v="0.01"/>
  </r>
  <r>
    <x v="43"/>
    <s v="PP"/>
    <s v="verabschiedet"/>
    <x v="1"/>
    <s v="Park- &amp; Grünanlagen"/>
    <n v="2"/>
    <n v="1"/>
    <m/>
    <s v="2. Priorität Projekt"/>
    <m/>
    <m/>
    <m/>
    <m/>
    <m/>
    <s v="5202-100-0017"/>
    <n v="1"/>
    <n v="0"/>
    <n v="0"/>
    <s v="0017"/>
    <x v="11"/>
    <m/>
    <s v="SGB"/>
    <s v="GG"/>
    <x v="4"/>
    <x v="1"/>
    <x v="12"/>
    <x v="5"/>
    <x v="1"/>
    <x v="4"/>
    <x v="1"/>
    <m/>
    <m/>
    <m/>
    <x v="4"/>
    <s v="angemeldet"/>
    <s v="bewilligt"/>
    <s v="I52000219"/>
    <n v="785000"/>
    <m/>
    <n v="555427"/>
    <n v="229573"/>
    <m/>
    <m/>
    <n v="229573"/>
    <m/>
    <n v="229573"/>
    <m/>
    <m/>
    <m/>
    <m/>
    <m/>
    <m/>
    <m/>
    <m/>
    <m/>
    <m/>
    <m/>
    <m/>
    <m/>
    <m/>
    <m/>
    <m/>
    <m/>
    <m/>
    <n v="0"/>
    <m/>
    <n v="20"/>
    <m/>
    <m/>
    <m/>
    <m/>
    <n v="20"/>
    <m/>
    <m/>
    <m/>
    <m/>
    <m/>
    <m/>
    <m/>
    <m/>
    <n v="0"/>
    <m/>
    <m/>
    <m/>
    <m/>
    <m/>
    <m/>
    <m/>
    <m/>
    <n v="0"/>
    <m/>
    <m/>
    <m/>
    <m/>
    <m/>
    <m/>
    <m/>
    <m/>
    <n v="0"/>
    <n v="20"/>
    <m/>
    <n v="100"/>
    <m/>
    <m/>
    <m/>
    <m/>
    <m/>
    <m/>
    <n v="100"/>
    <m/>
    <m/>
    <m/>
    <m/>
    <m/>
    <m/>
    <m/>
    <m/>
    <n v="0"/>
    <m/>
    <m/>
    <m/>
    <m/>
    <m/>
    <m/>
    <m/>
    <m/>
    <n v="0"/>
    <m/>
    <m/>
    <m/>
    <m/>
    <n v="120"/>
    <n v="0.06"/>
  </r>
  <r>
    <x v="44"/>
    <s v="PP"/>
    <s v="verabschiedet"/>
    <x v="1"/>
    <s v="Friedhof "/>
    <n v="2"/>
    <n v="1"/>
    <m/>
    <s v="2. Priorität Projekt"/>
    <m/>
    <m/>
    <m/>
    <m/>
    <s v="Nein"/>
    <m/>
    <m/>
    <m/>
    <m/>
    <m/>
    <x v="10"/>
    <m/>
    <s v="SGB"/>
    <s v="GG"/>
    <x v="4"/>
    <x v="1"/>
    <x v="12"/>
    <x v="4"/>
    <x v="4"/>
    <x v="2"/>
    <x v="1"/>
    <m/>
    <m/>
    <m/>
    <x v="5"/>
    <s v="angemeldet"/>
    <s v="offen"/>
    <m/>
    <n v="280000"/>
    <m/>
    <m/>
    <n v="280000"/>
    <m/>
    <n v="280000"/>
    <m/>
    <m/>
    <m/>
    <m/>
    <m/>
    <m/>
    <m/>
    <m/>
    <m/>
    <m/>
    <m/>
    <m/>
    <m/>
    <m/>
    <m/>
    <m/>
    <m/>
    <m/>
    <m/>
    <m/>
    <m/>
    <n v="20"/>
    <m/>
    <n v="20"/>
    <n v="20"/>
    <n v="20"/>
    <n v="20"/>
    <m/>
    <n v="100"/>
    <m/>
    <m/>
    <m/>
    <n v="20"/>
    <n v="20"/>
    <n v="20"/>
    <n v="20"/>
    <m/>
    <n v="80"/>
    <m/>
    <m/>
    <m/>
    <n v="20"/>
    <n v="20"/>
    <n v="20"/>
    <n v="20"/>
    <m/>
    <n v="80"/>
    <m/>
    <m/>
    <m/>
    <m/>
    <m/>
    <m/>
    <m/>
    <m/>
    <n v="0"/>
    <n v="26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260"/>
    <n v="0.13"/>
  </r>
  <r>
    <x v="45"/>
    <s v="Abgeschl."/>
    <s v="X"/>
    <x v="2"/>
    <s v="Planungen, Studien, Arealentwicklung"/>
    <s v="x"/>
    <s v="x"/>
    <m/>
    <s v="3. Priorität Projekt"/>
    <m/>
    <m/>
    <m/>
    <m/>
    <m/>
    <s v="5202-200-0013"/>
    <n v="2"/>
    <n v="0"/>
    <n v="0"/>
    <s v="0013"/>
    <x v="14"/>
    <m/>
    <s v="Andere"/>
    <s v="x"/>
    <x v="7"/>
    <x v="1"/>
    <x v="5"/>
    <x v="6"/>
    <x v="2"/>
    <x v="3"/>
    <x v="1"/>
    <m/>
    <m/>
    <m/>
    <x v="2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n v="0"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46"/>
    <s v="PP"/>
    <s v="verabschiedet"/>
    <x v="0"/>
    <m/>
    <m/>
    <m/>
    <m/>
    <m/>
    <m/>
    <m/>
    <m/>
    <m/>
    <m/>
    <s v="5202-110-0017"/>
    <n v="1"/>
    <n v="1"/>
    <n v="0"/>
    <s v="0017"/>
    <x v="11"/>
    <m/>
    <s v="SGB"/>
    <s v="GG"/>
    <x v="4"/>
    <x v="1"/>
    <x v="12"/>
    <x v="5"/>
    <x v="1"/>
    <x v="4"/>
    <x v="5"/>
    <m/>
    <m/>
    <m/>
    <x v="4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s v="offen"/>
    <m/>
    <s v="offen"/>
    <m/>
    <s v="offen"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47"/>
    <s v="PP"/>
    <s v="verabschiedet"/>
    <x v="0"/>
    <m/>
    <m/>
    <m/>
    <m/>
    <m/>
    <m/>
    <m/>
    <m/>
    <m/>
    <m/>
    <s v="5202-110-0017"/>
    <n v="1"/>
    <n v="2"/>
    <n v="0"/>
    <s v="0017"/>
    <x v="11"/>
    <m/>
    <s v="SGB"/>
    <s v="GG"/>
    <x v="4"/>
    <x v="1"/>
    <x v="12"/>
    <x v="5"/>
    <x v="1"/>
    <x v="4"/>
    <x v="5"/>
    <m/>
    <m/>
    <m/>
    <x v="4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s v="offen"/>
    <m/>
    <s v="offen"/>
    <m/>
    <s v="offen"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48"/>
    <s v="Abgeschl."/>
    <s v="X"/>
    <x v="0"/>
    <m/>
    <m/>
    <m/>
    <m/>
    <m/>
    <m/>
    <m/>
    <m/>
    <m/>
    <m/>
    <s v="5202-100-0018"/>
    <n v="1"/>
    <n v="0"/>
    <n v="0"/>
    <s v="0018"/>
    <x v="14"/>
    <m/>
    <s v="SGB"/>
    <s v="x"/>
    <x v="7"/>
    <x v="1"/>
    <x v="5"/>
    <x v="6"/>
    <x v="2"/>
    <x v="3"/>
    <x v="0"/>
    <m/>
    <m/>
    <m/>
    <x v="4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49"/>
    <s v="PP"/>
    <s v="verabschiedet"/>
    <x v="3"/>
    <s v="Park- &amp; Grünanlagen "/>
    <n v="2"/>
    <n v="2"/>
    <m/>
    <s v="2. Priorität Projekt"/>
    <m/>
    <m/>
    <m/>
    <m/>
    <m/>
    <m/>
    <m/>
    <m/>
    <m/>
    <m/>
    <x v="13"/>
    <m/>
    <s v="SGB"/>
    <m/>
    <x v="0"/>
    <x v="0"/>
    <x v="0"/>
    <x v="0"/>
    <x v="0"/>
    <x v="0"/>
    <x v="0"/>
    <m/>
    <m/>
    <m/>
    <x v="5"/>
    <s v="angemeldet"/>
    <s v="bewilligt"/>
    <s v="i5200238"/>
    <n v="225000"/>
    <m/>
    <m/>
    <n v="225000"/>
    <m/>
    <n v="22500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m/>
  </r>
  <r>
    <x v="50"/>
    <s v="Abgeschl."/>
    <s v="nicht vorhanden"/>
    <x v="2"/>
    <s v="Verwaltungsvermögen (HSB)"/>
    <n v="3"/>
    <n v="3"/>
    <m/>
    <s v="2. Priorität Projekt"/>
    <m/>
    <m/>
    <m/>
    <m/>
    <m/>
    <s v="5202-200-0014"/>
    <n v="2"/>
    <n v="0"/>
    <n v="0"/>
    <s v="0014"/>
    <x v="2"/>
    <m/>
    <s v="HSB "/>
    <s v="SSM"/>
    <x v="3"/>
    <x v="1"/>
    <x v="8"/>
    <x v="5"/>
    <x v="1"/>
    <x v="4"/>
    <x v="1"/>
    <m/>
    <m/>
    <m/>
    <x v="2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n v="8"/>
    <m/>
    <m/>
    <m/>
    <m/>
    <n v="8"/>
    <m/>
    <m/>
    <m/>
    <m/>
    <m/>
    <m/>
    <m/>
    <m/>
    <n v="0"/>
    <m/>
    <m/>
    <m/>
    <m/>
    <m/>
    <m/>
    <m/>
    <m/>
    <n v="0"/>
    <m/>
    <m/>
    <m/>
    <m/>
    <m/>
    <m/>
    <m/>
    <m/>
    <n v="0"/>
    <n v="8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8"/>
    <n v="4.0000000000000001E-3"/>
  </r>
  <r>
    <x v="51"/>
    <s v="PP"/>
    <s v="offen"/>
    <x v="4"/>
    <s v="Park- &amp; Grünanlagen "/>
    <n v="4"/>
    <n v="4"/>
    <m/>
    <s v="3. Priorität Projekt"/>
    <m/>
    <m/>
    <m/>
    <m/>
    <m/>
    <s v="5202-100-0019"/>
    <n v="1"/>
    <n v="0"/>
    <n v="0"/>
    <s v="0019"/>
    <x v="2"/>
    <m/>
    <s v="SGB"/>
    <s v="GG"/>
    <x v="2"/>
    <x v="1"/>
    <x v="11"/>
    <x v="5"/>
    <x v="1"/>
    <x v="4"/>
    <x v="4"/>
    <m/>
    <m/>
    <m/>
    <x v="11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s v="offen"/>
    <m/>
    <n v="40"/>
    <m/>
    <m/>
    <m/>
    <m/>
    <n v="40"/>
    <m/>
    <m/>
    <m/>
    <m/>
    <m/>
    <m/>
    <m/>
    <m/>
    <n v="0"/>
    <m/>
    <m/>
    <m/>
    <m/>
    <m/>
    <m/>
    <m/>
    <m/>
    <n v="0"/>
    <m/>
    <m/>
    <m/>
    <m/>
    <m/>
    <m/>
    <m/>
    <m/>
    <n v="0"/>
    <n v="4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40"/>
    <n v="0.02"/>
  </r>
  <r>
    <x v="52"/>
    <s v="PP"/>
    <s v="nicht vorhanden"/>
    <x v="2"/>
    <s v="Grauraum (Strassen, Plätze &amp; Verkehr)"/>
    <n v="3"/>
    <n v="2"/>
    <m/>
    <s v="2. Priorität Projekt"/>
    <m/>
    <m/>
    <m/>
    <m/>
    <m/>
    <s v="5202-200-0015"/>
    <n v="2"/>
    <n v="0"/>
    <n v="0"/>
    <s v="0015"/>
    <x v="10"/>
    <m/>
    <s v="TAB"/>
    <s v="SSM"/>
    <x v="3"/>
    <x v="1"/>
    <x v="6"/>
    <x v="5"/>
    <x v="1"/>
    <x v="4"/>
    <x v="1"/>
    <m/>
    <m/>
    <m/>
    <x v="2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n v="8"/>
    <m/>
    <n v="20"/>
    <m/>
    <m/>
    <m/>
    <m/>
    <n v="28"/>
    <m/>
    <n v="8"/>
    <m/>
    <n v="20"/>
    <m/>
    <m/>
    <m/>
    <m/>
    <n v="28"/>
    <m/>
    <m/>
    <m/>
    <n v="20"/>
    <m/>
    <m/>
    <m/>
    <m/>
    <n v="20"/>
    <m/>
    <m/>
    <m/>
    <n v="20"/>
    <m/>
    <m/>
    <m/>
    <m/>
    <n v="20"/>
    <n v="96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96"/>
    <n v="4.8000000000000001E-2"/>
  </r>
  <r>
    <x v="53"/>
    <s v="PP"/>
    <s v="verabschiedet"/>
    <x v="3"/>
    <s v="Park- &amp; Grünanlagen "/>
    <n v="3"/>
    <n v="1"/>
    <m/>
    <s v="2. Priorität Projekt"/>
    <m/>
    <m/>
    <m/>
    <m/>
    <s v="Nein"/>
    <s v="5202-100-0021"/>
    <n v="1"/>
    <n v="0"/>
    <n v="0"/>
    <s v="0021"/>
    <x v="2"/>
    <m/>
    <s v="SGB"/>
    <s v="GG"/>
    <x v="4"/>
    <x v="1"/>
    <x v="13"/>
    <x v="5"/>
    <x v="1"/>
    <x v="4"/>
    <x v="4"/>
    <m/>
    <m/>
    <m/>
    <x v="5"/>
    <s v="angemeldet"/>
    <m/>
    <s v="I52000258"/>
    <n v="2300000"/>
    <m/>
    <m/>
    <n v="2300000"/>
    <m/>
    <n v="200000"/>
    <n v="2100000"/>
    <m/>
    <n v="1900000"/>
    <m/>
    <n v="200000"/>
    <m/>
    <m/>
    <m/>
    <m/>
    <m/>
    <m/>
    <m/>
    <m/>
    <m/>
    <m/>
    <m/>
    <m/>
    <m/>
    <m/>
    <m/>
    <m/>
    <n v="100"/>
    <m/>
    <n v="100"/>
    <m/>
    <m/>
    <m/>
    <m/>
    <n v="200"/>
    <m/>
    <m/>
    <m/>
    <m/>
    <m/>
    <m/>
    <m/>
    <m/>
    <n v="0"/>
    <m/>
    <m/>
    <m/>
    <m/>
    <m/>
    <m/>
    <m/>
    <m/>
    <n v="0"/>
    <m/>
    <m/>
    <m/>
    <m/>
    <m/>
    <m/>
    <m/>
    <m/>
    <n v="0"/>
    <n v="20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200"/>
    <n v="0.1"/>
  </r>
  <r>
    <x v="54"/>
    <s v="PP"/>
    <s v="offen"/>
    <x v="3"/>
    <s v="Friedhof "/>
    <n v="2"/>
    <n v="1"/>
    <m/>
    <s v="2. Priorität Projekt"/>
    <m/>
    <m/>
    <m/>
    <m/>
    <m/>
    <s v="5202-100-0022"/>
    <n v="1"/>
    <n v="0"/>
    <n v="0"/>
    <s v="0022"/>
    <x v="1"/>
    <m/>
    <s v="SGB"/>
    <s v="GG"/>
    <x v="4"/>
    <x v="1"/>
    <x v="5"/>
    <x v="5"/>
    <x v="2"/>
    <x v="3"/>
    <x v="4"/>
    <m/>
    <m/>
    <m/>
    <x v="12"/>
    <m/>
    <m/>
    <m/>
    <n v="24000"/>
    <m/>
    <m/>
    <n v="24000"/>
    <m/>
    <n v="24000"/>
    <m/>
    <m/>
    <m/>
    <m/>
    <m/>
    <m/>
    <m/>
    <m/>
    <m/>
    <m/>
    <m/>
    <m/>
    <m/>
    <m/>
    <m/>
    <m/>
    <m/>
    <m/>
    <m/>
    <m/>
    <m/>
    <n v="8"/>
    <m/>
    <m/>
    <m/>
    <m/>
    <m/>
    <m/>
    <n v="8"/>
    <m/>
    <m/>
    <m/>
    <m/>
    <m/>
    <m/>
    <m/>
    <m/>
    <n v="0"/>
    <m/>
    <m/>
    <m/>
    <m/>
    <m/>
    <m/>
    <m/>
    <m/>
    <n v="0"/>
    <m/>
    <m/>
    <m/>
    <m/>
    <m/>
    <m/>
    <m/>
    <m/>
    <n v="0"/>
    <n v="8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8"/>
    <n v="4.0000000000000001E-3"/>
  </r>
  <r>
    <x v="55"/>
    <s v="PP"/>
    <s v="verabschiedet"/>
    <x v="3"/>
    <s v="Friedhof "/>
    <n v="2"/>
    <n v="1"/>
    <m/>
    <s v="2. Priorität Projekt"/>
    <m/>
    <m/>
    <m/>
    <m/>
    <m/>
    <m/>
    <m/>
    <m/>
    <m/>
    <m/>
    <x v="13"/>
    <m/>
    <s v="SGB"/>
    <s v="GG"/>
    <x v="4"/>
    <x v="1"/>
    <x v="14"/>
    <x v="4"/>
    <x v="4"/>
    <x v="2"/>
    <x v="1"/>
    <m/>
    <m/>
    <m/>
    <x v="5"/>
    <s v="angemeldet"/>
    <s v="bewilligt"/>
    <s v="I5210037"/>
    <n v="265000"/>
    <m/>
    <m/>
    <n v="265000"/>
    <m/>
    <n v="265000"/>
    <m/>
    <m/>
    <m/>
    <m/>
    <m/>
    <m/>
    <m/>
    <m/>
    <m/>
    <m/>
    <m/>
    <m/>
    <m/>
    <m/>
    <m/>
    <m/>
    <m/>
    <m/>
    <m/>
    <m/>
    <m/>
    <n v="8"/>
    <m/>
    <n v="20"/>
    <m/>
    <n v="40"/>
    <n v="40"/>
    <m/>
    <n v="108"/>
    <m/>
    <n v="8"/>
    <m/>
    <n v="20"/>
    <m/>
    <n v="20"/>
    <n v="20"/>
    <m/>
    <n v="68"/>
    <m/>
    <m/>
    <m/>
    <m/>
    <m/>
    <m/>
    <m/>
    <m/>
    <n v="0"/>
    <m/>
    <m/>
    <m/>
    <m/>
    <m/>
    <m/>
    <m/>
    <m/>
    <n v="0"/>
    <n v="176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176"/>
    <n v="8.7999999999999995E-2"/>
  </r>
  <r>
    <x v="56"/>
    <s v="PP"/>
    <s v="offen"/>
    <x v="1"/>
    <s v="Park- &amp; Grünanlagen"/>
    <n v="2"/>
    <n v="2"/>
    <m/>
    <s v="2. Priorität Projekt"/>
    <m/>
    <m/>
    <m/>
    <m/>
    <m/>
    <s v="5202-100-0025"/>
    <n v="1"/>
    <n v="0"/>
    <n v="0"/>
    <s v="0025"/>
    <x v="2"/>
    <m/>
    <s v="SGB"/>
    <s v="GG"/>
    <x v="6"/>
    <x v="1"/>
    <x v="13"/>
    <x v="3"/>
    <x v="3"/>
    <x v="1"/>
    <x v="4"/>
    <m/>
    <m/>
    <m/>
    <x v="3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57"/>
    <s v="PP"/>
    <s v="offen"/>
    <x v="1"/>
    <s v="Grundlagenarbeit, Planung &amp; Diverses"/>
    <n v="1"/>
    <n v="1"/>
    <m/>
    <s v="1. Priorität Projekt"/>
    <m/>
    <m/>
    <m/>
    <m/>
    <m/>
    <m/>
    <m/>
    <m/>
    <m/>
    <m/>
    <x v="0"/>
    <m/>
    <s v="ISB"/>
    <s v="Stab"/>
    <x v="7"/>
    <x v="1"/>
    <x v="5"/>
    <x v="5"/>
    <x v="1"/>
    <x v="4"/>
    <x v="4"/>
    <m/>
    <m/>
    <m/>
    <x v="6"/>
    <m/>
    <m/>
    <m/>
    <n v="24800"/>
    <m/>
    <n v="248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58"/>
    <s v="PP"/>
    <s v="nicht vorhanden"/>
    <x v="2"/>
    <s v="Verwaltungsvermögen (HSB)"/>
    <n v="2"/>
    <n v="2"/>
    <m/>
    <s v="2. Priorität Projekt"/>
    <m/>
    <m/>
    <m/>
    <m/>
    <m/>
    <s v="5202-200-0016"/>
    <n v="2"/>
    <n v="0"/>
    <n v="0"/>
    <s v="0016"/>
    <x v="4"/>
    <m/>
    <s v="HSB "/>
    <s v="SSM"/>
    <x v="3"/>
    <x v="1"/>
    <x v="4"/>
    <x v="3"/>
    <x v="3"/>
    <x v="1"/>
    <x v="1"/>
    <m/>
    <m/>
    <m/>
    <x v="2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59"/>
    <s v="PP"/>
    <s v="verabschiedet"/>
    <x v="1"/>
    <s v="Grauraum (Strassen, Plätze &amp; Verkehr)"/>
    <n v="2"/>
    <n v="2"/>
    <m/>
    <s v="2. Priorität Projekt"/>
    <m/>
    <m/>
    <m/>
    <m/>
    <m/>
    <s v="5202-100-0026"/>
    <n v="1"/>
    <n v="0"/>
    <n v="0"/>
    <s v="0026"/>
    <x v="4"/>
    <m/>
    <s v="SGB"/>
    <s v="SSM"/>
    <x v="5"/>
    <x v="5"/>
    <x v="9"/>
    <x v="3"/>
    <x v="3"/>
    <x v="1"/>
    <x v="4"/>
    <m/>
    <m/>
    <m/>
    <x v="5"/>
    <s v="angemeldet"/>
    <s v="budgetiert"/>
    <s v="I5200XXX"/>
    <n v="2500000"/>
    <m/>
    <m/>
    <n v="2500000"/>
    <m/>
    <m/>
    <n v="2500000"/>
    <m/>
    <m/>
    <m/>
    <m/>
    <m/>
    <m/>
    <m/>
    <m/>
    <m/>
    <m/>
    <m/>
    <m/>
    <m/>
    <m/>
    <m/>
    <m/>
    <m/>
    <m/>
    <m/>
    <m/>
    <s v="offen"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60"/>
    <m/>
    <m/>
    <x v="0"/>
    <m/>
    <m/>
    <m/>
    <m/>
    <m/>
    <m/>
    <m/>
    <m/>
    <m/>
    <m/>
    <m/>
    <m/>
    <m/>
    <m/>
    <m/>
    <x v="0"/>
    <m/>
    <m/>
    <s v="x"/>
    <x v="0"/>
    <x v="0"/>
    <x v="0"/>
    <x v="0"/>
    <x v="0"/>
    <x v="0"/>
    <x v="0"/>
    <m/>
    <m/>
    <m/>
    <x v="8"/>
    <m/>
    <m/>
    <m/>
    <m/>
    <m/>
    <m/>
    <m/>
    <m/>
    <n v="6000"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m/>
  </r>
  <r>
    <x v="61"/>
    <s v="PP"/>
    <s v="nicht vorhanden"/>
    <x v="2"/>
    <s v="Grauraum (Strassen, Plätze &amp; Verkehr)"/>
    <n v="4"/>
    <n v="3"/>
    <m/>
    <s v="2. Priorität Projekt"/>
    <m/>
    <m/>
    <m/>
    <m/>
    <m/>
    <s v="5202-200-0092"/>
    <n v="2"/>
    <n v="0"/>
    <n v="0"/>
    <s v="0092"/>
    <x v="10"/>
    <m/>
    <s v="Andere"/>
    <s v="SSM"/>
    <x v="5"/>
    <x v="5"/>
    <x v="8"/>
    <x v="5"/>
    <x v="1"/>
    <x v="4"/>
    <x v="1"/>
    <m/>
    <m/>
    <m/>
    <x v="2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s v="1 Strategische Planung"/>
    <m/>
    <m/>
    <n v="8"/>
    <m/>
    <m/>
    <m/>
    <m/>
    <n v="8"/>
    <m/>
    <m/>
    <m/>
    <n v="8"/>
    <m/>
    <m/>
    <m/>
    <m/>
    <n v="8"/>
    <m/>
    <m/>
    <m/>
    <n v="8"/>
    <m/>
    <m/>
    <m/>
    <m/>
    <n v="8"/>
    <m/>
    <m/>
    <m/>
    <n v="8"/>
    <m/>
    <m/>
    <m/>
    <m/>
    <n v="8"/>
    <n v="32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32"/>
    <n v="1.6E-2"/>
  </r>
  <r>
    <x v="62"/>
    <s v="PP"/>
    <s v="verabschiedet"/>
    <x v="1"/>
    <s v="Spielplatz"/>
    <n v="2"/>
    <n v="1"/>
    <m/>
    <s v="2. Priorität Projekt"/>
    <m/>
    <m/>
    <m/>
    <m/>
    <s v="Ja "/>
    <s v="5202-100-0027"/>
    <n v="1"/>
    <n v="0"/>
    <n v="0"/>
    <s v="0027"/>
    <x v="8"/>
    <m/>
    <s v="SGB"/>
    <s v="SSM"/>
    <x v="3"/>
    <x v="1"/>
    <x v="6"/>
    <x v="7"/>
    <x v="4"/>
    <x v="2"/>
    <x v="4"/>
    <m/>
    <m/>
    <m/>
    <x v="5"/>
    <s v="angemeldet"/>
    <s v="bewilligt"/>
    <s v="I5200200"/>
    <n v="830000"/>
    <n v="96500"/>
    <n v="565247"/>
    <n v="264753"/>
    <m/>
    <m/>
    <n v="264753"/>
    <m/>
    <m/>
    <m/>
    <m/>
    <m/>
    <m/>
    <m/>
    <m/>
    <m/>
    <m/>
    <m/>
    <m/>
    <m/>
    <m/>
    <m/>
    <m/>
    <m/>
    <m/>
    <m/>
    <m/>
    <m/>
    <m/>
    <n v="20"/>
    <m/>
    <n v="20"/>
    <n v="20"/>
    <m/>
    <n v="60"/>
    <m/>
    <n v="0"/>
    <n v="0"/>
    <n v="0"/>
    <n v="0"/>
    <n v="0"/>
    <n v="0"/>
    <n v="0"/>
    <n v="0"/>
    <m/>
    <m/>
    <m/>
    <m/>
    <m/>
    <m/>
    <m/>
    <m/>
    <n v="0"/>
    <m/>
    <m/>
    <m/>
    <m/>
    <m/>
    <m/>
    <m/>
    <m/>
    <n v="0"/>
    <n v="6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60"/>
    <n v="0.03"/>
  </r>
  <r>
    <x v="63"/>
    <s v="PP"/>
    <s v="nicht vorhanden"/>
    <x v="2"/>
    <s v="Grauraum (Strassen, Plätze &amp; Verkehr)"/>
    <n v="3"/>
    <n v="2"/>
    <m/>
    <s v="2. Priorität Projekt"/>
    <m/>
    <m/>
    <m/>
    <m/>
    <m/>
    <s v="5202-200-0019"/>
    <n v="2"/>
    <n v="0"/>
    <n v="0"/>
    <s v="0019"/>
    <x v="15"/>
    <m/>
    <s v="TAB"/>
    <s v="SSM"/>
    <x v="2"/>
    <x v="5"/>
    <x v="9"/>
    <x v="5"/>
    <x v="1"/>
    <x v="4"/>
    <x v="1"/>
    <m/>
    <m/>
    <m/>
    <x v="2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s v="offen"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64"/>
    <s v="Radar"/>
    <s v="offen"/>
    <x v="3"/>
    <s v="Park- &amp; Grünanlagen "/>
    <n v="4"/>
    <n v="1"/>
    <m/>
    <s v="2. Priorität Projekt"/>
    <m/>
    <m/>
    <m/>
    <m/>
    <m/>
    <s v="5202-100-0028"/>
    <n v="1"/>
    <n v="0"/>
    <n v="0"/>
    <s v="0028"/>
    <x v="2"/>
    <m/>
    <s v="SGB"/>
    <s v="NÖ"/>
    <x v="1"/>
    <x v="5"/>
    <x v="2"/>
    <x v="3"/>
    <x v="3"/>
    <x v="1"/>
    <x v="3"/>
    <m/>
    <m/>
    <m/>
    <x v="1"/>
    <m/>
    <m/>
    <m/>
    <m/>
    <m/>
    <m/>
    <m/>
    <m/>
    <n v="3000"/>
    <m/>
    <m/>
    <n v="3000"/>
    <m/>
    <n v="3000"/>
    <m/>
    <n v="3000"/>
    <m/>
    <n v="3000"/>
    <m/>
    <n v="3000"/>
    <m/>
    <n v="3000"/>
    <m/>
    <n v="3000"/>
    <m/>
    <n v="3000"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65"/>
    <s v="PP"/>
    <s v="verabschiedet"/>
    <x v="0"/>
    <m/>
    <m/>
    <m/>
    <m/>
    <m/>
    <m/>
    <m/>
    <m/>
    <m/>
    <m/>
    <s v="5202-111-0027"/>
    <n v="1"/>
    <n v="1"/>
    <n v="1"/>
    <s v="0027"/>
    <x v="8"/>
    <m/>
    <s v="SGB"/>
    <s v="SSM"/>
    <x v="3"/>
    <x v="1"/>
    <x v="6"/>
    <x v="7"/>
    <x v="4"/>
    <x v="5"/>
    <x v="5"/>
    <m/>
    <m/>
    <m/>
    <x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s v="offen"/>
    <m/>
    <s v="offen"/>
    <m/>
    <s v="offen"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66"/>
    <s v="PP"/>
    <s v="verabschiedet"/>
    <x v="0"/>
    <m/>
    <m/>
    <m/>
    <m/>
    <m/>
    <m/>
    <m/>
    <m/>
    <m/>
    <m/>
    <s v="5202-121-0027"/>
    <n v="1"/>
    <n v="2"/>
    <n v="1"/>
    <s v="0027"/>
    <x v="8"/>
    <m/>
    <s v="SGB"/>
    <s v="SSM"/>
    <x v="3"/>
    <x v="1"/>
    <x v="6"/>
    <x v="7"/>
    <x v="4"/>
    <x v="5"/>
    <x v="5"/>
    <m/>
    <m/>
    <m/>
    <x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s v="offen"/>
    <m/>
    <s v="offen"/>
    <m/>
    <s v="offen"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67"/>
    <s v="PP"/>
    <s v="verabschiedet"/>
    <x v="1"/>
    <s v="Park- &amp; Grünanlagen"/>
    <n v="2"/>
    <n v="1"/>
    <m/>
    <s v="2. Priorität Projekt"/>
    <m/>
    <m/>
    <m/>
    <m/>
    <m/>
    <s v="5202-100-0029"/>
    <n v="1"/>
    <n v="0"/>
    <n v="0"/>
    <s v="0029"/>
    <x v="2"/>
    <m/>
    <s v="SGB"/>
    <s v="GG"/>
    <x v="5"/>
    <x v="2"/>
    <x v="7"/>
    <x v="5"/>
    <x v="1"/>
    <x v="4"/>
    <x v="4"/>
    <m/>
    <m/>
    <m/>
    <x v="4"/>
    <m/>
    <m/>
    <s v="I5200201"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68"/>
    <s v="PP"/>
    <s v="nicht vorhanden"/>
    <x v="2"/>
    <s v="Grauraum (Strassen, Plätze &amp; Verkehr)"/>
    <n v="3"/>
    <n v="2"/>
    <m/>
    <s v="2. Priorität Projekt"/>
    <m/>
    <m/>
    <m/>
    <m/>
    <m/>
    <s v="5202-200-0020"/>
    <n v="2"/>
    <n v="0"/>
    <n v="0"/>
    <s v="0020"/>
    <x v="8"/>
    <m/>
    <s v="TAB"/>
    <s v="SSM"/>
    <x v="5"/>
    <x v="1"/>
    <x v="9"/>
    <x v="5"/>
    <x v="1"/>
    <x v="4"/>
    <x v="1"/>
    <m/>
    <m/>
    <m/>
    <x v="2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n v="0"/>
    <m/>
    <m/>
    <m/>
    <m/>
    <n v="0"/>
    <m/>
    <m/>
    <m/>
    <n v="20"/>
    <m/>
    <m/>
    <m/>
    <m/>
    <n v="20"/>
    <m/>
    <n v="0"/>
    <n v="0"/>
    <n v="0"/>
    <n v="0"/>
    <n v="0"/>
    <n v="0"/>
    <n v="0"/>
    <n v="0"/>
    <m/>
    <n v="0"/>
    <n v="0"/>
    <n v="0"/>
    <n v="0"/>
    <n v="0"/>
    <n v="0"/>
    <n v="0"/>
    <n v="0"/>
    <n v="2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20"/>
    <n v="0.01"/>
  </r>
  <r>
    <x v="69"/>
    <s v="PP"/>
    <s v="offen"/>
    <x v="1"/>
    <s v="Park- &amp; Grünanlagen"/>
    <n v="1"/>
    <n v="1"/>
    <m/>
    <s v="1. Priorität Projekt"/>
    <m/>
    <m/>
    <m/>
    <m/>
    <m/>
    <s v="5202-200-0021"/>
    <n v="2"/>
    <n v="0"/>
    <n v="0"/>
    <s v="0021"/>
    <x v="2"/>
    <m/>
    <s v="SGB"/>
    <s v="GG"/>
    <x v="2"/>
    <x v="1"/>
    <x v="4"/>
    <x v="3"/>
    <x v="3"/>
    <x v="1"/>
    <x v="0"/>
    <m/>
    <m/>
    <m/>
    <x v="2"/>
    <m/>
    <m/>
    <s v="I5200116"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70"/>
    <s v="PP"/>
    <s v="nicht vorhanden"/>
    <x v="2"/>
    <s v="Verwaltungsvermögen (HSB)"/>
    <n v="4"/>
    <n v="3"/>
    <m/>
    <s v="2. Priorität Projekt"/>
    <m/>
    <m/>
    <m/>
    <m/>
    <m/>
    <s v="5202-200-0022"/>
    <n v="2"/>
    <n v="0"/>
    <n v="0"/>
    <s v="0022"/>
    <x v="9"/>
    <m/>
    <s v="HSB "/>
    <s v="SSM"/>
    <x v="3"/>
    <x v="1"/>
    <x v="6"/>
    <x v="5"/>
    <x v="1"/>
    <x v="4"/>
    <x v="1"/>
    <m/>
    <m/>
    <m/>
    <x v="2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m/>
    <n v="0"/>
    <n v="0"/>
    <n v="0"/>
    <n v="0"/>
    <n v="0"/>
    <n v="0"/>
    <n v="0"/>
    <n v="0"/>
    <m/>
    <n v="0"/>
    <n v="0"/>
    <n v="0"/>
    <n v="0"/>
    <n v="0"/>
    <n v="0"/>
    <n v="0"/>
    <n v="0"/>
    <m/>
    <n v="0"/>
    <n v="0"/>
    <n v="0"/>
    <n v="0"/>
    <n v="0"/>
    <n v="0"/>
    <n v="0"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71"/>
    <m/>
    <m/>
    <x v="0"/>
    <m/>
    <m/>
    <m/>
    <m/>
    <m/>
    <m/>
    <m/>
    <m/>
    <m/>
    <m/>
    <m/>
    <m/>
    <m/>
    <m/>
    <m/>
    <x v="0"/>
    <m/>
    <m/>
    <m/>
    <x v="0"/>
    <x v="0"/>
    <x v="0"/>
    <x v="0"/>
    <x v="0"/>
    <x v="0"/>
    <x v="0"/>
    <m/>
    <m/>
    <m/>
    <x v="6"/>
    <m/>
    <m/>
    <m/>
    <m/>
    <m/>
    <m/>
    <m/>
    <m/>
    <n v="35000"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m/>
  </r>
  <r>
    <x v="72"/>
    <s v="PP"/>
    <s v="verabschiedet"/>
    <x v="1"/>
    <s v="Park- &amp; Grünanlagen"/>
    <n v="2"/>
    <n v="2"/>
    <m/>
    <s v="2. Priorität Projekt"/>
    <m/>
    <m/>
    <m/>
    <m/>
    <m/>
    <s v="5202-100-0031"/>
    <n v="1"/>
    <n v="0"/>
    <n v="0"/>
    <s v="0031"/>
    <x v="2"/>
    <m/>
    <s v="SGB"/>
    <s v="GG"/>
    <x v="5"/>
    <x v="1"/>
    <x v="11"/>
    <x v="5"/>
    <x v="1"/>
    <x v="4"/>
    <x v="4"/>
    <m/>
    <m/>
    <m/>
    <x v="5"/>
    <s v="angemeldet"/>
    <s v="bewilligt"/>
    <s v="I5200093"/>
    <n v="144000"/>
    <m/>
    <n v="107635.63"/>
    <n v="36364.369999999995"/>
    <m/>
    <m/>
    <n v="36364.369999999995"/>
    <m/>
    <m/>
    <m/>
    <m/>
    <m/>
    <m/>
    <m/>
    <m/>
    <m/>
    <m/>
    <m/>
    <m/>
    <m/>
    <m/>
    <m/>
    <m/>
    <m/>
    <m/>
    <m/>
    <m/>
    <n v="20"/>
    <m/>
    <n v="40"/>
    <m/>
    <m/>
    <m/>
    <m/>
    <n v="60"/>
    <m/>
    <m/>
    <m/>
    <m/>
    <m/>
    <m/>
    <m/>
    <m/>
    <n v="0"/>
    <m/>
    <m/>
    <m/>
    <m/>
    <m/>
    <m/>
    <m/>
    <m/>
    <n v="0"/>
    <m/>
    <m/>
    <m/>
    <m/>
    <m/>
    <m/>
    <m/>
    <m/>
    <n v="0"/>
    <n v="6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60"/>
    <n v="0.03"/>
  </r>
  <r>
    <x v="73"/>
    <s v="PP"/>
    <s v="verabschiedet"/>
    <x v="1"/>
    <s v="Park- &amp; Grünanlagen"/>
    <n v="1"/>
    <n v="1"/>
    <m/>
    <s v="1. Priorität Projekt"/>
    <m/>
    <m/>
    <m/>
    <m/>
    <m/>
    <m/>
    <m/>
    <m/>
    <m/>
    <m/>
    <x v="0"/>
    <m/>
    <s v="SGB"/>
    <s v="GG"/>
    <x v="4"/>
    <x v="1"/>
    <x v="15"/>
    <x v="5"/>
    <x v="1"/>
    <x v="4"/>
    <x v="4"/>
    <m/>
    <m/>
    <m/>
    <x v="4"/>
    <s v="angemeldet"/>
    <s v="bewilligt"/>
    <s v="I5200093"/>
    <n v="2610000"/>
    <m/>
    <m/>
    <n v="2610000"/>
    <m/>
    <n v="350000"/>
    <n v="2260000"/>
    <m/>
    <n v="750000"/>
    <m/>
    <n v="750000"/>
    <m/>
    <n v="850000"/>
    <m/>
    <m/>
    <m/>
    <m/>
    <m/>
    <m/>
    <m/>
    <m/>
    <m/>
    <m/>
    <m/>
    <m/>
    <m/>
    <m/>
    <n v="20"/>
    <m/>
    <n v="80"/>
    <m/>
    <m/>
    <m/>
    <m/>
    <n v="100"/>
    <m/>
    <n v="20"/>
    <m/>
    <n v="80"/>
    <m/>
    <m/>
    <m/>
    <m/>
    <n v="100"/>
    <m/>
    <n v="20"/>
    <m/>
    <n v="80"/>
    <m/>
    <m/>
    <m/>
    <m/>
    <n v="100"/>
    <m/>
    <n v="20"/>
    <m/>
    <n v="150"/>
    <m/>
    <m/>
    <m/>
    <m/>
    <n v="170"/>
    <n v="47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470"/>
    <n v="0.23499999999999999"/>
  </r>
  <r>
    <x v="74"/>
    <s v="Radar"/>
    <s v="X"/>
    <x v="0"/>
    <s v="offen"/>
    <m/>
    <m/>
    <m/>
    <m/>
    <m/>
    <m/>
    <m/>
    <m/>
    <m/>
    <s v="5202-200-0023"/>
    <n v="2"/>
    <n v="0"/>
    <n v="0"/>
    <s v="0023"/>
    <x v="2"/>
    <m/>
    <s v="Andere"/>
    <s v="x"/>
    <x v="7"/>
    <x v="1"/>
    <x v="5"/>
    <x v="6"/>
    <x v="2"/>
    <x v="3"/>
    <x v="2"/>
    <m/>
    <m/>
    <m/>
    <x v="10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75"/>
    <s v="PP"/>
    <s v="verabschiedet"/>
    <x v="3"/>
    <s v="Familiengarten"/>
    <n v="3"/>
    <n v="2"/>
    <m/>
    <s v="2. Priorität Projekt"/>
    <m/>
    <m/>
    <m/>
    <m/>
    <s v="Nein"/>
    <s v="5202-100-0032"/>
    <n v="1"/>
    <n v="0"/>
    <n v="0"/>
    <s v="0032"/>
    <x v="2"/>
    <m/>
    <s v="SGB"/>
    <s v="GG"/>
    <x v="4"/>
    <x v="1"/>
    <x v="11"/>
    <x v="5"/>
    <x v="5"/>
    <x v="4"/>
    <x v="4"/>
    <m/>
    <m/>
    <m/>
    <x v="6"/>
    <m/>
    <m/>
    <m/>
    <n v="60000"/>
    <m/>
    <n v="50000"/>
    <n v="10000"/>
    <m/>
    <n v="10000"/>
    <m/>
    <m/>
    <m/>
    <m/>
    <m/>
    <m/>
    <m/>
    <m/>
    <m/>
    <m/>
    <m/>
    <m/>
    <m/>
    <m/>
    <m/>
    <m/>
    <m/>
    <m/>
    <m/>
    <m/>
    <m/>
    <n v="8"/>
    <m/>
    <n v="40"/>
    <m/>
    <n v="8"/>
    <m/>
    <m/>
    <n v="56"/>
    <m/>
    <n v="8"/>
    <m/>
    <n v="0"/>
    <m/>
    <n v="40"/>
    <m/>
    <m/>
    <n v="48"/>
    <m/>
    <n v="8"/>
    <m/>
    <n v="0"/>
    <m/>
    <n v="40"/>
    <m/>
    <m/>
    <n v="48"/>
    <m/>
    <n v="8"/>
    <m/>
    <n v="0"/>
    <m/>
    <n v="40"/>
    <m/>
    <m/>
    <n v="48"/>
    <n v="20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200"/>
    <n v="0.1"/>
  </r>
  <r>
    <x v="76"/>
    <s v="offen"/>
    <s v="X"/>
    <x v="0"/>
    <m/>
    <m/>
    <m/>
    <m/>
    <m/>
    <m/>
    <m/>
    <m/>
    <m/>
    <m/>
    <s v="5202-500-0004"/>
    <n v="5"/>
    <n v="0"/>
    <n v="0"/>
    <s v="0004"/>
    <x v="1"/>
    <m/>
    <s v="SGB"/>
    <s v="GG"/>
    <x v="4"/>
    <x v="1"/>
    <x v="11"/>
    <x v="8"/>
    <x v="1"/>
    <x v="4"/>
    <x v="4"/>
    <m/>
    <m/>
    <m/>
    <x v="10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77"/>
    <s v="offen"/>
    <s v="X"/>
    <x v="0"/>
    <m/>
    <m/>
    <m/>
    <m/>
    <m/>
    <m/>
    <m/>
    <m/>
    <m/>
    <m/>
    <s v="5202-500-0005"/>
    <n v="5"/>
    <n v="0"/>
    <n v="0"/>
    <s v="0005"/>
    <x v="1"/>
    <m/>
    <s v="SGB"/>
    <s v="x"/>
    <x v="7"/>
    <x v="1"/>
    <x v="5"/>
    <x v="6"/>
    <x v="2"/>
    <x v="3"/>
    <x v="2"/>
    <m/>
    <m/>
    <m/>
    <x v="10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78"/>
    <s v="offen"/>
    <s v="X"/>
    <x v="0"/>
    <s v="Natur &amp; Ökologie"/>
    <m/>
    <m/>
    <m/>
    <m/>
    <m/>
    <m/>
    <m/>
    <m/>
    <m/>
    <s v="5202-500-0006"/>
    <n v="5"/>
    <n v="0"/>
    <n v="0"/>
    <s v="0006"/>
    <x v="1"/>
    <m/>
    <s v="SGB"/>
    <s v="NÖ"/>
    <x v="7"/>
    <x v="1"/>
    <x v="5"/>
    <x v="6"/>
    <x v="2"/>
    <x v="3"/>
    <x v="2"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79"/>
    <s v="offen"/>
    <s v="X"/>
    <x v="0"/>
    <m/>
    <m/>
    <m/>
    <m/>
    <m/>
    <m/>
    <m/>
    <m/>
    <m/>
    <m/>
    <s v="5202-500-0007"/>
    <n v="5"/>
    <n v="0"/>
    <n v="0"/>
    <s v="0007"/>
    <x v="1"/>
    <m/>
    <s v="SGB"/>
    <s v="x"/>
    <x v="7"/>
    <x v="1"/>
    <x v="5"/>
    <x v="6"/>
    <x v="2"/>
    <x v="3"/>
    <x v="2"/>
    <m/>
    <m/>
    <m/>
    <x v="10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80"/>
    <s v="offen"/>
    <s v="X"/>
    <x v="0"/>
    <s v="Natur &amp; Ökologie"/>
    <m/>
    <m/>
    <m/>
    <m/>
    <m/>
    <m/>
    <m/>
    <m/>
    <m/>
    <s v="5202-500-0008"/>
    <n v="5"/>
    <n v="0"/>
    <n v="0"/>
    <s v="0008"/>
    <x v="1"/>
    <m/>
    <s v="SGB"/>
    <s v="x"/>
    <x v="7"/>
    <x v="1"/>
    <x v="5"/>
    <x v="6"/>
    <x v="2"/>
    <x v="3"/>
    <x v="2"/>
    <m/>
    <m/>
    <m/>
    <x v="10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81"/>
    <s v="offen"/>
    <s v="X"/>
    <x v="0"/>
    <m/>
    <m/>
    <m/>
    <m/>
    <m/>
    <m/>
    <m/>
    <m/>
    <m/>
    <m/>
    <s v="5202-500-0009"/>
    <n v="5"/>
    <n v="0"/>
    <n v="0"/>
    <s v="0009"/>
    <x v="1"/>
    <m/>
    <s v="SGB"/>
    <s v="x"/>
    <x v="7"/>
    <x v="1"/>
    <x v="5"/>
    <x v="6"/>
    <x v="2"/>
    <x v="3"/>
    <x v="2"/>
    <m/>
    <m/>
    <m/>
    <x v="10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82"/>
    <s v="offen"/>
    <s v="X"/>
    <x v="0"/>
    <s v="Natur &amp; Ökologie"/>
    <m/>
    <m/>
    <m/>
    <m/>
    <m/>
    <m/>
    <m/>
    <m/>
    <m/>
    <s v="5202-500-0010"/>
    <n v="5"/>
    <n v="0"/>
    <n v="0"/>
    <s v="0010"/>
    <x v="1"/>
    <m/>
    <s v="SGB"/>
    <s v="x"/>
    <x v="7"/>
    <x v="1"/>
    <x v="5"/>
    <x v="6"/>
    <x v="2"/>
    <x v="3"/>
    <x v="2"/>
    <m/>
    <m/>
    <m/>
    <x v="10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83"/>
    <s v="offen"/>
    <s v="X"/>
    <x v="5"/>
    <s v="Ausgelöst von GR / Direktion"/>
    <n v="2"/>
    <n v="1"/>
    <m/>
    <s v="2. Priorität Projekt"/>
    <m/>
    <m/>
    <m/>
    <m/>
    <m/>
    <s v="5202-400-0001"/>
    <n v="4"/>
    <n v="0"/>
    <n v="0"/>
    <s v="0001"/>
    <x v="1"/>
    <m/>
    <s v="SGB"/>
    <s v="NÖ"/>
    <x v="5"/>
    <x v="1"/>
    <x v="2"/>
    <x v="6"/>
    <x v="2"/>
    <x v="3"/>
    <x v="4"/>
    <m/>
    <m/>
    <m/>
    <x v="1"/>
    <m/>
    <m/>
    <m/>
    <m/>
    <m/>
    <m/>
    <m/>
    <m/>
    <n v="1000"/>
    <m/>
    <m/>
    <n v="1000"/>
    <m/>
    <n v="1000"/>
    <m/>
    <n v="1000"/>
    <m/>
    <n v="1000"/>
    <m/>
    <n v="1000"/>
    <m/>
    <n v="1000"/>
    <m/>
    <n v="1000"/>
    <m/>
    <n v="1000"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84"/>
    <s v="offen"/>
    <s v="X"/>
    <x v="0"/>
    <m/>
    <m/>
    <m/>
    <m/>
    <m/>
    <m/>
    <m/>
    <m/>
    <m/>
    <m/>
    <s v="5202-300-0001"/>
    <n v="3"/>
    <n v="0"/>
    <n v="0"/>
    <s v="0001"/>
    <x v="1"/>
    <m/>
    <s v="SGB"/>
    <s v="x"/>
    <x v="7"/>
    <x v="1"/>
    <x v="5"/>
    <x v="6"/>
    <x v="2"/>
    <x v="3"/>
    <x v="2"/>
    <m/>
    <m/>
    <m/>
    <x v="10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85"/>
    <s v="offen"/>
    <s v="X"/>
    <x v="0"/>
    <s v="Natur &amp; Ökologie"/>
    <m/>
    <m/>
    <m/>
    <m/>
    <m/>
    <m/>
    <m/>
    <m/>
    <m/>
    <s v="5202-300-0002"/>
    <n v="3"/>
    <n v="0"/>
    <n v="0"/>
    <s v="0002"/>
    <x v="1"/>
    <m/>
    <s v="SGB"/>
    <s v="x"/>
    <x v="7"/>
    <x v="1"/>
    <x v="5"/>
    <x v="6"/>
    <x v="2"/>
    <x v="3"/>
    <x v="2"/>
    <m/>
    <m/>
    <m/>
    <x v="10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86"/>
    <s v="PP"/>
    <s v="verabschiedet"/>
    <x v="1"/>
    <s v="Spielplatz"/>
    <n v="2"/>
    <n v="2"/>
    <m/>
    <s v="2. Priorität Projekt"/>
    <m/>
    <m/>
    <m/>
    <m/>
    <m/>
    <s v="5202-100-0033"/>
    <n v="1"/>
    <n v="0"/>
    <n v="0"/>
    <s v="0033"/>
    <x v="16"/>
    <m/>
    <s v="SGB"/>
    <s v="SSM"/>
    <x v="3"/>
    <x v="1"/>
    <x v="11"/>
    <x v="4"/>
    <x v="4"/>
    <x v="2"/>
    <x v="4"/>
    <m/>
    <m/>
    <m/>
    <x v="9"/>
    <s v="angemeldet"/>
    <s v="bewilligt"/>
    <s v="I5200229"/>
    <n v="120000"/>
    <m/>
    <n v="20238"/>
    <n v="99762"/>
    <m/>
    <n v="99762"/>
    <n v="0"/>
    <m/>
    <m/>
    <m/>
    <m/>
    <m/>
    <m/>
    <m/>
    <m/>
    <m/>
    <m/>
    <m/>
    <m/>
    <m/>
    <m/>
    <m/>
    <m/>
    <m/>
    <m/>
    <m/>
    <m/>
    <m/>
    <m/>
    <n v="20"/>
    <m/>
    <n v="20"/>
    <n v="8"/>
    <m/>
    <n v="48"/>
    <m/>
    <m/>
    <m/>
    <m/>
    <m/>
    <n v="20"/>
    <m/>
    <m/>
    <n v="20"/>
    <m/>
    <m/>
    <m/>
    <m/>
    <m/>
    <m/>
    <m/>
    <m/>
    <n v="0"/>
    <m/>
    <m/>
    <m/>
    <m/>
    <m/>
    <m/>
    <m/>
    <m/>
    <n v="0"/>
    <n v="68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68"/>
    <n v="3.4000000000000002E-2"/>
  </r>
  <r>
    <x v="87"/>
    <s v="offen"/>
    <s v="offen"/>
    <x v="3"/>
    <s v="Grundlagenarbeit, Planung &amp; Diverses"/>
    <s v="x"/>
    <s v="x"/>
    <m/>
    <s v="3. Priorität Projekt"/>
    <m/>
    <m/>
    <m/>
    <m/>
    <m/>
    <m/>
    <m/>
    <m/>
    <m/>
    <m/>
    <x v="6"/>
    <m/>
    <s v="SGB"/>
    <s v="x"/>
    <x v="7"/>
    <x v="1"/>
    <x v="5"/>
    <x v="6"/>
    <x v="2"/>
    <x v="3"/>
    <x v="2"/>
    <m/>
    <m/>
    <m/>
    <x v="13"/>
    <m/>
    <m/>
    <m/>
    <m/>
    <m/>
    <m/>
    <m/>
    <m/>
    <n v="15000"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88"/>
    <m/>
    <m/>
    <x v="0"/>
    <m/>
    <m/>
    <m/>
    <m/>
    <m/>
    <m/>
    <m/>
    <m/>
    <m/>
    <m/>
    <m/>
    <m/>
    <m/>
    <m/>
    <m/>
    <x v="0"/>
    <m/>
    <m/>
    <m/>
    <x v="0"/>
    <x v="0"/>
    <x v="0"/>
    <x v="0"/>
    <x v="0"/>
    <x v="0"/>
    <x v="0"/>
    <m/>
    <m/>
    <m/>
    <x v="3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m/>
  </r>
  <r>
    <x v="89"/>
    <s v="PP"/>
    <s v="verabschiedet"/>
    <x v="0"/>
    <m/>
    <m/>
    <m/>
    <m/>
    <m/>
    <m/>
    <m/>
    <m/>
    <m/>
    <m/>
    <s v="5202-110-0033"/>
    <n v="1"/>
    <n v="1"/>
    <n v="0"/>
    <s v="0033"/>
    <x v="16"/>
    <m/>
    <s v="SGB"/>
    <s v="SSM"/>
    <x v="3"/>
    <x v="1"/>
    <x v="11"/>
    <x v="9"/>
    <x v="4"/>
    <x v="5"/>
    <x v="3"/>
    <m/>
    <m/>
    <m/>
    <x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s v="offen"/>
    <m/>
    <s v="offen"/>
    <m/>
    <s v="offen"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90"/>
    <s v="PP"/>
    <s v="verabschiedet"/>
    <x v="0"/>
    <m/>
    <m/>
    <m/>
    <m/>
    <m/>
    <m/>
    <m/>
    <m/>
    <m/>
    <m/>
    <s v="5202-120-0033"/>
    <n v="1"/>
    <n v="2"/>
    <n v="0"/>
    <s v="0033"/>
    <x v="16"/>
    <m/>
    <s v="SGB"/>
    <s v="SSM"/>
    <x v="3"/>
    <x v="1"/>
    <x v="11"/>
    <x v="9"/>
    <x v="4"/>
    <x v="5"/>
    <x v="3"/>
    <m/>
    <m/>
    <m/>
    <x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s v="offen"/>
    <m/>
    <s v="offen"/>
    <m/>
    <s v="offen"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91"/>
    <s v="PP"/>
    <s v="offen"/>
    <x v="3"/>
    <s v="Grundlagenarbeit, Planung &amp; Diverses"/>
    <n v="5"/>
    <n v="5"/>
    <m/>
    <s v="3. Priorität Projekt"/>
    <m/>
    <m/>
    <m/>
    <m/>
    <m/>
    <s v="5202-100-0034"/>
    <n v="1"/>
    <n v="0"/>
    <n v="0"/>
    <s v="0034"/>
    <x v="2"/>
    <m/>
    <s v="SGB"/>
    <s v="x"/>
    <x v="7"/>
    <x v="1"/>
    <x v="5"/>
    <x v="6"/>
    <x v="2"/>
    <x v="3"/>
    <x v="2"/>
    <m/>
    <m/>
    <m/>
    <x v="5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92"/>
    <s v="PP"/>
    <s v="verabschiedet"/>
    <x v="3"/>
    <s v="Familiengarten"/>
    <n v="2"/>
    <n v="1"/>
    <m/>
    <s v="2. Priorität Projekt"/>
    <m/>
    <m/>
    <m/>
    <m/>
    <m/>
    <s v="5202-200-0024"/>
    <n v="2"/>
    <n v="0"/>
    <n v="0"/>
    <s v="0024"/>
    <x v="2"/>
    <m/>
    <s v="SGB"/>
    <s v="GG"/>
    <x v="4"/>
    <x v="1"/>
    <x v="11"/>
    <x v="3"/>
    <x v="3"/>
    <x v="1"/>
    <x v="4"/>
    <m/>
    <m/>
    <m/>
    <x v="2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n v="20"/>
    <m/>
    <m/>
    <m/>
    <m/>
    <n v="20"/>
    <m/>
    <m/>
    <m/>
    <m/>
    <m/>
    <m/>
    <m/>
    <m/>
    <n v="0"/>
    <m/>
    <m/>
    <m/>
    <m/>
    <m/>
    <m/>
    <m/>
    <m/>
    <n v="0"/>
    <m/>
    <m/>
    <m/>
    <m/>
    <m/>
    <m/>
    <m/>
    <m/>
    <n v="0"/>
    <n v="2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20"/>
    <n v="0.01"/>
  </r>
  <r>
    <x v="93"/>
    <m/>
    <m/>
    <x v="0"/>
    <m/>
    <m/>
    <m/>
    <m/>
    <m/>
    <m/>
    <m/>
    <m/>
    <m/>
    <m/>
    <m/>
    <m/>
    <m/>
    <m/>
    <m/>
    <x v="0"/>
    <m/>
    <m/>
    <m/>
    <x v="0"/>
    <x v="0"/>
    <x v="0"/>
    <x v="0"/>
    <x v="0"/>
    <x v="0"/>
    <x v="0"/>
    <m/>
    <m/>
    <m/>
    <x v="13"/>
    <m/>
    <m/>
    <m/>
    <m/>
    <m/>
    <m/>
    <m/>
    <m/>
    <n v="30000"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m/>
  </r>
  <r>
    <x v="94"/>
    <s v="PP"/>
    <s v="nicht vorhanden"/>
    <x v="1"/>
    <s v="Natur &amp; Ökologie"/>
    <n v="4"/>
    <n v="1"/>
    <m/>
    <s v="2. Priorität Projekt"/>
    <m/>
    <m/>
    <m/>
    <m/>
    <m/>
    <s v="5202-500-0015"/>
    <n v="5"/>
    <n v="0"/>
    <n v="0"/>
    <s v="0015"/>
    <x v="1"/>
    <m/>
    <s v="SGB"/>
    <s v="NÖ"/>
    <x v="1"/>
    <x v="0"/>
    <x v="10"/>
    <x v="0"/>
    <x v="0"/>
    <x v="0"/>
    <x v="0"/>
    <m/>
    <m/>
    <m/>
    <x v="1"/>
    <m/>
    <m/>
    <m/>
    <m/>
    <m/>
    <m/>
    <m/>
    <m/>
    <n v="1000"/>
    <m/>
    <m/>
    <n v="1000"/>
    <m/>
    <n v="1000"/>
    <m/>
    <n v="1000"/>
    <m/>
    <n v="1000"/>
    <m/>
    <n v="1000"/>
    <m/>
    <n v="1000"/>
    <m/>
    <n v="1000"/>
    <m/>
    <n v="1000"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m/>
  </r>
  <r>
    <x v="95"/>
    <s v="PP"/>
    <s v="offen"/>
    <x v="0"/>
    <m/>
    <m/>
    <m/>
    <m/>
    <m/>
    <m/>
    <m/>
    <m/>
    <m/>
    <m/>
    <s v="5202-100-0034"/>
    <n v="1"/>
    <n v="1"/>
    <n v="0"/>
    <s v="0034"/>
    <x v="2"/>
    <m/>
    <s v="SGB"/>
    <s v="offen"/>
    <x v="2"/>
    <x v="1"/>
    <x v="4"/>
    <x v="3"/>
    <x v="3"/>
    <x v="1"/>
    <x v="3"/>
    <m/>
    <m/>
    <m/>
    <x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s v="offen"/>
    <m/>
    <s v="offen"/>
    <m/>
    <s v="offen"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96"/>
    <s v="PP"/>
    <s v="offen"/>
    <x v="0"/>
    <m/>
    <m/>
    <m/>
    <m/>
    <m/>
    <m/>
    <m/>
    <m/>
    <m/>
    <m/>
    <s v="5202-120-0034"/>
    <n v="1"/>
    <n v="2"/>
    <n v="0"/>
    <s v="0034"/>
    <x v="2"/>
    <m/>
    <s v="SGB"/>
    <s v="offen"/>
    <x v="2"/>
    <x v="1"/>
    <x v="4"/>
    <x v="3"/>
    <x v="3"/>
    <x v="1"/>
    <x v="3"/>
    <m/>
    <m/>
    <m/>
    <x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s v="offen"/>
    <m/>
    <s v="offen"/>
    <m/>
    <s v="offen"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97"/>
    <m/>
    <m/>
    <x v="0"/>
    <m/>
    <s v="x"/>
    <s v="x"/>
    <m/>
    <s v="3. Priorität Projekt"/>
    <m/>
    <m/>
    <m/>
    <m/>
    <m/>
    <m/>
    <m/>
    <m/>
    <m/>
    <m/>
    <x v="0"/>
    <m/>
    <s v="SPA"/>
    <s v="x"/>
    <x v="6"/>
    <x v="1"/>
    <x v="5"/>
    <x v="6"/>
    <x v="2"/>
    <x v="3"/>
    <x v="2"/>
    <m/>
    <m/>
    <m/>
    <x v="4"/>
    <m/>
    <s v="budgetiert"/>
    <s v="I5200079"/>
    <m/>
    <m/>
    <m/>
    <n v="0"/>
    <m/>
    <n v="60000"/>
    <n v="-60000"/>
    <m/>
    <n v="60000"/>
    <m/>
    <n v="60000"/>
    <m/>
    <n v="60000"/>
    <m/>
    <n v="60000"/>
    <m/>
    <n v="60000"/>
    <m/>
    <n v="60000"/>
    <m/>
    <n v="60000"/>
    <m/>
    <n v="60000"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98"/>
    <s v="offen"/>
    <s v="offen"/>
    <x v="6"/>
    <s v="offen"/>
    <n v="2"/>
    <n v="4"/>
    <m/>
    <s v="2. Priorität Projekt"/>
    <m/>
    <m/>
    <m/>
    <m/>
    <m/>
    <s v="5202-100-0035"/>
    <n v="1"/>
    <n v="0"/>
    <n v="0"/>
    <s v="0035"/>
    <x v="2"/>
    <m/>
    <s v="SGB"/>
    <s v="GG"/>
    <x v="4"/>
    <x v="1"/>
    <x v="12"/>
    <x v="6"/>
    <x v="2"/>
    <x v="3"/>
    <x v="2"/>
    <m/>
    <m/>
    <m/>
    <x v="10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n v="40"/>
    <m/>
    <n v="20"/>
    <m/>
    <m/>
    <m/>
    <m/>
    <n v="60"/>
    <m/>
    <n v="40"/>
    <m/>
    <n v="20"/>
    <m/>
    <m/>
    <m/>
    <m/>
    <n v="60"/>
    <m/>
    <n v="40"/>
    <m/>
    <n v="20"/>
    <m/>
    <m/>
    <m/>
    <m/>
    <n v="60"/>
    <m/>
    <n v="40"/>
    <m/>
    <n v="20"/>
    <m/>
    <m/>
    <m/>
    <m/>
    <n v="60"/>
    <n v="24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240"/>
    <n v="0.12"/>
  </r>
  <r>
    <x v="99"/>
    <s v="PP"/>
    <s v="verabschiedet"/>
    <x v="3"/>
    <s v="Grundlagenarbeit, Planung &amp; Diverses"/>
    <n v="2"/>
    <n v="2"/>
    <m/>
    <s v="2. Priorität Projekt"/>
    <m/>
    <m/>
    <m/>
    <m/>
    <m/>
    <s v="5202-100-0089"/>
    <n v="1"/>
    <n v="0"/>
    <n v="0"/>
    <s v="0089"/>
    <x v="3"/>
    <m/>
    <s v="SGB"/>
    <s v="GG"/>
    <x v="4"/>
    <x v="4"/>
    <x v="14"/>
    <x v="10"/>
    <x v="2"/>
    <x v="4"/>
    <x v="2"/>
    <m/>
    <m/>
    <m/>
    <x v="3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n v="8"/>
    <n v="8"/>
    <n v="20"/>
    <n v="100"/>
    <m/>
    <m/>
    <m/>
    <n v="136"/>
    <m/>
    <n v="8"/>
    <n v="8"/>
    <n v="20"/>
    <n v="100"/>
    <m/>
    <m/>
    <m/>
    <n v="136"/>
    <m/>
    <n v="8"/>
    <n v="8"/>
    <n v="20"/>
    <n v="100"/>
    <m/>
    <m/>
    <m/>
    <n v="136"/>
    <m/>
    <n v="8"/>
    <n v="8"/>
    <n v="20"/>
    <n v="100"/>
    <m/>
    <m/>
    <m/>
    <n v="136"/>
    <n v="544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544"/>
    <n v="0.27200000000000002"/>
  </r>
  <r>
    <x v="100"/>
    <s v="offen"/>
    <s v="offen"/>
    <x v="3"/>
    <s v="Grundlagenarbeit, Planung &amp; Diverses"/>
    <s v="x"/>
    <s v="x"/>
    <m/>
    <s v="3. Priorität Projekt"/>
    <m/>
    <m/>
    <m/>
    <m/>
    <m/>
    <s v="5202-300-0004"/>
    <n v="3"/>
    <n v="0"/>
    <n v="0"/>
    <s v="0004"/>
    <x v="2"/>
    <m/>
    <s v="SGB"/>
    <s v="x"/>
    <x v="7"/>
    <x v="1"/>
    <x v="5"/>
    <x v="6"/>
    <x v="2"/>
    <x v="3"/>
    <x v="2"/>
    <m/>
    <m/>
    <m/>
    <x v="10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101"/>
    <s v="PP"/>
    <s v="nicht vorhanden"/>
    <x v="2"/>
    <s v="Finanzvermögen (Fonds)"/>
    <n v="2"/>
    <n v="3"/>
    <m/>
    <s v="2. Priorität Projekt"/>
    <m/>
    <m/>
    <m/>
    <m/>
    <m/>
    <s v="5202-100-0036"/>
    <n v="1"/>
    <n v="0"/>
    <n v="0"/>
    <s v="0036"/>
    <x v="17"/>
    <m/>
    <s v="ISB"/>
    <s v="NÖ"/>
    <x v="1"/>
    <x v="1"/>
    <x v="2"/>
    <x v="5"/>
    <x v="1"/>
    <x v="4"/>
    <x v="4"/>
    <m/>
    <m/>
    <m/>
    <x v="2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102"/>
    <s v="offen"/>
    <s v="offen"/>
    <x v="2"/>
    <s v="Natur &amp; Ökologie"/>
    <n v="4"/>
    <n v="1"/>
    <m/>
    <s v="2. Priorität Projekt"/>
    <m/>
    <m/>
    <m/>
    <m/>
    <m/>
    <s v="5202-200-0026"/>
    <n v="2"/>
    <n v="0"/>
    <n v="0"/>
    <s v="0026"/>
    <x v="2"/>
    <m/>
    <s v="offen"/>
    <s v="NÖ"/>
    <x v="1"/>
    <x v="1"/>
    <x v="10"/>
    <x v="6"/>
    <x v="2"/>
    <x v="3"/>
    <x v="0"/>
    <m/>
    <m/>
    <m/>
    <x v="2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103"/>
    <s v="offen"/>
    <s v="X"/>
    <x v="0"/>
    <s v="offen"/>
    <m/>
    <m/>
    <m/>
    <m/>
    <m/>
    <m/>
    <m/>
    <m/>
    <m/>
    <s v="5202-500-0011"/>
    <n v="5"/>
    <n v="0"/>
    <n v="0"/>
    <s v="0011"/>
    <x v="1"/>
    <m/>
    <s v="SGB"/>
    <s v="Stab"/>
    <x v="6"/>
    <x v="1"/>
    <x v="11"/>
    <x v="6"/>
    <x v="2"/>
    <x v="3"/>
    <x v="2"/>
    <m/>
    <m/>
    <m/>
    <x v="6"/>
    <m/>
    <m/>
    <m/>
    <m/>
    <m/>
    <m/>
    <m/>
    <m/>
    <n v="90000"/>
    <m/>
    <m/>
    <n v="80000"/>
    <m/>
    <n v="50000"/>
    <m/>
    <n v="50000"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104"/>
    <s v="offen"/>
    <s v="X"/>
    <x v="1"/>
    <s v="Grundlagenarbeit &amp; Diverses"/>
    <n v="1"/>
    <n v="2"/>
    <m/>
    <s v="2. Priorität Projekt"/>
    <m/>
    <m/>
    <m/>
    <m/>
    <m/>
    <s v="5202-300-0005"/>
    <n v="3"/>
    <n v="0"/>
    <n v="0"/>
    <s v="0005"/>
    <x v="1"/>
    <m/>
    <s v="SGB"/>
    <s v="Stab"/>
    <x v="5"/>
    <x v="1"/>
    <x v="11"/>
    <x v="6"/>
    <x v="2"/>
    <x v="5"/>
    <x v="0"/>
    <m/>
    <m/>
    <m/>
    <x v="4"/>
    <s v="angemeldet"/>
    <s v="bewilligt"/>
    <s v="I5200119"/>
    <n v="270000"/>
    <m/>
    <n v="225458"/>
    <n v="44542"/>
    <m/>
    <m/>
    <n v="44542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105"/>
    <m/>
    <m/>
    <x v="0"/>
    <m/>
    <n v="1"/>
    <n v="2"/>
    <m/>
    <s v="2. Priorität Projekt"/>
    <m/>
    <m/>
    <m/>
    <m/>
    <m/>
    <m/>
    <m/>
    <m/>
    <m/>
    <m/>
    <x v="0"/>
    <m/>
    <s v="SGB"/>
    <s v="Stab"/>
    <x v="5"/>
    <x v="2"/>
    <x v="4"/>
    <x v="5"/>
    <x v="1"/>
    <x v="4"/>
    <x v="4"/>
    <m/>
    <m/>
    <m/>
    <x v="14"/>
    <s v="offen"/>
    <s v="offen"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106"/>
    <s v="PP"/>
    <s v="offen"/>
    <x v="2"/>
    <s v="Planungen, Studien, Arealentwicklung"/>
    <n v="1"/>
    <n v="1"/>
    <m/>
    <s v="1. Priorität Projekt"/>
    <m/>
    <m/>
    <m/>
    <m/>
    <m/>
    <s v="5202-200-0027"/>
    <n v="2"/>
    <n v="0"/>
    <n v="0"/>
    <s v="0027"/>
    <x v="2"/>
    <m/>
    <s v="SPA"/>
    <s v="GG"/>
    <x v="5"/>
    <x v="2"/>
    <x v="7"/>
    <x v="11"/>
    <x v="1"/>
    <x v="4"/>
    <x v="1"/>
    <m/>
    <m/>
    <m/>
    <x v="2"/>
    <m/>
    <m/>
    <s v="I5200XXX"/>
    <m/>
    <m/>
    <m/>
    <n v="0"/>
    <m/>
    <m/>
    <n v="0"/>
    <m/>
    <n v="250000"/>
    <m/>
    <n v="250000"/>
    <m/>
    <s v="X"/>
    <m/>
    <s v="X"/>
    <m/>
    <s v="X"/>
    <m/>
    <s v="X"/>
    <m/>
    <s v="X"/>
    <m/>
    <s v="X"/>
    <m/>
    <m/>
    <m/>
    <m/>
    <n v="0"/>
    <n v="8"/>
    <n v="40"/>
    <m/>
    <m/>
    <m/>
    <m/>
    <n v="48"/>
    <m/>
    <n v="0"/>
    <n v="8"/>
    <n v="80"/>
    <m/>
    <m/>
    <m/>
    <m/>
    <n v="88"/>
    <m/>
    <n v="0"/>
    <n v="8"/>
    <n v="80"/>
    <m/>
    <m/>
    <m/>
    <m/>
    <n v="88"/>
    <m/>
    <n v="0"/>
    <n v="8"/>
    <n v="80"/>
    <m/>
    <m/>
    <m/>
    <m/>
    <n v="88"/>
    <n v="312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312"/>
    <n v="0.156"/>
  </r>
  <r>
    <x v="107"/>
    <s v="PP"/>
    <s v="nicht vorhanden"/>
    <x v="2"/>
    <s v="Grauraum (Strassen, Plätze &amp; Verkehr)"/>
    <n v="2"/>
    <n v="1"/>
    <m/>
    <s v="2. Priorität Projekt"/>
    <m/>
    <m/>
    <m/>
    <m/>
    <m/>
    <s v="5202-200-0090"/>
    <n v="2"/>
    <n v="0"/>
    <n v="0"/>
    <s v="0090"/>
    <x v="7"/>
    <m/>
    <s v="TAB"/>
    <s v="SSM"/>
    <x v="5"/>
    <x v="4"/>
    <x v="8"/>
    <x v="5"/>
    <x v="1"/>
    <x v="4"/>
    <x v="1"/>
    <m/>
    <m/>
    <m/>
    <x v="2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n v="0"/>
    <n v="40"/>
    <n v="40"/>
    <m/>
    <m/>
    <m/>
    <m/>
    <n v="80"/>
    <m/>
    <n v="0"/>
    <n v="40"/>
    <n v="40"/>
    <m/>
    <m/>
    <m/>
    <m/>
    <n v="80"/>
    <m/>
    <n v="0"/>
    <n v="40"/>
    <n v="40"/>
    <m/>
    <m/>
    <m/>
    <m/>
    <n v="80"/>
    <m/>
    <n v="0"/>
    <n v="40"/>
    <n v="40"/>
    <m/>
    <m/>
    <m/>
    <m/>
    <n v="80"/>
    <n v="32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320"/>
    <n v="0.16"/>
  </r>
  <r>
    <x v="108"/>
    <s v="offen"/>
    <s v="X"/>
    <x v="6"/>
    <s v="offen"/>
    <s v="x"/>
    <s v="x"/>
    <m/>
    <s v="3. Priorität Projekt"/>
    <m/>
    <m/>
    <m/>
    <m/>
    <m/>
    <s v="5202-400-0002"/>
    <n v="4"/>
    <n v="0"/>
    <n v="0"/>
    <s v="0002"/>
    <x v="1"/>
    <m/>
    <s v="SGB"/>
    <s v="Stab"/>
    <x v="7"/>
    <x v="1"/>
    <x v="5"/>
    <x v="6"/>
    <x v="2"/>
    <x v="3"/>
    <x v="2"/>
    <m/>
    <m/>
    <m/>
    <x v="10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109"/>
    <s v="offen"/>
    <s v="X"/>
    <x v="6"/>
    <s v="Grauraum (Strassen, Plätze &amp; Verkehr)"/>
    <n v="3"/>
    <n v="1"/>
    <m/>
    <s v="2. Priorität Projekt"/>
    <m/>
    <m/>
    <m/>
    <m/>
    <m/>
    <s v="5202-400-0003"/>
    <n v="4"/>
    <n v="0"/>
    <n v="0"/>
    <s v="0003"/>
    <x v="1"/>
    <m/>
    <s v="SGB"/>
    <s v="SSM"/>
    <x v="3"/>
    <x v="1"/>
    <x v="8"/>
    <x v="6"/>
    <x v="2"/>
    <x v="3"/>
    <x v="2"/>
    <m/>
    <m/>
    <m/>
    <x v="10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n v="0"/>
    <m/>
    <n v="20"/>
    <m/>
    <m/>
    <m/>
    <m/>
    <n v="20"/>
    <m/>
    <n v="0"/>
    <m/>
    <n v="20"/>
    <m/>
    <m/>
    <m/>
    <m/>
    <n v="20"/>
    <m/>
    <n v="0"/>
    <m/>
    <n v="8"/>
    <m/>
    <m/>
    <m/>
    <m/>
    <n v="8"/>
    <m/>
    <n v="0"/>
    <m/>
    <n v="20"/>
    <m/>
    <m/>
    <m/>
    <m/>
    <n v="20"/>
    <n v="68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68"/>
    <n v="3.4000000000000002E-2"/>
  </r>
  <r>
    <x v="110"/>
    <s v="PP"/>
    <s v="nicht vorhanden"/>
    <x v="2"/>
    <s v="Verwaltungsvermögen (HSB)"/>
    <n v="1"/>
    <n v="2"/>
    <m/>
    <s v="2. Priorität Projekt"/>
    <m/>
    <m/>
    <m/>
    <m/>
    <m/>
    <s v="5202-200-0029"/>
    <n v="2"/>
    <n v="0"/>
    <n v="0"/>
    <s v="0029"/>
    <x v="9"/>
    <m/>
    <s v="HSB "/>
    <s v="SSM"/>
    <x v="3"/>
    <x v="1"/>
    <x v="9"/>
    <x v="5"/>
    <x v="1"/>
    <x v="4"/>
    <x v="1"/>
    <m/>
    <m/>
    <m/>
    <x v="3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n v="0"/>
    <m/>
    <n v="40"/>
    <m/>
    <m/>
    <m/>
    <m/>
    <n v="40"/>
    <m/>
    <n v="0"/>
    <m/>
    <n v="40"/>
    <m/>
    <m/>
    <m/>
    <m/>
    <n v="40"/>
    <m/>
    <n v="0"/>
    <m/>
    <n v="40"/>
    <m/>
    <m/>
    <m/>
    <m/>
    <n v="40"/>
    <m/>
    <n v="0"/>
    <m/>
    <n v="40"/>
    <m/>
    <m/>
    <m/>
    <m/>
    <n v="40"/>
    <n v="16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160"/>
    <n v="0.08"/>
  </r>
  <r>
    <x v="111"/>
    <s v="Radar"/>
    <s v="X"/>
    <x v="3"/>
    <s v="Grundlagenarbeit, Planung &amp; Diverses"/>
    <n v="1"/>
    <n v="2"/>
    <m/>
    <s v="2. Priorität Projekt"/>
    <m/>
    <m/>
    <m/>
    <m/>
    <m/>
    <s v="5202-100-0037"/>
    <n v="1"/>
    <n v="0"/>
    <n v="0"/>
    <s v="0037"/>
    <x v="3"/>
    <m/>
    <s v="SGB"/>
    <s v="Stab"/>
    <x v="3"/>
    <x v="6"/>
    <x v="8"/>
    <x v="8"/>
    <x v="2"/>
    <x v="3"/>
    <x v="2"/>
    <m/>
    <m/>
    <m/>
    <x v="5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s v="offen"/>
    <s v="offen"/>
    <s v="offen"/>
    <s v="offen"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112"/>
    <s v="x"/>
    <s v="X"/>
    <x v="6"/>
    <s v="offen"/>
    <s v="x"/>
    <s v="x"/>
    <m/>
    <s v="3. Priorität Projekt"/>
    <m/>
    <m/>
    <m/>
    <m/>
    <m/>
    <s v="5202-500-0023"/>
    <n v="5"/>
    <n v="0"/>
    <n v="0"/>
    <s v="0023"/>
    <x v="1"/>
    <m/>
    <s v="SGB"/>
    <s v="NÖ"/>
    <x v="1"/>
    <x v="1"/>
    <x v="5"/>
    <x v="6"/>
    <x v="2"/>
    <x v="3"/>
    <x v="2"/>
    <m/>
    <m/>
    <m/>
    <x v="10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113"/>
    <s v="x"/>
    <s v="X"/>
    <x v="6"/>
    <s v="offen"/>
    <s v="x"/>
    <s v="x"/>
    <m/>
    <s v="3. Priorität Projekt"/>
    <m/>
    <m/>
    <m/>
    <m/>
    <m/>
    <s v="5202-500-0012"/>
    <n v="5"/>
    <n v="0"/>
    <n v="0"/>
    <s v="0012"/>
    <x v="1"/>
    <m/>
    <s v="SGB"/>
    <s v="NÖ"/>
    <x v="1"/>
    <x v="1"/>
    <x v="5"/>
    <x v="6"/>
    <x v="2"/>
    <x v="3"/>
    <x v="2"/>
    <m/>
    <m/>
    <m/>
    <x v="10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114"/>
    <s v="x"/>
    <s v="X"/>
    <x v="6"/>
    <s v="offen"/>
    <s v="x"/>
    <s v="x"/>
    <m/>
    <s v="3. Priorität Projekt"/>
    <m/>
    <m/>
    <m/>
    <m/>
    <m/>
    <s v="5202-500-0024"/>
    <n v="5"/>
    <n v="0"/>
    <n v="0"/>
    <s v="0024"/>
    <x v="1"/>
    <m/>
    <s v="SGB"/>
    <s v="NÖ"/>
    <x v="1"/>
    <x v="1"/>
    <x v="5"/>
    <x v="6"/>
    <x v="2"/>
    <x v="3"/>
    <x v="2"/>
    <m/>
    <m/>
    <m/>
    <x v="10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115"/>
    <s v="x"/>
    <s v="X"/>
    <x v="6"/>
    <s v="offen"/>
    <s v="x"/>
    <s v="x"/>
    <m/>
    <s v="3. Priorität Projekt"/>
    <m/>
    <m/>
    <m/>
    <m/>
    <m/>
    <s v="5202-500-0013"/>
    <n v="5"/>
    <n v="0"/>
    <n v="0"/>
    <s v="0013"/>
    <x v="1"/>
    <m/>
    <s v="SGB"/>
    <s v="NÖ"/>
    <x v="1"/>
    <x v="1"/>
    <x v="5"/>
    <x v="6"/>
    <x v="2"/>
    <x v="3"/>
    <x v="2"/>
    <m/>
    <m/>
    <m/>
    <x v="10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116"/>
    <s v="offen"/>
    <s v="X"/>
    <x v="6"/>
    <s v="offen"/>
    <n v="1"/>
    <n v="2"/>
    <m/>
    <s v="2. Priorität Projekt"/>
    <m/>
    <m/>
    <m/>
    <m/>
    <m/>
    <s v="5202-300-0006"/>
    <n v="3"/>
    <n v="0"/>
    <n v="0"/>
    <s v="0006"/>
    <x v="1"/>
    <m/>
    <s v="SGB"/>
    <s v="Stab"/>
    <x v="5"/>
    <x v="2"/>
    <x v="9"/>
    <x v="6"/>
    <x v="2"/>
    <x v="3"/>
    <x v="2"/>
    <m/>
    <m/>
    <m/>
    <x v="10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n v="0"/>
    <n v="80"/>
    <n v="80"/>
    <m/>
    <m/>
    <m/>
    <m/>
    <n v="160"/>
    <m/>
    <n v="0"/>
    <n v="80"/>
    <n v="80"/>
    <m/>
    <m/>
    <m/>
    <m/>
    <n v="160"/>
    <m/>
    <n v="0"/>
    <n v="80"/>
    <n v="80"/>
    <m/>
    <m/>
    <m/>
    <m/>
    <n v="160"/>
    <m/>
    <n v="0"/>
    <n v="80"/>
    <n v="80"/>
    <m/>
    <m/>
    <m/>
    <m/>
    <n v="160"/>
    <n v="64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640"/>
    <n v="0.32"/>
  </r>
  <r>
    <x v="117"/>
    <s v="PP"/>
    <s v="nicht vorhanden"/>
    <x v="2"/>
    <s v="Grauraum (Strassen, Plätze &amp; Verkehr)"/>
    <n v="3"/>
    <n v="1"/>
    <m/>
    <s v="2. Priorität Projekt"/>
    <m/>
    <m/>
    <m/>
    <m/>
    <m/>
    <s v="5202-200-0030"/>
    <n v="2"/>
    <n v="0"/>
    <n v="0"/>
    <s v="0030"/>
    <x v="1"/>
    <m/>
    <s v="TAB"/>
    <s v="SSM"/>
    <x v="5"/>
    <x v="1"/>
    <x v="9"/>
    <x v="6"/>
    <x v="2"/>
    <x v="5"/>
    <x v="2"/>
    <m/>
    <m/>
    <m/>
    <x v="2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n v="0"/>
    <m/>
    <n v="80"/>
    <m/>
    <m/>
    <n v="80"/>
    <m/>
    <n v="160"/>
    <m/>
    <n v="0"/>
    <m/>
    <n v="20"/>
    <m/>
    <m/>
    <n v="20"/>
    <m/>
    <n v="40"/>
    <m/>
    <n v="0"/>
    <n v="0"/>
    <n v="20"/>
    <n v="0"/>
    <n v="0"/>
    <n v="0"/>
    <n v="0"/>
    <n v="20"/>
    <m/>
    <n v="0"/>
    <n v="0"/>
    <n v="20"/>
    <n v="0"/>
    <n v="0"/>
    <n v="0"/>
    <n v="0"/>
    <n v="20"/>
    <n v="24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240"/>
    <n v="0.12"/>
  </r>
  <r>
    <x v="118"/>
    <s v="PP"/>
    <s v="nicht vorhanden"/>
    <x v="2"/>
    <s v="Verwaltungsvermögen (HSB)"/>
    <n v="3"/>
    <n v="3"/>
    <m/>
    <s v="2. Priorität Projekt"/>
    <m/>
    <m/>
    <m/>
    <m/>
    <m/>
    <s v="5202-200-0094"/>
    <n v="2"/>
    <n v="0"/>
    <n v="0"/>
    <s v="0094"/>
    <x v="9"/>
    <m/>
    <s v="HSB "/>
    <s v="SSM"/>
    <x v="3"/>
    <x v="1"/>
    <x v="9"/>
    <x v="5"/>
    <x v="1"/>
    <x v="4"/>
    <x v="1"/>
    <m/>
    <m/>
    <m/>
    <x v="2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n v="0"/>
    <m/>
    <n v="40"/>
    <m/>
    <m/>
    <m/>
    <m/>
    <n v="40"/>
    <m/>
    <n v="0"/>
    <m/>
    <n v="20"/>
    <m/>
    <m/>
    <m/>
    <m/>
    <n v="20"/>
    <m/>
    <n v="0"/>
    <m/>
    <n v="20"/>
    <m/>
    <m/>
    <m/>
    <m/>
    <n v="20"/>
    <m/>
    <n v="0"/>
    <m/>
    <n v="40"/>
    <m/>
    <m/>
    <m/>
    <m/>
    <n v="40"/>
    <n v="12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120"/>
    <n v="0.06"/>
  </r>
  <r>
    <x v="119"/>
    <s v="Sistiert"/>
    <s v="X"/>
    <x v="3"/>
    <s v="Park- &amp; Grünanlagen "/>
    <s v="x"/>
    <s v="x"/>
    <m/>
    <s v="3. Priorität Projekt"/>
    <m/>
    <m/>
    <m/>
    <m/>
    <m/>
    <s v="5202-100-0039"/>
    <n v="1"/>
    <n v="0"/>
    <n v="0"/>
    <s v="0039"/>
    <x v="4"/>
    <m/>
    <s v="SGB"/>
    <s v="x"/>
    <x v="7"/>
    <x v="1"/>
    <x v="9"/>
    <x v="6"/>
    <x v="2"/>
    <x v="3"/>
    <x v="2"/>
    <m/>
    <m/>
    <m/>
    <x v="10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m/>
    <n v="0"/>
    <n v="0"/>
    <n v="0"/>
    <n v="0"/>
    <n v="0"/>
    <n v="0"/>
    <n v="0"/>
    <n v="0"/>
    <m/>
    <n v="0"/>
    <n v="0"/>
    <n v="0"/>
    <n v="0"/>
    <n v="0"/>
    <n v="0"/>
    <n v="0"/>
    <n v="0"/>
    <m/>
    <n v="0"/>
    <n v="0"/>
    <n v="0"/>
    <n v="0"/>
    <n v="0"/>
    <n v="0"/>
    <n v="0"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120"/>
    <s v="PP"/>
    <s v="nicht vorhanden"/>
    <x v="2"/>
    <s v="Grauraum (Strassen, Plätze &amp; Verkehr)"/>
    <n v="2"/>
    <n v="2"/>
    <m/>
    <s v="2. Priorität Projekt"/>
    <m/>
    <m/>
    <m/>
    <m/>
    <m/>
    <s v="5202-200-0031"/>
    <n v="2"/>
    <n v="0"/>
    <n v="0"/>
    <s v="0031"/>
    <x v="9"/>
    <m/>
    <s v="SPA"/>
    <s v="SSM"/>
    <x v="5"/>
    <x v="2"/>
    <x v="9"/>
    <x v="5"/>
    <x v="1"/>
    <x v="4"/>
    <x v="1"/>
    <m/>
    <m/>
    <m/>
    <x v="2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n v="0"/>
    <n v="20"/>
    <n v="40"/>
    <m/>
    <m/>
    <m/>
    <m/>
    <n v="60"/>
    <m/>
    <n v="0"/>
    <n v="20"/>
    <n v="40"/>
    <m/>
    <m/>
    <m/>
    <m/>
    <n v="60"/>
    <m/>
    <n v="0"/>
    <n v="8"/>
    <n v="8"/>
    <m/>
    <m/>
    <m/>
    <m/>
    <n v="16"/>
    <m/>
    <n v="0"/>
    <n v="40"/>
    <n v="8"/>
    <m/>
    <m/>
    <m/>
    <m/>
    <n v="48"/>
    <n v="184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184"/>
    <n v="9.1999999999999998E-2"/>
  </r>
  <r>
    <x v="121"/>
    <s v="PP"/>
    <s v="nicht vorhanden"/>
    <x v="2"/>
    <s v="Grauraum (Strassen, Plätze &amp; Verkehr)"/>
    <n v="1"/>
    <n v="1"/>
    <m/>
    <s v="1. Priorität Projekt"/>
    <m/>
    <m/>
    <m/>
    <m/>
    <m/>
    <s v="5202-200-0032"/>
    <n v="2"/>
    <n v="0"/>
    <n v="0"/>
    <s v="0032"/>
    <x v="10"/>
    <m/>
    <s v="TAB"/>
    <s v="SSM"/>
    <x v="5"/>
    <x v="4"/>
    <x v="9"/>
    <x v="5"/>
    <x v="1"/>
    <x v="4"/>
    <x v="1"/>
    <m/>
    <m/>
    <m/>
    <x v="2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n v="0"/>
    <m/>
    <n v="60"/>
    <m/>
    <m/>
    <m/>
    <m/>
    <n v="60"/>
    <m/>
    <n v="0"/>
    <m/>
    <n v="60"/>
    <m/>
    <m/>
    <m/>
    <m/>
    <n v="60"/>
    <m/>
    <n v="0"/>
    <m/>
    <n v="60"/>
    <m/>
    <m/>
    <m/>
    <m/>
    <n v="60"/>
    <m/>
    <n v="0"/>
    <m/>
    <n v="60"/>
    <m/>
    <m/>
    <m/>
    <m/>
    <n v="60"/>
    <n v="24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240"/>
    <n v="0.12"/>
  </r>
  <r>
    <x v="122"/>
    <s v="PP"/>
    <s v="nicht vorhanden"/>
    <x v="2"/>
    <s v="Grauraum (Strassen, Plätze &amp; Verkehr)"/>
    <n v="1"/>
    <n v="1"/>
    <m/>
    <s v="1. Priorität Projekt"/>
    <m/>
    <m/>
    <m/>
    <m/>
    <m/>
    <s v="5202-200-0033"/>
    <n v="2"/>
    <n v="0"/>
    <n v="0"/>
    <s v="0033"/>
    <x v="10"/>
    <m/>
    <s v="TAB"/>
    <s v="SSM"/>
    <x v="5"/>
    <x v="4"/>
    <x v="9"/>
    <x v="5"/>
    <x v="1"/>
    <x v="4"/>
    <x v="1"/>
    <m/>
    <m/>
    <m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n v="80"/>
    <m/>
    <m/>
    <m/>
    <m/>
    <n v="80"/>
    <m/>
    <n v="0"/>
    <m/>
    <n v="80"/>
    <m/>
    <m/>
    <m/>
    <m/>
    <n v="80"/>
    <m/>
    <n v="0"/>
    <m/>
    <n v="80"/>
    <m/>
    <m/>
    <m/>
    <m/>
    <n v="80"/>
    <m/>
    <n v="0"/>
    <m/>
    <n v="80"/>
    <m/>
    <m/>
    <m/>
    <m/>
    <n v="80"/>
    <n v="32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320"/>
    <n v="0.16"/>
  </r>
  <r>
    <x v="123"/>
    <s v="PP"/>
    <s v="verabschiedet"/>
    <x v="4"/>
    <s v="Spielplatz "/>
    <n v="2"/>
    <n v="1"/>
    <m/>
    <s v="2. Priorität Projekt"/>
    <m/>
    <m/>
    <m/>
    <m/>
    <m/>
    <s v="5202-100-0040"/>
    <n v="1"/>
    <n v="0"/>
    <n v="0"/>
    <s v="0040"/>
    <x v="11"/>
    <m/>
    <s v="SGB"/>
    <s v="SSM"/>
    <x v="3"/>
    <x v="1"/>
    <x v="9"/>
    <x v="6"/>
    <x v="2"/>
    <x v="3"/>
    <x v="2"/>
    <m/>
    <m/>
    <m/>
    <x v="15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m/>
    <n v="0"/>
    <n v="0"/>
    <n v="0"/>
    <n v="0"/>
    <n v="0"/>
    <n v="0"/>
    <n v="0"/>
    <n v="0"/>
    <m/>
    <n v="0"/>
    <n v="0"/>
    <n v="0"/>
    <n v="0"/>
    <n v="0"/>
    <n v="0"/>
    <n v="0"/>
    <n v="0"/>
    <m/>
    <n v="0"/>
    <n v="0"/>
    <n v="0"/>
    <n v="0"/>
    <n v="0"/>
    <n v="0"/>
    <n v="0"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124"/>
    <s v="Abgeschl."/>
    <s v="verabschiedet"/>
    <x v="3"/>
    <s v="Spielplatz "/>
    <n v="2"/>
    <n v="1"/>
    <m/>
    <s v="2. Priorität Projekt"/>
    <m/>
    <m/>
    <m/>
    <m/>
    <m/>
    <s v="5202-100-0041"/>
    <n v="1"/>
    <n v="0"/>
    <n v="0"/>
    <s v="0041"/>
    <x v="11"/>
    <m/>
    <s v="SGB"/>
    <s v="SSM"/>
    <x v="3"/>
    <x v="1"/>
    <x v="3"/>
    <x v="6"/>
    <x v="2"/>
    <x v="3"/>
    <x v="2"/>
    <m/>
    <m/>
    <m/>
    <x v="5"/>
    <s v="angemeldet"/>
    <s v="bewilligt"/>
    <s v="I5200222"/>
    <m/>
    <m/>
    <n v="70384.3"/>
    <n v="-70384.3"/>
    <m/>
    <m/>
    <n v="-70384.3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125"/>
    <m/>
    <m/>
    <x v="0"/>
    <s v="Park- &amp; Grünanlagen "/>
    <n v="1"/>
    <n v="1"/>
    <m/>
    <s v="1. Priorität Projekt"/>
    <m/>
    <m/>
    <m/>
    <m/>
    <m/>
    <m/>
    <m/>
    <m/>
    <m/>
    <m/>
    <x v="0"/>
    <m/>
    <s v="SGB"/>
    <s v="GG"/>
    <x v="5"/>
    <x v="1"/>
    <x v="16"/>
    <x v="5"/>
    <x v="1"/>
    <x v="4"/>
    <x v="1"/>
    <m/>
    <m/>
    <m/>
    <x v="4"/>
    <s v="angemeldet"/>
    <s v="budgetiert"/>
    <s v="I5200151"/>
    <n v="3000000"/>
    <m/>
    <m/>
    <n v="3000000"/>
    <m/>
    <n v="150000"/>
    <n v="2850000"/>
    <m/>
    <n v="150000"/>
    <m/>
    <n v="1350000"/>
    <m/>
    <n v="1350000"/>
    <n v="3000000"/>
    <m/>
    <m/>
    <m/>
    <m/>
    <m/>
    <m/>
    <m/>
    <m/>
    <m/>
    <m/>
    <m/>
    <m/>
    <m/>
    <n v="0"/>
    <m/>
    <n v="100"/>
    <m/>
    <m/>
    <m/>
    <m/>
    <n v="100"/>
    <m/>
    <n v="0"/>
    <m/>
    <n v="60"/>
    <m/>
    <m/>
    <m/>
    <m/>
    <n v="60"/>
    <m/>
    <n v="0"/>
    <m/>
    <n v="60"/>
    <m/>
    <m/>
    <m/>
    <m/>
    <n v="60"/>
    <m/>
    <n v="0"/>
    <m/>
    <n v="60"/>
    <m/>
    <m/>
    <m/>
    <m/>
    <n v="60"/>
    <n v="28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280"/>
    <n v="0.14000000000000001"/>
  </r>
  <r>
    <x v="126"/>
    <s v="PP"/>
    <s v="offen"/>
    <x v="1"/>
    <s v="Park- &amp; Grünanlagen"/>
    <n v="1"/>
    <n v="1"/>
    <m/>
    <s v="1. Priorität Projekt"/>
    <m/>
    <m/>
    <m/>
    <m/>
    <m/>
    <s v="5202-200-0034"/>
    <n v="2"/>
    <n v="0"/>
    <n v="0"/>
    <s v="0034"/>
    <x v="9"/>
    <m/>
    <s v="SGB"/>
    <s v="GG"/>
    <x v="5"/>
    <x v="1"/>
    <x v="16"/>
    <x v="5"/>
    <x v="1"/>
    <x v="4"/>
    <x v="1"/>
    <m/>
    <m/>
    <m/>
    <x v="2"/>
    <s v="offen"/>
    <s v="offen"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127"/>
    <s v="PP"/>
    <s v="verabschiedet"/>
    <x v="0"/>
    <m/>
    <m/>
    <m/>
    <m/>
    <m/>
    <m/>
    <m/>
    <m/>
    <m/>
    <m/>
    <s v="5202-110-0041"/>
    <n v="1"/>
    <n v="1"/>
    <n v="0"/>
    <s v="0041"/>
    <x v="11"/>
    <m/>
    <s v="SGB"/>
    <s v="SSM"/>
    <x v="3"/>
    <x v="1"/>
    <x v="3"/>
    <x v="6"/>
    <x v="2"/>
    <x v="3"/>
    <x v="2"/>
    <m/>
    <m/>
    <m/>
    <x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s v="offen"/>
    <m/>
    <s v="offen"/>
    <m/>
    <s v="offen"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128"/>
    <s v="PP"/>
    <s v="verabschiedet"/>
    <x v="0"/>
    <m/>
    <m/>
    <m/>
    <m/>
    <m/>
    <m/>
    <m/>
    <m/>
    <m/>
    <m/>
    <s v="5202-110-0041"/>
    <n v="1"/>
    <n v="2"/>
    <n v="0"/>
    <s v="0041"/>
    <x v="11"/>
    <m/>
    <s v="SGB"/>
    <s v="SSM"/>
    <x v="3"/>
    <x v="1"/>
    <x v="3"/>
    <x v="6"/>
    <x v="2"/>
    <x v="3"/>
    <x v="2"/>
    <m/>
    <m/>
    <m/>
    <x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s v="offen"/>
    <m/>
    <s v="offen"/>
    <m/>
    <s v="offen"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129"/>
    <s v="PP"/>
    <s v="nicht vorhanden"/>
    <x v="2"/>
    <s v="Planungen, Studien, Arealentwicklung"/>
    <n v="3"/>
    <n v="2"/>
    <m/>
    <s v="2. Priorität Projekt"/>
    <m/>
    <m/>
    <m/>
    <m/>
    <m/>
    <s v="5202-200-0035"/>
    <n v="2"/>
    <n v="0"/>
    <n v="0"/>
    <s v="0035"/>
    <x v="18"/>
    <m/>
    <s v="HSB "/>
    <s v="SSM"/>
    <x v="3"/>
    <x v="1"/>
    <x v="4"/>
    <x v="5"/>
    <x v="1"/>
    <x v="4"/>
    <x v="1"/>
    <m/>
    <m/>
    <m/>
    <x v="2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s v="offen"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130"/>
    <s v="Abgeschl."/>
    <s v="verabschiedet"/>
    <x v="3"/>
    <s v="Spielplatz "/>
    <n v="2"/>
    <n v="1"/>
    <m/>
    <s v="2. Priorität Projekt"/>
    <m/>
    <m/>
    <m/>
    <m/>
    <m/>
    <s v="5202-100-0042"/>
    <n v="1"/>
    <n v="0"/>
    <n v="0"/>
    <s v="0042"/>
    <x v="11"/>
    <m/>
    <s v="SGB"/>
    <s v="SSM"/>
    <x v="3"/>
    <x v="1"/>
    <x v="6"/>
    <x v="6"/>
    <x v="2"/>
    <x v="3"/>
    <x v="2"/>
    <m/>
    <m/>
    <m/>
    <x v="5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131"/>
    <s v="Abgeschl."/>
    <s v="verabschiedet"/>
    <x v="3"/>
    <s v="Spielplatz "/>
    <n v="2"/>
    <n v="1"/>
    <m/>
    <s v="2. Priorität Projekt"/>
    <m/>
    <m/>
    <m/>
    <m/>
    <m/>
    <s v="5202-100-0043"/>
    <n v="1"/>
    <n v="0"/>
    <n v="0"/>
    <s v="0043"/>
    <x v="11"/>
    <m/>
    <s v="SGB"/>
    <s v="SSM"/>
    <x v="3"/>
    <x v="1"/>
    <x v="6"/>
    <x v="6"/>
    <x v="2"/>
    <x v="3"/>
    <x v="2"/>
    <m/>
    <m/>
    <m/>
    <x v="5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132"/>
    <s v="PP"/>
    <s v="offen"/>
    <x v="2"/>
    <s v="Planungen, Studien, Arealentwicklung"/>
    <n v="3"/>
    <n v="2"/>
    <m/>
    <s v="2. Priorität Projekt"/>
    <m/>
    <m/>
    <m/>
    <m/>
    <m/>
    <s v="5202-200-0036"/>
    <n v="2"/>
    <n v="0"/>
    <n v="0"/>
    <s v="0036"/>
    <x v="2"/>
    <m/>
    <s v="Andere"/>
    <s v="offen"/>
    <x v="2"/>
    <x v="7"/>
    <x v="13"/>
    <x v="3"/>
    <x v="3"/>
    <x v="1"/>
    <x v="0"/>
    <m/>
    <m/>
    <m/>
    <x v="2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133"/>
    <s v="PP"/>
    <s v="verabschiedet"/>
    <x v="3"/>
    <s v="Spielplatz "/>
    <n v="2"/>
    <n v="2"/>
    <m/>
    <s v="2. Priorität Projekt"/>
    <m/>
    <m/>
    <m/>
    <m/>
    <m/>
    <s v="5202-100-0044"/>
    <n v="1"/>
    <n v="0"/>
    <n v="0"/>
    <s v="0044"/>
    <x v="16"/>
    <m/>
    <s v="SGB"/>
    <s v="SSM"/>
    <x v="3"/>
    <x v="1"/>
    <x v="6"/>
    <x v="6"/>
    <x v="2"/>
    <x v="2"/>
    <x v="2"/>
    <m/>
    <m/>
    <m/>
    <x v="5"/>
    <m/>
    <s v="budgetiert"/>
    <m/>
    <n v="108000"/>
    <m/>
    <n v="79100"/>
    <n v="28900"/>
    <m/>
    <n v="28900"/>
    <n v="0"/>
    <m/>
    <m/>
    <m/>
    <m/>
    <m/>
    <m/>
    <m/>
    <m/>
    <m/>
    <m/>
    <m/>
    <m/>
    <m/>
    <m/>
    <m/>
    <m/>
    <m/>
    <m/>
    <m/>
    <m/>
    <n v="0"/>
    <m/>
    <n v="40"/>
    <n v="0"/>
    <n v="0"/>
    <n v="20"/>
    <m/>
    <n v="60"/>
    <m/>
    <m/>
    <m/>
    <n v="20"/>
    <m/>
    <n v="20"/>
    <m/>
    <m/>
    <n v="40"/>
    <m/>
    <n v="0"/>
    <n v="0"/>
    <n v="0"/>
    <n v="0"/>
    <n v="0"/>
    <n v="0"/>
    <n v="0"/>
    <n v="0"/>
    <m/>
    <n v="0"/>
    <n v="0"/>
    <n v="0"/>
    <n v="0"/>
    <n v="20"/>
    <n v="0"/>
    <n v="0"/>
    <n v="20"/>
    <n v="12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120"/>
    <n v="0.06"/>
  </r>
  <r>
    <x v="134"/>
    <s v="Radar"/>
    <s v="X"/>
    <x v="0"/>
    <s v="offen"/>
    <m/>
    <m/>
    <m/>
    <m/>
    <m/>
    <m/>
    <m/>
    <m/>
    <m/>
    <s v="5202-400-0004"/>
    <n v="4"/>
    <n v="0"/>
    <n v="0"/>
    <s v="0004"/>
    <x v="1"/>
    <m/>
    <s v="SGB"/>
    <s v="offen"/>
    <x v="2"/>
    <x v="5"/>
    <x v="4"/>
    <x v="3"/>
    <x v="3"/>
    <x v="1"/>
    <x v="0"/>
    <m/>
    <m/>
    <m/>
    <x v="10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135"/>
    <m/>
    <m/>
    <x v="1"/>
    <s v="Natur &amp; Ökologie"/>
    <n v="4"/>
    <n v="1"/>
    <m/>
    <s v="2. Priorität Projekt"/>
    <m/>
    <m/>
    <m/>
    <m/>
    <m/>
    <s v="5202-500-0015"/>
    <n v="5"/>
    <n v="0"/>
    <n v="0"/>
    <s v="0015"/>
    <x v="1"/>
    <m/>
    <s v="SGB"/>
    <s v="NÖ"/>
    <x v="1"/>
    <x v="0"/>
    <x v="1"/>
    <x v="0"/>
    <x v="0"/>
    <x v="0"/>
    <x v="0"/>
    <m/>
    <m/>
    <m/>
    <x v="1"/>
    <m/>
    <m/>
    <m/>
    <m/>
    <m/>
    <m/>
    <m/>
    <m/>
    <n v="20000"/>
    <m/>
    <m/>
    <n v="20000"/>
    <m/>
    <n v="20000"/>
    <m/>
    <n v="20000"/>
    <m/>
    <n v="20000"/>
    <m/>
    <n v="20000"/>
    <m/>
    <n v="20000"/>
    <m/>
    <n v="20000"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m/>
  </r>
  <r>
    <x v="136"/>
    <s v="PP"/>
    <s v="verabschiedet"/>
    <x v="0"/>
    <m/>
    <m/>
    <m/>
    <m/>
    <m/>
    <m/>
    <m/>
    <m/>
    <m/>
    <m/>
    <s v="5202-110-0044"/>
    <n v="1"/>
    <n v="1"/>
    <n v="0"/>
    <s v="0044"/>
    <x v="16"/>
    <m/>
    <s v="SGB"/>
    <s v="SSM"/>
    <x v="3"/>
    <x v="1"/>
    <x v="6"/>
    <x v="7"/>
    <x v="4"/>
    <x v="2"/>
    <x v="3"/>
    <m/>
    <m/>
    <m/>
    <x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s v="offen"/>
    <m/>
    <s v="offen"/>
    <m/>
    <s v="offen"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137"/>
    <s v="PP"/>
    <s v="verabschiedet"/>
    <x v="0"/>
    <m/>
    <m/>
    <m/>
    <m/>
    <m/>
    <m/>
    <m/>
    <m/>
    <m/>
    <m/>
    <s v="5202-110-0044"/>
    <n v="1"/>
    <n v="2"/>
    <n v="0"/>
    <s v="0044"/>
    <x v="16"/>
    <m/>
    <s v="SGB"/>
    <s v="SSM"/>
    <x v="3"/>
    <x v="1"/>
    <x v="6"/>
    <x v="7"/>
    <x v="4"/>
    <x v="2"/>
    <x v="3"/>
    <m/>
    <m/>
    <m/>
    <x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s v="offen"/>
    <m/>
    <s v="offen"/>
    <m/>
    <s v="offen"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138"/>
    <s v="Radar"/>
    <s v="X"/>
    <x v="0"/>
    <s v="offen"/>
    <m/>
    <m/>
    <m/>
    <m/>
    <m/>
    <m/>
    <m/>
    <m/>
    <m/>
    <s v="5202-400-0005"/>
    <n v="4"/>
    <n v="0"/>
    <n v="0"/>
    <s v="0005"/>
    <x v="1"/>
    <m/>
    <s v="offen"/>
    <s v="GG"/>
    <x v="4"/>
    <x v="1"/>
    <x v="16"/>
    <x v="6"/>
    <x v="2"/>
    <x v="3"/>
    <x v="0"/>
    <m/>
    <m/>
    <m/>
    <x v="10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n v="20"/>
    <m/>
    <m/>
    <m/>
    <m/>
    <n v="20"/>
    <m/>
    <m/>
    <m/>
    <n v="20"/>
    <m/>
    <m/>
    <m/>
    <m/>
    <n v="20"/>
    <m/>
    <m/>
    <m/>
    <n v="20"/>
    <m/>
    <m/>
    <m/>
    <m/>
    <n v="20"/>
    <m/>
    <m/>
    <m/>
    <n v="20"/>
    <m/>
    <m/>
    <m/>
    <m/>
    <n v="20"/>
    <n v="8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80"/>
    <n v="0.04"/>
  </r>
  <r>
    <x v="139"/>
    <s v="PP"/>
    <s v="nicht vorhanden"/>
    <x v="2"/>
    <s v="Verwaltungsvermögen (HSB)"/>
    <n v="3"/>
    <n v="4"/>
    <m/>
    <s v="2. Priorität Projekt"/>
    <m/>
    <m/>
    <m/>
    <m/>
    <m/>
    <s v="5202-200-0095"/>
    <n v="2"/>
    <n v="0"/>
    <n v="0"/>
    <s v="0095"/>
    <x v="2"/>
    <m/>
    <s v="HSB "/>
    <s v="SSM"/>
    <x v="3"/>
    <x v="1"/>
    <x v="8"/>
    <x v="5"/>
    <x v="1"/>
    <x v="4"/>
    <x v="0"/>
    <m/>
    <m/>
    <m/>
    <x v="2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n v="8"/>
    <m/>
    <m/>
    <m/>
    <m/>
    <n v="8"/>
    <m/>
    <m/>
    <m/>
    <n v="8"/>
    <m/>
    <m/>
    <m/>
    <m/>
    <n v="8"/>
    <m/>
    <m/>
    <m/>
    <n v="8"/>
    <m/>
    <m/>
    <m/>
    <m/>
    <n v="8"/>
    <m/>
    <m/>
    <m/>
    <n v="8"/>
    <m/>
    <m/>
    <m/>
    <m/>
    <n v="8"/>
    <n v="32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32"/>
    <n v="1.6E-2"/>
  </r>
  <r>
    <x v="140"/>
    <s v="Radar"/>
    <s v="X"/>
    <x v="6"/>
    <s v="Grauraum (Strassen, Plätze &amp; Verkehr)"/>
    <n v="1"/>
    <n v="1"/>
    <m/>
    <s v="1. Priorität Projekt"/>
    <m/>
    <m/>
    <m/>
    <m/>
    <m/>
    <s v="5202-400-0007"/>
    <n v="4"/>
    <n v="0"/>
    <n v="0"/>
    <s v="0007"/>
    <x v="1"/>
    <m/>
    <s v="TAB"/>
    <s v="SSM"/>
    <x v="3"/>
    <x v="1"/>
    <x v="6"/>
    <x v="6"/>
    <x v="2"/>
    <x v="3"/>
    <x v="0"/>
    <m/>
    <m/>
    <m/>
    <x v="10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n v="8"/>
    <m/>
    <n v="60"/>
    <m/>
    <m/>
    <m/>
    <n v="68"/>
    <m/>
    <n v="8"/>
    <m/>
    <n v="60"/>
    <m/>
    <m/>
    <m/>
    <m/>
    <n v="68"/>
    <m/>
    <n v="8"/>
    <m/>
    <n v="20"/>
    <m/>
    <m/>
    <m/>
    <m/>
    <n v="28"/>
    <m/>
    <n v="8"/>
    <m/>
    <n v="60"/>
    <m/>
    <m/>
    <m/>
    <m/>
    <n v="68"/>
    <n v="232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232"/>
    <n v="0.11600000000000001"/>
  </r>
  <r>
    <x v="141"/>
    <s v="PP"/>
    <s v="verabschiedet"/>
    <x v="1"/>
    <s v="Spielplatz"/>
    <n v="2"/>
    <n v="2"/>
    <m/>
    <s v="2. Priorität Projekt"/>
    <m/>
    <m/>
    <m/>
    <m/>
    <m/>
    <s v="5202-100-0047"/>
    <n v="1"/>
    <n v="0"/>
    <n v="0"/>
    <s v="0047"/>
    <x v="12"/>
    <m/>
    <s v="SGB"/>
    <s v="SSM"/>
    <x v="3"/>
    <x v="1"/>
    <x v="3"/>
    <x v="2"/>
    <x v="4"/>
    <x v="5"/>
    <x v="0"/>
    <m/>
    <m/>
    <m/>
    <x v="5"/>
    <s v="angemeldet"/>
    <s v="bewilligt"/>
    <s v="I5200230"/>
    <n v="200000"/>
    <m/>
    <n v="248"/>
    <n v="199752"/>
    <m/>
    <n v="180000"/>
    <n v="19752"/>
    <m/>
    <n v="19752"/>
    <m/>
    <m/>
    <m/>
    <m/>
    <m/>
    <m/>
    <m/>
    <m/>
    <m/>
    <m/>
    <m/>
    <m/>
    <m/>
    <m/>
    <m/>
    <m/>
    <m/>
    <m/>
    <m/>
    <m/>
    <n v="40"/>
    <m/>
    <n v="40"/>
    <m/>
    <m/>
    <n v="80"/>
    <m/>
    <m/>
    <m/>
    <n v="20"/>
    <m/>
    <n v="80"/>
    <m/>
    <m/>
    <n v="100"/>
    <m/>
    <m/>
    <m/>
    <n v="8"/>
    <m/>
    <n v="20"/>
    <m/>
    <m/>
    <n v="28"/>
    <m/>
    <m/>
    <m/>
    <n v="8"/>
    <m/>
    <m/>
    <m/>
    <m/>
    <n v="8"/>
    <n v="216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216"/>
    <n v="0.108"/>
  </r>
  <r>
    <x v="142"/>
    <s v="PP"/>
    <s v="offen"/>
    <x v="2"/>
    <s v="Verwaltungsvermögen (ISB)"/>
    <n v="3"/>
    <n v="3"/>
    <m/>
    <s v="2. Priorität Projekt"/>
    <m/>
    <m/>
    <m/>
    <m/>
    <m/>
    <s v="5202-200-0040"/>
    <n v="2"/>
    <n v="0"/>
    <n v="0"/>
    <s v="0040"/>
    <x v="8"/>
    <m/>
    <s v="ISB"/>
    <s v="GG"/>
    <x v="4"/>
    <x v="1"/>
    <x v="17"/>
    <x v="10"/>
    <x v="6"/>
    <x v="4"/>
    <x v="0"/>
    <m/>
    <m/>
    <m/>
    <x v="16"/>
    <m/>
    <m/>
    <m/>
    <m/>
    <m/>
    <m/>
    <n v="0"/>
    <m/>
    <n v="15000"/>
    <n v="-15000"/>
    <m/>
    <m/>
    <m/>
    <m/>
    <m/>
    <m/>
    <m/>
    <m/>
    <m/>
    <m/>
    <m/>
    <m/>
    <m/>
    <m/>
    <m/>
    <m/>
    <m/>
    <m/>
    <m/>
    <m/>
    <n v="8"/>
    <m/>
    <n v="40"/>
    <m/>
    <m/>
    <m/>
    <m/>
    <n v="48"/>
    <m/>
    <n v="8"/>
    <m/>
    <n v="40"/>
    <m/>
    <m/>
    <m/>
    <m/>
    <n v="48"/>
    <m/>
    <n v="8"/>
    <m/>
    <n v="20"/>
    <m/>
    <m/>
    <m/>
    <m/>
    <n v="28"/>
    <m/>
    <m/>
    <m/>
    <m/>
    <m/>
    <m/>
    <m/>
    <m/>
    <n v="0"/>
    <n v="124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124"/>
    <n v="6.2E-2"/>
  </r>
  <r>
    <x v="143"/>
    <s v="PP"/>
    <s v="verabschiedet"/>
    <x v="1"/>
    <s v="Spielplatz"/>
    <n v="2"/>
    <n v="1"/>
    <m/>
    <s v="2. Priorität Projekt"/>
    <m/>
    <m/>
    <m/>
    <m/>
    <m/>
    <s v="5202-100-0049"/>
    <n v="1"/>
    <n v="0"/>
    <n v="0"/>
    <s v="0049"/>
    <x v="16"/>
    <m/>
    <s v="SGB"/>
    <s v="SSM"/>
    <x v="3"/>
    <x v="1"/>
    <x v="3"/>
    <x v="2"/>
    <x v="4"/>
    <x v="5"/>
    <x v="0"/>
    <m/>
    <m/>
    <m/>
    <x v="9"/>
    <s v="angemeldet"/>
    <s v="bewilligt"/>
    <s v="I5200231"/>
    <n v="150000"/>
    <m/>
    <n v="1565"/>
    <n v="148435"/>
    <m/>
    <n v="120000"/>
    <n v="28435"/>
    <m/>
    <n v="28435"/>
    <m/>
    <m/>
    <m/>
    <m/>
    <m/>
    <m/>
    <m/>
    <m/>
    <m/>
    <m/>
    <m/>
    <m/>
    <m/>
    <m/>
    <m/>
    <m/>
    <m/>
    <m/>
    <n v="20"/>
    <m/>
    <n v="40"/>
    <m/>
    <m/>
    <m/>
    <m/>
    <n v="60"/>
    <m/>
    <n v="20"/>
    <m/>
    <n v="20"/>
    <m/>
    <n v="40"/>
    <m/>
    <m/>
    <n v="80"/>
    <m/>
    <n v="8"/>
    <m/>
    <n v="20"/>
    <m/>
    <n v="20"/>
    <m/>
    <m/>
    <n v="48"/>
    <m/>
    <m/>
    <m/>
    <n v="8"/>
    <m/>
    <n v="20"/>
    <m/>
    <m/>
    <n v="28"/>
    <n v="216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216"/>
    <n v="0.108"/>
  </r>
  <r>
    <x v="144"/>
    <s v="PP"/>
    <s v="verabschiedet"/>
    <x v="0"/>
    <m/>
    <m/>
    <m/>
    <m/>
    <m/>
    <m/>
    <m/>
    <m/>
    <m/>
    <m/>
    <s v="5202-110-0047"/>
    <n v="1"/>
    <n v="1"/>
    <n v="0"/>
    <s v="0047"/>
    <x v="12"/>
    <m/>
    <s v="SGB"/>
    <s v="SSM"/>
    <x v="3"/>
    <x v="1"/>
    <x v="3"/>
    <x v="2"/>
    <x v="4"/>
    <x v="5"/>
    <x v="3"/>
    <m/>
    <m/>
    <m/>
    <x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s v="offen"/>
    <m/>
    <s v="offen"/>
    <m/>
    <s v="offen"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145"/>
    <s v="PP"/>
    <s v="verabschiedet"/>
    <x v="0"/>
    <m/>
    <m/>
    <m/>
    <m/>
    <m/>
    <m/>
    <m/>
    <m/>
    <m/>
    <m/>
    <s v="5202-110-0047"/>
    <n v="1"/>
    <n v="2"/>
    <n v="0"/>
    <s v="0047"/>
    <x v="12"/>
    <m/>
    <s v="SGB"/>
    <s v="SSM"/>
    <x v="3"/>
    <x v="1"/>
    <x v="3"/>
    <x v="2"/>
    <x v="4"/>
    <x v="5"/>
    <x v="3"/>
    <m/>
    <m/>
    <m/>
    <x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s v="offen"/>
    <m/>
    <s v="offen"/>
    <m/>
    <s v="offen"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146"/>
    <s v="Abgeschl."/>
    <s v="nicht vorhanden"/>
    <x v="2"/>
    <s v="Verwaltungsvermögen (HSB)"/>
    <n v="3"/>
    <n v="3"/>
    <m/>
    <s v="2. Priorität Projekt"/>
    <m/>
    <m/>
    <m/>
    <m/>
    <m/>
    <s v="5202-200-0041"/>
    <n v="2"/>
    <n v="0"/>
    <n v="0"/>
    <s v="0041"/>
    <x v="11"/>
    <m/>
    <s v="HSB "/>
    <s v="SSM"/>
    <x v="3"/>
    <x v="1"/>
    <x v="8"/>
    <x v="5"/>
    <x v="1"/>
    <x v="4"/>
    <x v="0"/>
    <m/>
    <m/>
    <m/>
    <x v="2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147"/>
    <s v="PP"/>
    <s v="offen"/>
    <x v="0"/>
    <s v="Verwaltungsvermögen (ISB)"/>
    <m/>
    <m/>
    <m/>
    <m/>
    <m/>
    <m/>
    <m/>
    <m/>
    <m/>
    <s v="5202-211-0049"/>
    <n v="2"/>
    <n v="1"/>
    <n v="1"/>
    <s v="0049"/>
    <x v="8"/>
    <m/>
    <s v="SGB"/>
    <s v="GG"/>
    <x v="4"/>
    <x v="1"/>
    <x v="17"/>
    <x v="10"/>
    <x v="6"/>
    <x v="4"/>
    <x v="1"/>
    <m/>
    <m/>
    <m/>
    <x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s v="offen"/>
    <m/>
    <s v="offen"/>
    <m/>
    <s v="offen"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148"/>
    <s v="PP"/>
    <s v="nicht vorhanden"/>
    <x v="2"/>
    <s v="Grauraum (Strassen, Plätze &amp; Verkehr)"/>
    <n v="3"/>
    <n v="1"/>
    <m/>
    <s v="2. Priorität Projekt"/>
    <m/>
    <m/>
    <m/>
    <m/>
    <m/>
    <s v="5202-200-0043"/>
    <n v="2"/>
    <n v="0"/>
    <n v="0"/>
    <s v="0043"/>
    <x v="10"/>
    <m/>
    <s v="TAB"/>
    <s v="SSM"/>
    <x v="3"/>
    <x v="1"/>
    <x v="9"/>
    <x v="5"/>
    <x v="1"/>
    <x v="4"/>
    <x v="0"/>
    <m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n v="20"/>
    <m/>
    <n v="8"/>
    <m/>
    <m/>
    <m/>
    <m/>
    <m/>
    <m/>
    <n v="8"/>
    <m/>
    <n v="8"/>
    <m/>
    <m/>
    <m/>
    <m/>
    <m/>
    <m/>
    <n v="8"/>
    <m/>
    <n v="20"/>
    <m/>
    <m/>
    <m/>
    <m/>
    <m/>
    <m/>
    <n v="20"/>
    <n v="56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56"/>
    <n v="2.8000000000000001E-2"/>
  </r>
  <r>
    <x v="149"/>
    <s v="PP"/>
    <s v="verabschiedet"/>
    <x v="0"/>
    <m/>
    <m/>
    <m/>
    <m/>
    <m/>
    <m/>
    <m/>
    <m/>
    <m/>
    <m/>
    <s v="5202-110-0049"/>
    <n v="1"/>
    <n v="1"/>
    <n v="0"/>
    <s v="0049"/>
    <x v="16"/>
    <m/>
    <s v="SGB"/>
    <s v="SSM"/>
    <x v="3"/>
    <x v="1"/>
    <x v="3"/>
    <x v="2"/>
    <x v="4"/>
    <x v="5"/>
    <x v="3"/>
    <m/>
    <m/>
    <m/>
    <x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s v="offen"/>
    <m/>
    <s v="offen"/>
    <m/>
    <s v="offen"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150"/>
    <s v="PP"/>
    <s v="verabschiedet"/>
    <x v="0"/>
    <m/>
    <m/>
    <m/>
    <m/>
    <m/>
    <m/>
    <m/>
    <m/>
    <m/>
    <m/>
    <s v="5202-120-0049"/>
    <n v="1"/>
    <n v="2"/>
    <n v="0"/>
    <s v="0049"/>
    <x v="16"/>
    <m/>
    <s v="SGB"/>
    <s v="SSM"/>
    <x v="3"/>
    <x v="1"/>
    <x v="3"/>
    <x v="2"/>
    <x v="4"/>
    <x v="5"/>
    <x v="3"/>
    <m/>
    <m/>
    <m/>
    <x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s v="offen"/>
    <m/>
    <s v="offen"/>
    <m/>
    <s v="offen"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151"/>
    <s v="Abgeschl."/>
    <s v="verabschiedet"/>
    <x v="3"/>
    <s v="Spielplatz "/>
    <n v="2"/>
    <n v="1"/>
    <m/>
    <s v="2. Priorität Projekt"/>
    <m/>
    <m/>
    <m/>
    <m/>
    <m/>
    <s v="5202-100-0050"/>
    <n v="1"/>
    <n v="0"/>
    <n v="0"/>
    <s v="0050"/>
    <x v="11"/>
    <m/>
    <s v="SGB"/>
    <s v="SSM"/>
    <x v="3"/>
    <x v="1"/>
    <x v="6"/>
    <x v="6"/>
    <x v="2"/>
    <x v="3"/>
    <x v="0"/>
    <m/>
    <m/>
    <m/>
    <x v="5"/>
    <s v="angemeldet"/>
    <s v="bewilligt"/>
    <m/>
    <n v="175000"/>
    <m/>
    <n v="156835.29999999999"/>
    <n v="18164.700000000012"/>
    <m/>
    <m/>
    <n v="18164.700000000012"/>
    <m/>
    <m/>
    <m/>
    <m/>
    <m/>
    <m/>
    <m/>
    <m/>
    <m/>
    <m/>
    <m/>
    <m/>
    <m/>
    <m/>
    <m/>
    <m/>
    <m/>
    <m/>
    <m/>
    <m/>
    <m/>
    <m/>
    <n v="8"/>
    <m/>
    <m/>
    <m/>
    <m/>
    <n v="8"/>
    <m/>
    <m/>
    <m/>
    <m/>
    <m/>
    <m/>
    <m/>
    <m/>
    <n v="0"/>
    <m/>
    <m/>
    <m/>
    <m/>
    <m/>
    <m/>
    <m/>
    <m/>
    <n v="0"/>
    <m/>
    <m/>
    <m/>
    <m/>
    <m/>
    <m/>
    <m/>
    <m/>
    <n v="0"/>
    <n v="8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8"/>
    <n v="4.0000000000000001E-3"/>
  </r>
  <r>
    <x v="152"/>
    <s v="PP"/>
    <s v="nicht vorhanden"/>
    <x v="2"/>
    <s v="Verwaltungsvermögen (HSB)"/>
    <n v="3"/>
    <n v="3"/>
    <m/>
    <s v="2. Priorität Projekt"/>
    <m/>
    <m/>
    <m/>
    <m/>
    <m/>
    <s v="5202-200-0044"/>
    <n v="2"/>
    <n v="0"/>
    <n v="0"/>
    <s v="0044"/>
    <x v="8"/>
    <m/>
    <s v="HSB "/>
    <s v="SSM"/>
    <x v="3"/>
    <x v="1"/>
    <x v="6"/>
    <x v="5"/>
    <x v="1"/>
    <x v="4"/>
    <x v="0"/>
    <m/>
    <m/>
    <m/>
    <x v="2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n v="8"/>
    <m/>
    <m/>
    <m/>
    <m/>
    <n v="8"/>
    <m/>
    <m/>
    <m/>
    <n v="8"/>
    <m/>
    <m/>
    <m/>
    <m/>
    <n v="8"/>
    <m/>
    <m/>
    <m/>
    <n v="8"/>
    <m/>
    <m/>
    <m/>
    <m/>
    <n v="8"/>
    <m/>
    <m/>
    <m/>
    <n v="8"/>
    <m/>
    <m/>
    <m/>
    <m/>
    <n v="8"/>
    <n v="32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32"/>
    <n v="1.6E-2"/>
  </r>
  <r>
    <x v="153"/>
    <s v="PP"/>
    <s v="nicht vorhanden"/>
    <x v="2"/>
    <s v="Verwaltungsvermögen (HSB)"/>
    <n v="3"/>
    <n v="3"/>
    <m/>
    <s v="2. Priorität Projekt"/>
    <m/>
    <m/>
    <m/>
    <m/>
    <m/>
    <s v="5202-200-0045"/>
    <n v="2"/>
    <n v="0"/>
    <n v="0"/>
    <s v="0045"/>
    <x v="2"/>
    <m/>
    <s v="HSB "/>
    <s v="GG"/>
    <x v="4"/>
    <x v="1"/>
    <x v="16"/>
    <x v="5"/>
    <x v="1"/>
    <x v="4"/>
    <x v="0"/>
    <m/>
    <m/>
    <m/>
    <x v="2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n v="8"/>
    <m/>
    <m/>
    <m/>
    <m/>
    <n v="8"/>
    <m/>
    <m/>
    <m/>
    <m/>
    <m/>
    <m/>
    <m/>
    <m/>
    <n v="0"/>
    <m/>
    <m/>
    <m/>
    <m/>
    <m/>
    <m/>
    <m/>
    <m/>
    <n v="0"/>
    <n v="8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8"/>
    <n v="4.0000000000000001E-3"/>
  </r>
  <r>
    <x v="154"/>
    <s v="Sistiert"/>
    <s v="nicht vorhanden"/>
    <x v="2"/>
    <s v="Grauraum (Strassen, Plätze &amp; Verkehr)"/>
    <n v="4"/>
    <n v="4"/>
    <m/>
    <s v="3. Priorität Projekt"/>
    <m/>
    <m/>
    <m/>
    <m/>
    <m/>
    <s v="5202-200-0046"/>
    <n v="2"/>
    <n v="0"/>
    <n v="0"/>
    <s v="0046"/>
    <x v="10"/>
    <m/>
    <s v="TAB"/>
    <s v="SSM"/>
    <x v="3"/>
    <x v="1"/>
    <x v="9"/>
    <x v="5"/>
    <x v="1"/>
    <x v="4"/>
    <x v="0"/>
    <m/>
    <m/>
    <m/>
    <x v="2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n v="0"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155"/>
    <s v="PP"/>
    <s v="nicht vorhanden"/>
    <x v="2"/>
    <s v="Planungen, Studien, Arealentwicklung"/>
    <n v="1"/>
    <n v="1"/>
    <m/>
    <s v="1. Priorität Projekt"/>
    <m/>
    <m/>
    <m/>
    <m/>
    <m/>
    <s v="5202-200-0047"/>
    <n v="2"/>
    <n v="0"/>
    <n v="0"/>
    <s v="0047"/>
    <x v="3"/>
    <m/>
    <s v="HSB "/>
    <s v="SSM"/>
    <x v="2"/>
    <x v="4"/>
    <x v="13"/>
    <x v="5"/>
    <x v="1"/>
    <x v="4"/>
    <x v="0"/>
    <m/>
    <m/>
    <m/>
    <x v="2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s v="offen"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156"/>
    <s v="PP"/>
    <s v="nicht vorhanden"/>
    <x v="2"/>
    <s v="Verwaltungsvermögen (HSB)"/>
    <n v="1"/>
    <n v="1"/>
    <m/>
    <s v="1. Priorität Projekt"/>
    <m/>
    <m/>
    <m/>
    <m/>
    <m/>
    <s v="5202-200-0049"/>
    <n v="2"/>
    <n v="0"/>
    <n v="0"/>
    <s v="0049"/>
    <x v="2"/>
    <m/>
    <s v="HSB "/>
    <s v="GG"/>
    <x v="2"/>
    <x v="5"/>
    <x v="16"/>
    <x v="5"/>
    <x v="1"/>
    <x v="4"/>
    <x v="0"/>
    <m/>
    <m/>
    <m/>
    <x v="2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s v="52 Realisierung"/>
    <m/>
    <m/>
    <n v="0"/>
    <m/>
    <m/>
    <m/>
    <m/>
    <n v="0"/>
    <m/>
    <m/>
    <m/>
    <n v="0"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157"/>
    <s v="Radar"/>
    <s v="X"/>
    <x v="0"/>
    <m/>
    <m/>
    <m/>
    <m/>
    <m/>
    <m/>
    <m/>
    <m/>
    <m/>
    <m/>
    <s v="5202-600-0001"/>
    <n v="6"/>
    <n v="0"/>
    <n v="0"/>
    <s v="0001"/>
    <x v="1"/>
    <m/>
    <s v="SGB"/>
    <s v="Stab"/>
    <x v="6"/>
    <x v="5"/>
    <x v="4"/>
    <x v="3"/>
    <x v="3"/>
    <x v="1"/>
    <x v="0"/>
    <m/>
    <m/>
    <m/>
    <x v="10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158"/>
    <s v="PP"/>
    <s v="verabschiedet"/>
    <x v="1"/>
    <s v="Grauraum (Strassen, Plätze &amp; Verkehr)"/>
    <n v="2"/>
    <n v="1"/>
    <m/>
    <s v="2. Priorität Projekt"/>
    <m/>
    <m/>
    <m/>
    <m/>
    <m/>
    <s v="5202-100-0051"/>
    <n v="1"/>
    <n v="0"/>
    <n v="0"/>
    <s v="0051"/>
    <x v="7"/>
    <m/>
    <s v="SGB"/>
    <s v="GG"/>
    <x v="4"/>
    <x v="1"/>
    <x v="12"/>
    <x v="12"/>
    <x v="5"/>
    <x v="2"/>
    <x v="0"/>
    <m/>
    <m/>
    <m/>
    <x v="14"/>
    <s v="angemeldet"/>
    <s v="bewilligt"/>
    <m/>
    <n v="294000"/>
    <m/>
    <m/>
    <n v="294000"/>
    <m/>
    <n v="294000"/>
    <n v="0"/>
    <m/>
    <m/>
    <m/>
    <m/>
    <m/>
    <m/>
    <m/>
    <m/>
    <m/>
    <m/>
    <m/>
    <m/>
    <m/>
    <m/>
    <m/>
    <m/>
    <m/>
    <m/>
    <m/>
    <m/>
    <n v="8"/>
    <m/>
    <n v="8"/>
    <m/>
    <n v="40"/>
    <n v="40"/>
    <m/>
    <n v="96"/>
    <m/>
    <m/>
    <m/>
    <n v="20"/>
    <m/>
    <n v="40"/>
    <n v="80"/>
    <m/>
    <n v="140"/>
    <m/>
    <m/>
    <n v="8"/>
    <m/>
    <n v="8"/>
    <n v="80"/>
    <m/>
    <m/>
    <n v="96"/>
    <m/>
    <m/>
    <m/>
    <n v="8"/>
    <m/>
    <n v="40"/>
    <n v="40"/>
    <m/>
    <n v="88"/>
    <n v="42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420"/>
    <n v="0.21"/>
  </r>
  <r>
    <x v="159"/>
    <s v="PP"/>
    <s v="verabschiedet"/>
    <x v="1"/>
    <s v="Park- &amp; Grünanlagen"/>
    <n v="2"/>
    <n v="2"/>
    <m/>
    <s v="2. Priorität Projekt"/>
    <m/>
    <m/>
    <m/>
    <m/>
    <s v="Ja "/>
    <s v="5202-100-0052"/>
    <n v="1"/>
    <n v="0"/>
    <n v="0"/>
    <s v="0052"/>
    <x v="3"/>
    <m/>
    <s v="SGB"/>
    <s v="SSM"/>
    <x v="3"/>
    <x v="1"/>
    <x v="6"/>
    <x v="13"/>
    <x v="4"/>
    <x v="5"/>
    <x v="0"/>
    <m/>
    <m/>
    <m/>
    <x v="5"/>
    <s v="angemeldet"/>
    <s v="budgetiert"/>
    <m/>
    <n v="2000000"/>
    <m/>
    <m/>
    <n v="2000000"/>
    <m/>
    <n v="50000"/>
    <n v="1950000"/>
    <m/>
    <n v="1200000"/>
    <m/>
    <n v="750000"/>
    <m/>
    <m/>
    <m/>
    <m/>
    <m/>
    <m/>
    <m/>
    <m/>
    <m/>
    <m/>
    <m/>
    <m/>
    <m/>
    <m/>
    <m/>
    <m/>
    <n v="20"/>
    <m/>
    <n v="40"/>
    <n v="20"/>
    <n v="8"/>
    <n v="20"/>
    <m/>
    <n v="108"/>
    <m/>
    <m/>
    <m/>
    <n v="20"/>
    <m/>
    <m/>
    <m/>
    <m/>
    <n v="20"/>
    <m/>
    <m/>
    <m/>
    <n v="40"/>
    <m/>
    <m/>
    <m/>
    <m/>
    <n v="40"/>
    <m/>
    <n v="8"/>
    <m/>
    <n v="40"/>
    <m/>
    <m/>
    <m/>
    <m/>
    <n v="48"/>
    <n v="216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216"/>
    <n v="0.108"/>
  </r>
  <r>
    <x v="160"/>
    <s v="PP"/>
    <s v="nicht vorhanden"/>
    <x v="2"/>
    <s v="Grauraum (Strassen, Plätze &amp; Verkehr)"/>
    <n v="2"/>
    <n v="2"/>
    <m/>
    <s v="2. Priorität Projekt"/>
    <m/>
    <m/>
    <m/>
    <m/>
    <m/>
    <s v="5202-200-0050"/>
    <n v="2"/>
    <n v="0"/>
    <n v="0"/>
    <s v="0050"/>
    <x v="7"/>
    <m/>
    <s v="TAB"/>
    <s v="SSM"/>
    <x v="3"/>
    <x v="1"/>
    <x v="6"/>
    <x v="5"/>
    <x v="1"/>
    <x v="4"/>
    <x v="0"/>
    <m/>
    <m/>
    <m/>
    <x v="2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n v="20"/>
    <m/>
    <m/>
    <m/>
    <m/>
    <n v="20"/>
    <m/>
    <m/>
    <m/>
    <n v="20"/>
    <m/>
    <m/>
    <m/>
    <m/>
    <n v="20"/>
    <m/>
    <m/>
    <m/>
    <n v="20"/>
    <m/>
    <m/>
    <m/>
    <m/>
    <n v="20"/>
    <m/>
    <m/>
    <m/>
    <n v="8"/>
    <m/>
    <m/>
    <m/>
    <m/>
    <n v="8"/>
    <n v="68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68"/>
    <n v="3.4000000000000002E-2"/>
  </r>
  <r>
    <x v="161"/>
    <m/>
    <m/>
    <x v="0"/>
    <m/>
    <m/>
    <m/>
    <m/>
    <m/>
    <m/>
    <m/>
    <m/>
    <m/>
    <m/>
    <m/>
    <m/>
    <m/>
    <m/>
    <m/>
    <x v="0"/>
    <m/>
    <m/>
    <m/>
    <x v="0"/>
    <x v="0"/>
    <x v="0"/>
    <x v="0"/>
    <x v="0"/>
    <x v="0"/>
    <x v="0"/>
    <m/>
    <m/>
    <m/>
    <x v="8"/>
    <m/>
    <m/>
    <m/>
    <m/>
    <m/>
    <m/>
    <m/>
    <m/>
    <n v="15000"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m/>
  </r>
  <r>
    <x v="162"/>
    <s v="PP"/>
    <s v="verabschiedet"/>
    <x v="0"/>
    <m/>
    <m/>
    <m/>
    <m/>
    <m/>
    <m/>
    <m/>
    <m/>
    <m/>
    <m/>
    <s v="5202-110-0051"/>
    <n v="1"/>
    <n v="1"/>
    <n v="0"/>
    <s v="0051"/>
    <x v="7"/>
    <m/>
    <s v="SGB"/>
    <s v="GG"/>
    <x v="4"/>
    <x v="1"/>
    <x v="12"/>
    <x v="8"/>
    <x v="3"/>
    <x v="1"/>
    <x v="3"/>
    <m/>
    <m/>
    <m/>
    <x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s v="offen"/>
    <m/>
    <s v="offen"/>
    <m/>
    <s v="offen"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163"/>
    <s v="PP"/>
    <s v="verabschiedet"/>
    <x v="0"/>
    <m/>
    <m/>
    <m/>
    <m/>
    <m/>
    <m/>
    <m/>
    <m/>
    <m/>
    <m/>
    <s v="5202-110-0051"/>
    <n v="1"/>
    <n v="2"/>
    <n v="0"/>
    <s v="0051"/>
    <x v="7"/>
    <m/>
    <s v="SGB"/>
    <s v="GG"/>
    <x v="4"/>
    <x v="1"/>
    <x v="12"/>
    <x v="8"/>
    <x v="3"/>
    <x v="1"/>
    <x v="3"/>
    <m/>
    <m/>
    <m/>
    <x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s v="offen"/>
    <m/>
    <s v="offen"/>
    <m/>
    <s v="offen"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164"/>
    <s v="PP"/>
    <s v="nicht vorhanden"/>
    <x v="2"/>
    <s v="Planungen, Studien, Arealentwicklung"/>
    <n v="3"/>
    <n v="3"/>
    <m/>
    <s v="2. Priorität Projekt"/>
    <m/>
    <m/>
    <m/>
    <m/>
    <m/>
    <s v="5202-200-0052"/>
    <n v="2"/>
    <n v="0"/>
    <n v="0"/>
    <s v="0052"/>
    <x v="8"/>
    <m/>
    <s v="Andere"/>
    <s v="SSM"/>
    <x v="3"/>
    <x v="1"/>
    <x v="6"/>
    <x v="5"/>
    <x v="1"/>
    <x v="4"/>
    <x v="0"/>
    <m/>
    <m/>
    <m/>
    <x v="2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n v="8"/>
    <m/>
    <m/>
    <m/>
    <m/>
    <n v="8"/>
    <m/>
    <m/>
    <m/>
    <n v="8"/>
    <m/>
    <m/>
    <m/>
    <m/>
    <n v="8"/>
    <m/>
    <m/>
    <n v="8"/>
    <m/>
    <m/>
    <m/>
    <m/>
    <m/>
    <n v="8"/>
    <m/>
    <m/>
    <m/>
    <n v="8"/>
    <m/>
    <m/>
    <m/>
    <m/>
    <n v="8"/>
    <n v="32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32"/>
    <n v="1.6E-2"/>
  </r>
  <r>
    <x v="165"/>
    <s v="PP"/>
    <s v="offen"/>
    <x v="3"/>
    <s v="Familiengarten"/>
    <n v="3"/>
    <n v="1"/>
    <m/>
    <s v="2. Priorität Projekt"/>
    <m/>
    <m/>
    <m/>
    <m/>
    <m/>
    <s v="5202-100-0054"/>
    <n v="1"/>
    <n v="0"/>
    <n v="0"/>
    <s v="0054"/>
    <x v="8"/>
    <m/>
    <s v="SGB"/>
    <s v="GG"/>
    <x v="4"/>
    <x v="5"/>
    <x v="11"/>
    <x v="3"/>
    <x v="3"/>
    <x v="1"/>
    <x v="0"/>
    <m/>
    <m/>
    <m/>
    <x v="4"/>
    <s v="angemeldet"/>
    <s v="bewilligt"/>
    <s v="I5200130"/>
    <n v="232000"/>
    <m/>
    <n v="9628"/>
    <n v="222372"/>
    <m/>
    <n v="222372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n v="20"/>
    <m/>
    <m/>
    <n v="20"/>
    <m/>
    <m/>
    <m/>
    <m/>
    <m/>
    <n v="20"/>
    <m/>
    <m/>
    <n v="20"/>
    <n v="4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40"/>
    <n v="0.02"/>
  </r>
  <r>
    <x v="166"/>
    <s v="offen"/>
    <s v="offen"/>
    <x v="1"/>
    <s v="Natur &amp; Ökologie"/>
    <n v="2"/>
    <n v="1"/>
    <m/>
    <s v="2. Priorität Projekt"/>
    <m/>
    <m/>
    <m/>
    <m/>
    <m/>
    <s v="5202-100-0055"/>
    <n v="1"/>
    <n v="0"/>
    <n v="0"/>
    <s v="0055"/>
    <x v="1"/>
    <m/>
    <s v="SGB"/>
    <s v="NÖ"/>
    <x v="1"/>
    <x v="1"/>
    <x v="2"/>
    <x v="3"/>
    <x v="3"/>
    <x v="1"/>
    <x v="0"/>
    <m/>
    <m/>
    <m/>
    <x v="1"/>
    <m/>
    <m/>
    <m/>
    <m/>
    <m/>
    <m/>
    <m/>
    <m/>
    <m/>
    <m/>
    <m/>
    <m/>
    <m/>
    <n v="10000"/>
    <m/>
    <n v="10000"/>
    <m/>
    <n v="10000"/>
    <m/>
    <m/>
    <m/>
    <n v="10000"/>
    <m/>
    <n v="10000"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167"/>
    <m/>
    <m/>
    <x v="2"/>
    <s v="Natur &amp; Ökologie"/>
    <n v="4"/>
    <n v="1"/>
    <m/>
    <s v="2. Priorität Projekt"/>
    <m/>
    <m/>
    <m/>
    <m/>
    <m/>
    <m/>
    <m/>
    <m/>
    <m/>
    <m/>
    <x v="0"/>
    <m/>
    <m/>
    <s v="NÖ"/>
    <x v="1"/>
    <x v="0"/>
    <x v="2"/>
    <x v="0"/>
    <x v="0"/>
    <x v="0"/>
    <x v="0"/>
    <m/>
    <m/>
    <m/>
    <x v="1"/>
    <m/>
    <m/>
    <m/>
    <m/>
    <m/>
    <m/>
    <m/>
    <m/>
    <n v="3000"/>
    <m/>
    <m/>
    <n v="3000"/>
    <m/>
    <n v="3000"/>
    <m/>
    <n v="3000"/>
    <m/>
    <n v="3000"/>
    <m/>
    <n v="3000"/>
    <m/>
    <n v="3000"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168"/>
    <s v="offen"/>
    <s v="offen"/>
    <x v="1"/>
    <s v="Natur &amp; Ökologie"/>
    <n v="4"/>
    <n v="1"/>
    <m/>
    <s v="2. Priorität Projekt"/>
    <m/>
    <m/>
    <m/>
    <m/>
    <m/>
    <s v="5202-500-0014"/>
    <n v="5"/>
    <n v="0"/>
    <n v="0"/>
    <s v="0014"/>
    <x v="1"/>
    <m/>
    <s v="offen"/>
    <s v="NÖ"/>
    <x v="1"/>
    <x v="1"/>
    <x v="1"/>
    <x v="3"/>
    <x v="3"/>
    <x v="1"/>
    <x v="0"/>
    <m/>
    <m/>
    <m/>
    <x v="2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169"/>
    <s v="Radar"/>
    <s v="X"/>
    <x v="1"/>
    <s v="Natur &amp; Ökologie"/>
    <n v="3"/>
    <n v="1"/>
    <m/>
    <s v="2. Priorität Projekt"/>
    <m/>
    <m/>
    <m/>
    <m/>
    <m/>
    <s v="5202-500-0015"/>
    <n v="5"/>
    <n v="0"/>
    <n v="0"/>
    <s v="0015"/>
    <x v="1"/>
    <m/>
    <s v="SGB"/>
    <s v="NÖ"/>
    <x v="1"/>
    <x v="3"/>
    <x v="10"/>
    <x v="3"/>
    <x v="3"/>
    <x v="1"/>
    <x v="0"/>
    <m/>
    <m/>
    <m/>
    <x v="1"/>
    <m/>
    <m/>
    <m/>
    <m/>
    <m/>
    <m/>
    <m/>
    <m/>
    <n v="15000"/>
    <m/>
    <m/>
    <n v="15000"/>
    <m/>
    <n v="15000"/>
    <m/>
    <n v="15000"/>
    <m/>
    <n v="5000"/>
    <m/>
    <n v="5000"/>
    <m/>
    <n v="5000"/>
    <m/>
    <n v="5000"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170"/>
    <s v="offen"/>
    <s v="X"/>
    <x v="1"/>
    <s v="Natur &amp; Ökologie"/>
    <n v="3"/>
    <n v="1"/>
    <m/>
    <s v="2. Priorität Projekt"/>
    <m/>
    <m/>
    <m/>
    <m/>
    <m/>
    <s v="5202-400-0008"/>
    <n v="4"/>
    <n v="0"/>
    <n v="0"/>
    <s v="0008"/>
    <x v="1"/>
    <m/>
    <s v="offen"/>
    <s v="NÖ"/>
    <x v="1"/>
    <x v="1"/>
    <x v="1"/>
    <x v="3"/>
    <x v="3"/>
    <x v="1"/>
    <x v="0"/>
    <m/>
    <m/>
    <m/>
    <x v="10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171"/>
    <s v="offen"/>
    <s v="offen"/>
    <x v="1"/>
    <s v="Natur &amp; Ökologie"/>
    <n v="2"/>
    <n v="1"/>
    <m/>
    <s v="2. Priorität Projekt"/>
    <m/>
    <m/>
    <m/>
    <m/>
    <m/>
    <s v="5202-400-0009"/>
    <n v="4"/>
    <n v="0"/>
    <n v="0"/>
    <s v="0009"/>
    <x v="1"/>
    <m/>
    <s v="SGB"/>
    <s v="NÖ"/>
    <x v="1"/>
    <x v="5"/>
    <x v="18"/>
    <x v="3"/>
    <x v="3"/>
    <x v="1"/>
    <x v="0"/>
    <m/>
    <m/>
    <m/>
    <x v="10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172"/>
    <s v="offen"/>
    <s v="offen"/>
    <x v="1"/>
    <s v="Natur &amp; Ökologie"/>
    <n v="2"/>
    <n v="1"/>
    <m/>
    <s v="2. Priorität Projekt"/>
    <m/>
    <m/>
    <m/>
    <m/>
    <m/>
    <s v="5202-300-0008"/>
    <n v="3"/>
    <n v="0"/>
    <n v="0"/>
    <s v="0008"/>
    <x v="1"/>
    <m/>
    <s v="SGB"/>
    <s v="NÖ"/>
    <x v="1"/>
    <x v="5"/>
    <x v="18"/>
    <x v="3"/>
    <x v="3"/>
    <x v="1"/>
    <x v="0"/>
    <m/>
    <m/>
    <m/>
    <x v="1"/>
    <m/>
    <m/>
    <m/>
    <m/>
    <n v="8000"/>
    <m/>
    <m/>
    <m/>
    <n v="60000"/>
    <m/>
    <m/>
    <n v="60000"/>
    <m/>
    <n v="60000"/>
    <m/>
    <n v="60000"/>
    <m/>
    <n v="60000"/>
    <m/>
    <n v="60000"/>
    <m/>
    <n v="60000"/>
    <m/>
    <n v="60000"/>
    <m/>
    <n v="60000"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173"/>
    <m/>
    <m/>
    <x v="1"/>
    <s v="Natur &amp; Ökologie"/>
    <n v="2"/>
    <n v="1"/>
    <m/>
    <s v="2. Priorität Projekt"/>
    <m/>
    <m/>
    <m/>
    <m/>
    <m/>
    <s v="5202-300-0008"/>
    <n v="3"/>
    <n v="0"/>
    <n v="0"/>
    <s v="0008"/>
    <x v="1"/>
    <m/>
    <s v="SGB"/>
    <s v="NÖ"/>
    <x v="1"/>
    <x v="1"/>
    <x v="18"/>
    <x v="6"/>
    <x v="2"/>
    <x v="3"/>
    <x v="0"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174"/>
    <s v="PP"/>
    <s v="nicht vorhanden"/>
    <x v="2"/>
    <s v="Verwaltungsvermögen (HSB)"/>
    <n v="4"/>
    <n v="4"/>
    <m/>
    <s v="3. Priorität Projekt"/>
    <m/>
    <m/>
    <m/>
    <m/>
    <m/>
    <s v="5202-200-0053"/>
    <n v="2"/>
    <n v="0"/>
    <n v="0"/>
    <s v="0053"/>
    <x v="9"/>
    <m/>
    <s v="HSB "/>
    <s v="SSM"/>
    <x v="3"/>
    <x v="5"/>
    <x v="6"/>
    <x v="5"/>
    <x v="1"/>
    <x v="4"/>
    <x v="0"/>
    <m/>
    <m/>
    <m/>
    <x v="2"/>
    <m/>
    <m/>
    <m/>
    <m/>
    <m/>
    <m/>
    <n v="0"/>
    <m/>
    <m/>
    <n v="0"/>
    <m/>
    <s v="X"/>
    <m/>
    <m/>
    <m/>
    <m/>
    <m/>
    <m/>
    <m/>
    <m/>
    <m/>
    <m/>
    <m/>
    <m/>
    <m/>
    <m/>
    <m/>
    <m/>
    <m/>
    <m/>
    <m/>
    <m/>
    <n v="20"/>
    <m/>
    <m/>
    <m/>
    <m/>
    <n v="20"/>
    <m/>
    <n v="0"/>
    <n v="0"/>
    <n v="0"/>
    <n v="0"/>
    <n v="0"/>
    <n v="0"/>
    <n v="0"/>
    <n v="0"/>
    <m/>
    <n v="0"/>
    <n v="0"/>
    <n v="0"/>
    <n v="0"/>
    <n v="0"/>
    <n v="0"/>
    <n v="0"/>
    <n v="0"/>
    <m/>
    <n v="0"/>
    <n v="0"/>
    <n v="0"/>
    <n v="0"/>
    <n v="0"/>
    <n v="0"/>
    <n v="0"/>
    <n v="0"/>
    <n v="2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20"/>
    <n v="0.01"/>
  </r>
  <r>
    <x v="175"/>
    <m/>
    <m/>
    <x v="0"/>
    <m/>
    <m/>
    <m/>
    <m/>
    <m/>
    <m/>
    <m/>
    <m/>
    <m/>
    <m/>
    <m/>
    <m/>
    <m/>
    <m/>
    <m/>
    <x v="0"/>
    <m/>
    <m/>
    <m/>
    <x v="0"/>
    <x v="0"/>
    <x v="0"/>
    <x v="0"/>
    <x v="0"/>
    <x v="0"/>
    <x v="0"/>
    <m/>
    <m/>
    <m/>
    <x v="13"/>
    <m/>
    <m/>
    <m/>
    <m/>
    <m/>
    <m/>
    <m/>
    <m/>
    <n v="30000"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m/>
  </r>
  <r>
    <x v="176"/>
    <s v="PP"/>
    <s v="offen"/>
    <x v="5"/>
    <s v="Ausgelöst von GR / Direktion"/>
    <n v="2"/>
    <n v="1"/>
    <m/>
    <s v="2. Priorität Projekt"/>
    <m/>
    <m/>
    <m/>
    <m/>
    <m/>
    <s v="5202-100-0057"/>
    <n v="1"/>
    <n v="0"/>
    <n v="0"/>
    <s v="0057"/>
    <x v="1"/>
    <m/>
    <s v="SGB"/>
    <s v="SSM"/>
    <x v="5"/>
    <x v="5"/>
    <x v="8"/>
    <x v="3"/>
    <x v="3"/>
    <x v="1"/>
    <x v="0"/>
    <m/>
    <m/>
    <m/>
    <x v="10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m/>
    <n v="0"/>
    <n v="0"/>
    <n v="0"/>
    <n v="0"/>
    <n v="0"/>
    <n v="0"/>
    <n v="0"/>
    <n v="0"/>
    <m/>
    <n v="0"/>
    <n v="0"/>
    <n v="0"/>
    <n v="0"/>
    <n v="0"/>
    <n v="0"/>
    <n v="0"/>
    <n v="0"/>
    <m/>
    <n v="0"/>
    <n v="0"/>
    <n v="0"/>
    <n v="0"/>
    <n v="0"/>
    <n v="0"/>
    <n v="0"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177"/>
    <m/>
    <m/>
    <x v="0"/>
    <m/>
    <m/>
    <m/>
    <m/>
    <m/>
    <m/>
    <m/>
    <m/>
    <m/>
    <m/>
    <m/>
    <m/>
    <m/>
    <m/>
    <m/>
    <x v="0"/>
    <m/>
    <m/>
    <m/>
    <x v="0"/>
    <x v="0"/>
    <x v="0"/>
    <x v="0"/>
    <x v="0"/>
    <x v="0"/>
    <x v="0"/>
    <m/>
    <m/>
    <m/>
    <x v="13"/>
    <m/>
    <m/>
    <m/>
    <m/>
    <m/>
    <m/>
    <m/>
    <m/>
    <n v="8000"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m/>
  </r>
  <r>
    <x v="178"/>
    <s v="offen"/>
    <s v="X"/>
    <x v="0"/>
    <m/>
    <m/>
    <m/>
    <m/>
    <m/>
    <m/>
    <m/>
    <m/>
    <m/>
    <m/>
    <s v="5202-500-0017"/>
    <n v="5"/>
    <n v="0"/>
    <n v="0"/>
    <s v="0017"/>
    <x v="1"/>
    <m/>
    <s v="SGB"/>
    <s v="offen"/>
    <x v="2"/>
    <x v="5"/>
    <x v="4"/>
    <x v="3"/>
    <x v="3"/>
    <x v="1"/>
    <x v="0"/>
    <m/>
    <m/>
    <m/>
    <x v="10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179"/>
    <s v="offen"/>
    <s v="X"/>
    <x v="0"/>
    <m/>
    <m/>
    <m/>
    <m/>
    <m/>
    <m/>
    <m/>
    <m/>
    <m/>
    <m/>
    <s v="5202-500-0016"/>
    <n v="5"/>
    <n v="0"/>
    <n v="0"/>
    <s v="0016"/>
    <x v="1"/>
    <m/>
    <s v="SGB"/>
    <s v="offen"/>
    <x v="2"/>
    <x v="5"/>
    <x v="4"/>
    <x v="3"/>
    <x v="3"/>
    <x v="1"/>
    <x v="0"/>
    <m/>
    <m/>
    <m/>
    <x v="10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180"/>
    <s v="offen"/>
    <s v="offen"/>
    <x v="2"/>
    <s v="Natur &amp; Ökologie"/>
    <n v="5"/>
    <n v="2"/>
    <m/>
    <s v="2. Priorität Projekt"/>
    <m/>
    <m/>
    <m/>
    <m/>
    <m/>
    <s v="5202-500-0018"/>
    <n v="5"/>
    <n v="0"/>
    <n v="0"/>
    <s v="0018"/>
    <x v="1"/>
    <m/>
    <s v="SGB"/>
    <s v="NÖ"/>
    <x v="1"/>
    <x v="5"/>
    <x v="10"/>
    <x v="3"/>
    <x v="3"/>
    <x v="1"/>
    <x v="0"/>
    <m/>
    <m/>
    <m/>
    <x v="1"/>
    <m/>
    <m/>
    <m/>
    <m/>
    <m/>
    <m/>
    <m/>
    <m/>
    <n v="1500"/>
    <m/>
    <m/>
    <n v="1500"/>
    <m/>
    <n v="1500"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181"/>
    <s v="PP"/>
    <s v="nicht vorhanden"/>
    <x v="2"/>
    <s v="Verwaltungsvermögen (HSB)"/>
    <n v="3"/>
    <n v="3"/>
    <m/>
    <s v="2. Priorität Projekt"/>
    <m/>
    <m/>
    <m/>
    <m/>
    <m/>
    <s v="5202-200-0056"/>
    <n v="2"/>
    <n v="0"/>
    <n v="0"/>
    <s v="0056"/>
    <x v="16"/>
    <m/>
    <s v="HSB "/>
    <s v="SSM"/>
    <x v="3"/>
    <x v="1"/>
    <x v="9"/>
    <x v="5"/>
    <x v="1"/>
    <x v="4"/>
    <x v="0"/>
    <m/>
    <m/>
    <m/>
    <x v="2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n v="8"/>
    <m/>
    <m/>
    <m/>
    <m/>
    <m/>
    <m/>
    <n v="8"/>
    <m/>
    <n v="8"/>
    <m/>
    <m/>
    <m/>
    <m/>
    <m/>
    <m/>
    <n v="8"/>
    <m/>
    <n v="8"/>
    <m/>
    <m/>
    <m/>
    <m/>
    <m/>
    <m/>
    <n v="8"/>
    <m/>
    <n v="8"/>
    <m/>
    <m/>
    <m/>
    <m/>
    <m/>
    <m/>
    <n v="8"/>
    <n v="32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32"/>
    <n v="1.6E-2"/>
  </r>
  <r>
    <x v="182"/>
    <m/>
    <m/>
    <x v="0"/>
    <m/>
    <m/>
    <m/>
    <m/>
    <m/>
    <m/>
    <m/>
    <m/>
    <m/>
    <m/>
    <m/>
    <m/>
    <m/>
    <m/>
    <m/>
    <x v="0"/>
    <m/>
    <m/>
    <m/>
    <x v="0"/>
    <x v="0"/>
    <x v="0"/>
    <x v="0"/>
    <x v="0"/>
    <x v="0"/>
    <x v="0"/>
    <m/>
    <m/>
    <m/>
    <x v="17"/>
    <m/>
    <m/>
    <m/>
    <m/>
    <m/>
    <m/>
    <m/>
    <m/>
    <n v="14000"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m/>
  </r>
  <r>
    <x v="183"/>
    <s v="PP"/>
    <s v="X"/>
    <x v="1"/>
    <s v="Natur &amp; Ökologie"/>
    <n v="2"/>
    <n v="1"/>
    <m/>
    <s v="2. Priorität Projekt"/>
    <m/>
    <m/>
    <m/>
    <m/>
    <m/>
    <s v="5202-401-0006"/>
    <n v="4"/>
    <n v="0"/>
    <n v="1"/>
    <s v="0006"/>
    <x v="1"/>
    <m/>
    <s v="SGB"/>
    <s v="NÖ"/>
    <x v="1"/>
    <x v="1"/>
    <x v="18"/>
    <x v="6"/>
    <x v="2"/>
    <x v="3"/>
    <x v="0"/>
    <m/>
    <m/>
    <m/>
    <x v="4"/>
    <s v="offen"/>
    <s v="budgetiert"/>
    <m/>
    <n v="600000"/>
    <m/>
    <m/>
    <n v="600000"/>
    <m/>
    <n v="120000"/>
    <n v="480000"/>
    <m/>
    <n v="120000"/>
    <m/>
    <n v="120000"/>
    <m/>
    <n v="120000"/>
    <m/>
    <n v="120000"/>
    <m/>
    <n v="120000"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184"/>
    <s v="offen"/>
    <s v="offen"/>
    <x v="0"/>
    <m/>
    <m/>
    <m/>
    <m/>
    <m/>
    <m/>
    <m/>
    <m/>
    <m/>
    <m/>
    <s v="5202-300-0009"/>
    <n v="3"/>
    <n v="0"/>
    <n v="0"/>
    <s v="0009"/>
    <x v="1"/>
    <m/>
    <s v="SGB"/>
    <s v="Stab"/>
    <x v="6"/>
    <x v="4"/>
    <x v="14"/>
    <x v="3"/>
    <x v="3"/>
    <x v="1"/>
    <x v="0"/>
    <m/>
    <m/>
    <m/>
    <x v="10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n v="20"/>
    <n v="20"/>
    <n v="20"/>
    <m/>
    <m/>
    <m/>
    <m/>
    <n v="60"/>
    <m/>
    <n v="20"/>
    <n v="20"/>
    <n v="20"/>
    <m/>
    <m/>
    <m/>
    <m/>
    <n v="60"/>
    <m/>
    <n v="20"/>
    <n v="20"/>
    <n v="20"/>
    <m/>
    <m/>
    <m/>
    <m/>
    <n v="60"/>
    <m/>
    <n v="20"/>
    <n v="20"/>
    <n v="20"/>
    <m/>
    <m/>
    <m/>
    <m/>
    <n v="60"/>
    <n v="24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240"/>
    <n v="0.12"/>
  </r>
  <r>
    <x v="185"/>
    <s v="PP"/>
    <m/>
    <x v="0"/>
    <m/>
    <m/>
    <m/>
    <m/>
    <m/>
    <m/>
    <m/>
    <m/>
    <m/>
    <m/>
    <m/>
    <m/>
    <m/>
    <m/>
    <m/>
    <x v="0"/>
    <m/>
    <s v="SGB"/>
    <s v="Stab"/>
    <x v="6"/>
    <x v="1"/>
    <x v="5"/>
    <x v="6"/>
    <x v="2"/>
    <x v="3"/>
    <x v="0"/>
    <m/>
    <m/>
    <m/>
    <x v="8"/>
    <m/>
    <m/>
    <m/>
    <m/>
    <m/>
    <m/>
    <m/>
    <m/>
    <n v="6500"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m/>
  </r>
  <r>
    <x v="186"/>
    <m/>
    <m/>
    <x v="1"/>
    <s v="Natur &amp; Ökologie"/>
    <n v="2"/>
    <n v="1"/>
    <m/>
    <s v="2. Priorität Projekt"/>
    <m/>
    <m/>
    <m/>
    <m/>
    <m/>
    <s v="5202-200-0058"/>
    <n v="4"/>
    <n v="0"/>
    <n v="1"/>
    <s v="0006"/>
    <x v="1"/>
    <m/>
    <s v="SGB"/>
    <s v="NÖ"/>
    <x v="1"/>
    <x v="0"/>
    <x v="10"/>
    <x v="0"/>
    <x v="0"/>
    <x v="0"/>
    <x v="0"/>
    <m/>
    <m/>
    <m/>
    <x v="1"/>
    <m/>
    <m/>
    <m/>
    <m/>
    <m/>
    <m/>
    <m/>
    <m/>
    <n v="7000"/>
    <m/>
    <m/>
    <n v="2000"/>
    <m/>
    <n v="2000"/>
    <m/>
    <n v="2000"/>
    <m/>
    <n v="2000"/>
    <m/>
    <n v="2000"/>
    <m/>
    <n v="2000"/>
    <m/>
    <n v="2000"/>
    <m/>
    <n v="2000"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m/>
  </r>
  <r>
    <x v="187"/>
    <s v="PP"/>
    <s v="offen"/>
    <x v="2"/>
    <s v="Planungen, Studien, Arealentwicklung"/>
    <n v="1"/>
    <n v="2"/>
    <m/>
    <s v="2. Priorität Projekt"/>
    <m/>
    <m/>
    <m/>
    <m/>
    <m/>
    <s v="5202-200-0058"/>
    <n v="2"/>
    <n v="0"/>
    <n v="0"/>
    <s v="0058"/>
    <x v="2"/>
    <m/>
    <s v="SPA"/>
    <s v="NÖ"/>
    <x v="1"/>
    <x v="5"/>
    <x v="2"/>
    <x v="3"/>
    <x v="3"/>
    <x v="1"/>
    <x v="0"/>
    <m/>
    <m/>
    <m/>
    <x v="2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188"/>
    <s v="PP"/>
    <m/>
    <x v="2"/>
    <s v="Planungen, Studien, Arealentwicklung"/>
    <n v="2"/>
    <n v="1"/>
    <m/>
    <s v="2. Priorität Projekt"/>
    <m/>
    <m/>
    <m/>
    <m/>
    <m/>
    <s v="5202-200-0058"/>
    <m/>
    <m/>
    <m/>
    <m/>
    <x v="0"/>
    <m/>
    <s v="SPA"/>
    <s v="Stab"/>
    <x v="6"/>
    <x v="0"/>
    <x v="0"/>
    <x v="0"/>
    <x v="0"/>
    <x v="0"/>
    <x v="0"/>
    <m/>
    <m/>
    <m/>
    <x v="18"/>
    <m/>
    <m/>
    <m/>
    <n v="500000"/>
    <m/>
    <m/>
    <n v="500000"/>
    <m/>
    <m/>
    <n v="500000"/>
    <m/>
    <n v="50000"/>
    <m/>
    <n v="250000"/>
    <m/>
    <n v="200000"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189"/>
    <s v="offen"/>
    <s v="offen"/>
    <x v="1"/>
    <s v="Natur &amp; Ökologie"/>
    <n v="1"/>
    <n v="2"/>
    <m/>
    <s v="2. Priorität Projekt"/>
    <m/>
    <m/>
    <m/>
    <m/>
    <m/>
    <s v="5202-500-0019"/>
    <n v="5"/>
    <n v="0"/>
    <n v="0"/>
    <s v="0019"/>
    <x v="1"/>
    <m/>
    <s v="SGB"/>
    <s v="NÖ"/>
    <x v="1"/>
    <x v="5"/>
    <x v="2"/>
    <x v="3"/>
    <x v="3"/>
    <x v="1"/>
    <x v="0"/>
    <m/>
    <m/>
    <m/>
    <x v="18"/>
    <m/>
    <m/>
    <m/>
    <m/>
    <m/>
    <m/>
    <m/>
    <m/>
    <n v="25000"/>
    <m/>
    <m/>
    <n v="25000"/>
    <m/>
    <n v="25000"/>
    <m/>
    <n v="25000"/>
    <m/>
    <n v="25000"/>
    <m/>
    <n v="25000"/>
    <m/>
    <n v="25000"/>
    <m/>
    <n v="25000"/>
    <m/>
    <n v="25000"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190"/>
    <s v="PP"/>
    <s v="verabschiedet"/>
    <x v="5"/>
    <s v="Ausgelöst von GR / Direktion"/>
    <n v="5"/>
    <n v="2"/>
    <m/>
    <s v="2. Priorität Projekt"/>
    <m/>
    <m/>
    <m/>
    <m/>
    <m/>
    <s v="5202-100-0059"/>
    <n v="1"/>
    <n v="0"/>
    <n v="0"/>
    <s v="0059"/>
    <x v="12"/>
    <m/>
    <s v="SGB"/>
    <s v="SSM"/>
    <x v="3"/>
    <x v="1"/>
    <x v="11"/>
    <x v="9"/>
    <x v="4"/>
    <x v="5"/>
    <x v="0"/>
    <m/>
    <m/>
    <m/>
    <x v="7"/>
    <s v="angemeldet"/>
    <s v="bewilligt"/>
    <s v="I5200233"/>
    <n v="120000"/>
    <m/>
    <n v="39666"/>
    <n v="80334"/>
    <m/>
    <n v="80334"/>
    <n v="0"/>
    <m/>
    <m/>
    <m/>
    <m/>
    <m/>
    <m/>
    <m/>
    <m/>
    <m/>
    <m/>
    <m/>
    <m/>
    <m/>
    <m/>
    <m/>
    <m/>
    <m/>
    <m/>
    <m/>
    <m/>
    <m/>
    <m/>
    <n v="20"/>
    <m/>
    <m/>
    <m/>
    <m/>
    <n v="20"/>
    <m/>
    <m/>
    <m/>
    <n v="0"/>
    <m/>
    <n v="40"/>
    <m/>
    <m/>
    <n v="40"/>
    <m/>
    <n v="0"/>
    <n v="0"/>
    <n v="0"/>
    <n v="0"/>
    <n v="0"/>
    <n v="0"/>
    <n v="0"/>
    <n v="0"/>
    <m/>
    <n v="0"/>
    <n v="0"/>
    <n v="0"/>
    <n v="0"/>
    <n v="0"/>
    <n v="0"/>
    <n v="0"/>
    <n v="0"/>
    <n v="6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60"/>
    <n v="0.03"/>
  </r>
  <r>
    <x v="191"/>
    <s v="PP"/>
    <s v="offen"/>
    <x v="4"/>
    <s v="Grundlagenarbeit, Planung &amp; Diverses"/>
    <n v="3"/>
    <n v="2"/>
    <m/>
    <s v="2. Priorität Projekt"/>
    <m/>
    <m/>
    <m/>
    <m/>
    <m/>
    <s v="5202-100-0060"/>
    <n v="1"/>
    <n v="0"/>
    <n v="0"/>
    <s v="0060"/>
    <x v="2"/>
    <m/>
    <s v="SGB"/>
    <s v="GG"/>
    <x v="6"/>
    <x v="1"/>
    <x v="13"/>
    <x v="3"/>
    <x v="3"/>
    <x v="1"/>
    <x v="0"/>
    <m/>
    <m/>
    <m/>
    <x v="19"/>
    <m/>
    <m/>
    <m/>
    <m/>
    <m/>
    <m/>
    <m/>
    <m/>
    <n v="19000"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192"/>
    <s v="PP"/>
    <s v="offen"/>
    <x v="0"/>
    <s v="offen"/>
    <m/>
    <m/>
    <m/>
    <m/>
    <m/>
    <m/>
    <m/>
    <m/>
    <m/>
    <s v="5202-200-0059"/>
    <n v="2"/>
    <n v="0"/>
    <n v="0"/>
    <s v="0059"/>
    <x v="2"/>
    <m/>
    <s v="SGB"/>
    <s v="GG"/>
    <x v="7"/>
    <x v="1"/>
    <x v="5"/>
    <x v="6"/>
    <x v="2"/>
    <x v="3"/>
    <x v="0"/>
    <m/>
    <m/>
    <m/>
    <x v="2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193"/>
    <s v="PP"/>
    <s v="verabschiedet"/>
    <x v="0"/>
    <m/>
    <m/>
    <m/>
    <m/>
    <m/>
    <m/>
    <m/>
    <m/>
    <m/>
    <m/>
    <s v="5202-100-0059"/>
    <n v="1"/>
    <n v="1"/>
    <n v="0"/>
    <s v="0059"/>
    <x v="12"/>
    <m/>
    <s v="SGB"/>
    <s v="SSM"/>
    <x v="3"/>
    <x v="1"/>
    <x v="11"/>
    <x v="9"/>
    <x v="4"/>
    <x v="5"/>
    <x v="3"/>
    <m/>
    <m/>
    <m/>
    <x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s v="offen"/>
    <m/>
    <s v="offen"/>
    <m/>
    <s v="offen"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194"/>
    <s v="PP"/>
    <s v="verabschiedet"/>
    <x v="0"/>
    <m/>
    <m/>
    <m/>
    <m/>
    <m/>
    <m/>
    <m/>
    <m/>
    <m/>
    <m/>
    <s v="5202-120-0059"/>
    <n v="1"/>
    <n v="2"/>
    <n v="0"/>
    <s v="0059"/>
    <x v="12"/>
    <m/>
    <s v="SGB"/>
    <s v="SSM"/>
    <x v="3"/>
    <x v="1"/>
    <x v="11"/>
    <x v="9"/>
    <x v="4"/>
    <x v="5"/>
    <x v="3"/>
    <m/>
    <m/>
    <m/>
    <x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s v="offen"/>
    <m/>
    <s v="offen"/>
    <m/>
    <s v="offen"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195"/>
    <s v="PP"/>
    <s v="offen"/>
    <x v="4"/>
    <s v="Grundlagenarbeit, Planung &amp; Diverses"/>
    <n v="2"/>
    <n v="2"/>
    <m/>
    <s v="2. Priorität Projekt"/>
    <m/>
    <m/>
    <m/>
    <m/>
    <m/>
    <s v="5202-200-0060"/>
    <n v="2"/>
    <n v="0"/>
    <n v="0"/>
    <s v="0060"/>
    <x v="2"/>
    <m/>
    <s v="SGB"/>
    <s v="GG"/>
    <x v="4"/>
    <x v="1"/>
    <x v="11"/>
    <x v="8"/>
    <x v="3"/>
    <x v="1"/>
    <x v="0"/>
    <m/>
    <m/>
    <m/>
    <x v="2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n v="8"/>
    <m/>
    <n v="40"/>
    <m/>
    <m/>
    <m/>
    <m/>
    <n v="48"/>
    <m/>
    <n v="8"/>
    <m/>
    <n v="40"/>
    <m/>
    <m/>
    <m/>
    <m/>
    <n v="48"/>
    <n v="96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96"/>
    <n v="4.8000000000000001E-2"/>
  </r>
  <r>
    <x v="196"/>
    <s v="PP"/>
    <s v="offen"/>
    <x v="3"/>
    <s v="Grundlagenarbeit, Planung &amp; Diverses"/>
    <n v="3"/>
    <n v="2"/>
    <m/>
    <s v="2. Priorität Projekt"/>
    <m/>
    <m/>
    <m/>
    <m/>
    <m/>
    <s v="5202-100-0061"/>
    <n v="1"/>
    <n v="0"/>
    <n v="0"/>
    <s v="0061"/>
    <x v="1"/>
    <m/>
    <s v="SGB"/>
    <s v="GG"/>
    <x v="4"/>
    <x v="1"/>
    <x v="19"/>
    <x v="5"/>
    <x v="1"/>
    <x v="4"/>
    <x v="2"/>
    <m/>
    <m/>
    <m/>
    <x v="12"/>
    <m/>
    <m/>
    <m/>
    <n v="4000"/>
    <m/>
    <m/>
    <n v="4000"/>
    <m/>
    <n v="4000"/>
    <m/>
    <m/>
    <m/>
    <m/>
    <m/>
    <m/>
    <m/>
    <m/>
    <m/>
    <m/>
    <m/>
    <m/>
    <m/>
    <m/>
    <m/>
    <m/>
    <m/>
    <m/>
    <m/>
    <m/>
    <m/>
    <n v="8"/>
    <m/>
    <m/>
    <m/>
    <m/>
    <m/>
    <m/>
    <n v="8"/>
    <m/>
    <n v="8"/>
    <m/>
    <m/>
    <m/>
    <m/>
    <m/>
    <m/>
    <n v="8"/>
    <m/>
    <n v="8"/>
    <m/>
    <m/>
    <m/>
    <m/>
    <m/>
    <m/>
    <n v="8"/>
    <m/>
    <m/>
    <m/>
    <m/>
    <m/>
    <m/>
    <m/>
    <m/>
    <n v="0"/>
    <n v="24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24"/>
    <n v="1.2E-2"/>
  </r>
  <r>
    <x v="197"/>
    <s v="PP"/>
    <s v="offen"/>
    <x v="1"/>
    <s v="Friedhof "/>
    <n v="2"/>
    <n v="1"/>
    <m/>
    <s v="2. Priorität Projekt"/>
    <m/>
    <m/>
    <m/>
    <m/>
    <m/>
    <s v="5202-100-0063"/>
    <n v="1"/>
    <n v="0"/>
    <n v="0"/>
    <s v="0063"/>
    <x v="5"/>
    <m/>
    <s v="SGB"/>
    <s v="GG"/>
    <x v="4"/>
    <x v="1"/>
    <x v="15"/>
    <x v="5"/>
    <x v="1"/>
    <x v="4"/>
    <x v="3"/>
    <m/>
    <m/>
    <m/>
    <x v="5"/>
    <m/>
    <m/>
    <m/>
    <n v="200000"/>
    <m/>
    <m/>
    <n v="200000"/>
    <m/>
    <n v="50000"/>
    <n v="150000"/>
    <m/>
    <n v="150000"/>
    <m/>
    <m/>
    <m/>
    <m/>
    <m/>
    <m/>
    <m/>
    <m/>
    <m/>
    <m/>
    <m/>
    <m/>
    <m/>
    <m/>
    <m/>
    <m/>
    <m/>
    <m/>
    <n v="0"/>
    <m/>
    <n v="0"/>
    <m/>
    <m/>
    <m/>
    <m/>
    <n v="0"/>
    <m/>
    <n v="8"/>
    <m/>
    <n v="20"/>
    <m/>
    <m/>
    <m/>
    <m/>
    <n v="28"/>
    <m/>
    <m/>
    <m/>
    <n v="40"/>
    <m/>
    <m/>
    <m/>
    <m/>
    <n v="40"/>
    <m/>
    <m/>
    <m/>
    <n v="40"/>
    <m/>
    <m/>
    <m/>
    <m/>
    <n v="40"/>
    <n v="108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108"/>
    <n v="5.3999999999999999E-2"/>
  </r>
  <r>
    <x v="198"/>
    <s v="PP"/>
    <s v="verabschiedet"/>
    <x v="3"/>
    <s v="Friedhof "/>
    <n v="3"/>
    <n v="2"/>
    <m/>
    <s v="2. Priorität Projekt"/>
    <m/>
    <m/>
    <m/>
    <m/>
    <m/>
    <s v="5202-120-0066"/>
    <n v="1"/>
    <n v="0"/>
    <n v="0"/>
    <s v="0066"/>
    <x v="8"/>
    <m/>
    <s v="SGB"/>
    <s v="GG"/>
    <x v="4"/>
    <x v="1"/>
    <x v="14"/>
    <x v="4"/>
    <x v="4"/>
    <x v="3"/>
    <x v="2"/>
    <m/>
    <m/>
    <m/>
    <x v="5"/>
    <s v="angemeldet"/>
    <s v="bewilligt"/>
    <m/>
    <n v="126000"/>
    <m/>
    <n v="24857"/>
    <n v="101143"/>
    <m/>
    <m/>
    <n v="101143"/>
    <m/>
    <m/>
    <m/>
    <m/>
    <m/>
    <m/>
    <m/>
    <m/>
    <m/>
    <m/>
    <m/>
    <m/>
    <m/>
    <m/>
    <m/>
    <m/>
    <m/>
    <m/>
    <m/>
    <m/>
    <m/>
    <m/>
    <n v="8"/>
    <m/>
    <m/>
    <m/>
    <m/>
    <n v="8"/>
    <m/>
    <m/>
    <m/>
    <n v="8"/>
    <m/>
    <m/>
    <m/>
    <m/>
    <n v="8"/>
    <m/>
    <m/>
    <m/>
    <n v="8"/>
    <m/>
    <m/>
    <m/>
    <m/>
    <n v="8"/>
    <m/>
    <m/>
    <m/>
    <n v="8"/>
    <m/>
    <m/>
    <m/>
    <m/>
    <n v="8"/>
    <n v="32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32"/>
    <n v="1.6E-2"/>
  </r>
  <r>
    <x v="199"/>
    <s v="PP"/>
    <s v="offen"/>
    <x v="1"/>
    <s v="Friedhof "/>
    <n v="2"/>
    <n v="1"/>
    <m/>
    <s v="2. Priorität Projekt"/>
    <m/>
    <m/>
    <m/>
    <m/>
    <m/>
    <s v="5202-100-0067"/>
    <n v="1"/>
    <n v="0"/>
    <n v="0"/>
    <s v="0067"/>
    <x v="5"/>
    <m/>
    <s v="SGB"/>
    <s v="GG"/>
    <x v="4"/>
    <x v="1"/>
    <x v="15"/>
    <x v="12"/>
    <x v="5"/>
    <x v="3"/>
    <x v="3"/>
    <m/>
    <m/>
    <m/>
    <x v="5"/>
    <m/>
    <m/>
    <m/>
    <n v="245000"/>
    <m/>
    <m/>
    <n v="245000"/>
    <m/>
    <n v="200000"/>
    <n v="45000"/>
    <m/>
    <n v="45000"/>
    <m/>
    <m/>
    <m/>
    <m/>
    <m/>
    <m/>
    <m/>
    <m/>
    <m/>
    <m/>
    <m/>
    <m/>
    <m/>
    <m/>
    <m/>
    <m/>
    <m/>
    <m/>
    <m/>
    <n v="8"/>
    <n v="8"/>
    <n v="20"/>
    <n v="0"/>
    <m/>
    <m/>
    <n v="36"/>
    <m/>
    <m/>
    <m/>
    <m/>
    <m/>
    <n v="40"/>
    <m/>
    <m/>
    <n v="40"/>
    <m/>
    <m/>
    <m/>
    <m/>
    <m/>
    <n v="40"/>
    <m/>
    <m/>
    <n v="40"/>
    <m/>
    <m/>
    <m/>
    <n v="20"/>
    <m/>
    <n v="20"/>
    <m/>
    <m/>
    <n v="40"/>
    <n v="156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156"/>
    <n v="7.8E-2"/>
  </r>
  <r>
    <x v="200"/>
    <s v="PP"/>
    <s v="offen"/>
    <x v="1"/>
    <s v="Friedhof "/>
    <n v="3"/>
    <n v="2"/>
    <m/>
    <s v="2. Priorität Projekt"/>
    <m/>
    <m/>
    <m/>
    <m/>
    <m/>
    <m/>
    <m/>
    <m/>
    <m/>
    <m/>
    <x v="9"/>
    <m/>
    <s v="SGB"/>
    <s v="GG"/>
    <x v="4"/>
    <x v="1"/>
    <x v="4"/>
    <x v="3"/>
    <x v="3"/>
    <x v="1"/>
    <x v="4"/>
    <m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n v="20"/>
    <m/>
    <m/>
    <m/>
    <m/>
    <m/>
    <m/>
    <m/>
    <m/>
    <n v="0"/>
    <m/>
    <m/>
    <m/>
    <m/>
    <m/>
    <m/>
    <m/>
    <m/>
    <n v="0"/>
    <m/>
    <m/>
    <m/>
    <m/>
    <m/>
    <m/>
    <m/>
    <m/>
    <n v="0"/>
    <n v="2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20"/>
    <n v="0.01"/>
  </r>
  <r>
    <x v="201"/>
    <s v="PP"/>
    <s v="verabschiedet"/>
    <x v="0"/>
    <m/>
    <m/>
    <m/>
    <m/>
    <m/>
    <m/>
    <m/>
    <m/>
    <m/>
    <m/>
    <s v="5202-120-0066"/>
    <n v="1"/>
    <n v="1"/>
    <n v="0"/>
    <s v="0066"/>
    <x v="2"/>
    <m/>
    <s v="SGB"/>
    <s v="GG"/>
    <x v="4"/>
    <x v="1"/>
    <x v="14"/>
    <x v="4"/>
    <x v="4"/>
    <x v="3"/>
    <x v="3"/>
    <m/>
    <m/>
    <m/>
    <x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s v="offen"/>
    <m/>
    <s v="offen"/>
    <m/>
    <s v="offen"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202"/>
    <s v="PP"/>
    <s v="verabschiedet"/>
    <x v="0"/>
    <m/>
    <m/>
    <m/>
    <m/>
    <m/>
    <m/>
    <m/>
    <m/>
    <m/>
    <m/>
    <s v="5202-120-0066"/>
    <n v="1"/>
    <n v="2"/>
    <n v="0"/>
    <s v="0066"/>
    <x v="2"/>
    <m/>
    <s v="SGB"/>
    <s v="GG"/>
    <x v="4"/>
    <x v="1"/>
    <x v="14"/>
    <x v="4"/>
    <x v="4"/>
    <x v="3"/>
    <x v="3"/>
    <m/>
    <m/>
    <m/>
    <x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s v="offen"/>
    <m/>
    <s v="offen"/>
    <m/>
    <s v="offen"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203"/>
    <s v="PP"/>
    <s v="offen"/>
    <x v="3"/>
    <s v="Friedhof "/>
    <n v="2"/>
    <n v="2"/>
    <m/>
    <s v="2. Priorität Projekt"/>
    <m/>
    <m/>
    <m/>
    <m/>
    <m/>
    <m/>
    <m/>
    <m/>
    <m/>
    <m/>
    <x v="11"/>
    <m/>
    <s v="SGB"/>
    <s v="GG"/>
    <x v="4"/>
    <x v="0"/>
    <x v="14"/>
    <x v="0"/>
    <x v="0"/>
    <x v="0"/>
    <x v="0"/>
    <m/>
    <m/>
    <m/>
    <x v="4"/>
    <s v="angemeldet"/>
    <s v="bewilligt"/>
    <s v="I5210035"/>
    <n v="15840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m/>
  </r>
  <r>
    <x v="204"/>
    <s v="PP"/>
    <s v="X"/>
    <x v="3"/>
    <s v="Friedhof "/>
    <n v="1"/>
    <n v="3"/>
    <m/>
    <s v="2. Priorität Projekt"/>
    <m/>
    <m/>
    <m/>
    <m/>
    <m/>
    <m/>
    <m/>
    <m/>
    <m/>
    <m/>
    <x v="5"/>
    <m/>
    <s v="SGB"/>
    <s v="offen"/>
    <x v="2"/>
    <x v="5"/>
    <x v="4"/>
    <x v="3"/>
    <x v="3"/>
    <x v="1"/>
    <x v="0"/>
    <m/>
    <m/>
    <m/>
    <x v="5"/>
    <m/>
    <m/>
    <s v="I5210015"/>
    <n v="2700000"/>
    <m/>
    <m/>
    <n v="2700000"/>
    <m/>
    <n v="30000"/>
    <n v="2670000"/>
    <m/>
    <n v="50000"/>
    <m/>
    <n v="100000"/>
    <m/>
    <n v="1200000"/>
    <m/>
    <n v="1320000"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205"/>
    <s v="PP"/>
    <s v="offen"/>
    <x v="1"/>
    <s v="Friedhof "/>
    <n v="2"/>
    <n v="1"/>
    <m/>
    <s v="2. Priorität Projekt"/>
    <m/>
    <m/>
    <m/>
    <m/>
    <m/>
    <m/>
    <m/>
    <m/>
    <m/>
    <m/>
    <x v="11"/>
    <m/>
    <s v="SGB"/>
    <s v="GG"/>
    <x v="4"/>
    <x v="0"/>
    <x v="14"/>
    <x v="0"/>
    <x v="0"/>
    <x v="0"/>
    <x v="0"/>
    <m/>
    <m/>
    <m/>
    <x v="4"/>
    <s v="angemeldet"/>
    <s v="bewilligt"/>
    <s v="I5210034"/>
    <n v="220500"/>
    <m/>
    <n v="158406"/>
    <n v="62094"/>
    <m/>
    <m/>
    <n v="62094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m/>
  </r>
  <r>
    <x v="206"/>
    <s v="PP"/>
    <s v="offen"/>
    <x v="3"/>
    <s v="Friedhof "/>
    <n v="2"/>
    <n v="2"/>
    <m/>
    <s v="2. Priorität Projekt"/>
    <m/>
    <m/>
    <m/>
    <m/>
    <m/>
    <s v="5202-100-0071"/>
    <n v="1"/>
    <n v="0"/>
    <n v="0"/>
    <s v="0071"/>
    <x v="6"/>
    <m/>
    <s v="SGB"/>
    <s v="GG"/>
    <x v="4"/>
    <x v="1"/>
    <x v="14"/>
    <x v="10"/>
    <x v="2"/>
    <x v="3"/>
    <x v="2"/>
    <m/>
    <m/>
    <m/>
    <x v="5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n v="8"/>
    <n v="8"/>
    <n v="20"/>
    <m/>
    <m/>
    <m/>
    <m/>
    <n v="36"/>
    <m/>
    <n v="8"/>
    <m/>
    <n v="40"/>
    <n v="80"/>
    <m/>
    <m/>
    <m/>
    <n v="128"/>
    <m/>
    <n v="8"/>
    <m/>
    <n v="40"/>
    <n v="80"/>
    <m/>
    <m/>
    <m/>
    <n v="128"/>
    <m/>
    <n v="8"/>
    <m/>
    <n v="40"/>
    <n v="80"/>
    <m/>
    <m/>
    <m/>
    <n v="128"/>
    <n v="42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420"/>
    <n v="0.21"/>
  </r>
  <r>
    <x v="207"/>
    <s v="Radar"/>
    <s v="X"/>
    <x v="0"/>
    <m/>
    <m/>
    <m/>
    <m/>
    <m/>
    <m/>
    <m/>
    <m/>
    <m/>
    <m/>
    <s v="5202-200-0062"/>
    <n v="2"/>
    <n v="0"/>
    <n v="0"/>
    <s v="0062"/>
    <x v="2"/>
    <m/>
    <s v="HSB "/>
    <s v="offen"/>
    <x v="2"/>
    <x v="5"/>
    <x v="4"/>
    <x v="3"/>
    <x v="3"/>
    <x v="1"/>
    <x v="0"/>
    <m/>
    <m/>
    <m/>
    <x v="2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208"/>
    <s v="Sistiert"/>
    <s v="offen"/>
    <x v="1"/>
    <s v="Park- &amp; Grünanlagen"/>
    <n v="2"/>
    <n v="5"/>
    <m/>
    <s v="2. Priorität Projekt"/>
    <m/>
    <m/>
    <m/>
    <m/>
    <m/>
    <s v="5202-100-0072"/>
    <n v="1"/>
    <n v="0"/>
    <n v="0"/>
    <s v="0072"/>
    <x v="2"/>
    <m/>
    <s v="SGB"/>
    <s v="GG"/>
    <x v="4"/>
    <x v="1"/>
    <x v="11"/>
    <x v="3"/>
    <x v="3"/>
    <x v="1"/>
    <x v="0"/>
    <m/>
    <m/>
    <m/>
    <x v="4"/>
    <s v="angemeldet"/>
    <s v="bewilligt"/>
    <s v="I5200094"/>
    <n v="153000"/>
    <m/>
    <n v="121816"/>
    <n v="31184"/>
    <m/>
    <m/>
    <n v="31184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209"/>
    <s v="PP"/>
    <s v="nicht vorhanden"/>
    <x v="2"/>
    <s v="Planungen, Studien, Arealentwicklung"/>
    <n v="2"/>
    <n v="2"/>
    <m/>
    <s v="2. Priorität Projekt"/>
    <m/>
    <m/>
    <m/>
    <m/>
    <m/>
    <s v="5202-200-0063"/>
    <n v="2"/>
    <n v="0"/>
    <n v="0"/>
    <s v="0063"/>
    <x v="3"/>
    <m/>
    <s v="SPA"/>
    <s v="SSM"/>
    <x v="2"/>
    <x v="5"/>
    <x v="9"/>
    <x v="5"/>
    <x v="1"/>
    <x v="4"/>
    <x v="0"/>
    <m/>
    <m/>
    <m/>
    <x v="2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s v="offen"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210"/>
    <s v="PP"/>
    <s v="nicht vorhanden"/>
    <x v="2"/>
    <s v="Grauraum (Strassen, Plätze &amp; Verkehr)"/>
    <n v="3"/>
    <n v="3"/>
    <m/>
    <s v="2. Priorität Projekt"/>
    <m/>
    <m/>
    <m/>
    <m/>
    <m/>
    <s v="5202-200-0065"/>
    <n v="2"/>
    <n v="0"/>
    <n v="0"/>
    <s v="0065"/>
    <x v="7"/>
    <m/>
    <s v="TAB"/>
    <s v="SSM"/>
    <x v="3"/>
    <x v="1"/>
    <x v="6"/>
    <x v="5"/>
    <x v="1"/>
    <x v="2"/>
    <x v="0"/>
    <m/>
    <m/>
    <m/>
    <x v="2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n v="8"/>
    <m/>
    <m/>
    <m/>
    <m/>
    <n v="8"/>
    <m/>
    <m/>
    <m/>
    <n v="8"/>
    <m/>
    <m/>
    <m/>
    <m/>
    <n v="8"/>
    <m/>
    <n v="0"/>
    <n v="0"/>
    <n v="0"/>
    <n v="0"/>
    <n v="0"/>
    <n v="0"/>
    <n v="0"/>
    <n v="0"/>
    <m/>
    <n v="0"/>
    <n v="0"/>
    <n v="0"/>
    <n v="0"/>
    <n v="0"/>
    <n v="0"/>
    <n v="0"/>
    <n v="0"/>
    <n v="16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16"/>
    <n v="8.0000000000000002E-3"/>
  </r>
  <r>
    <x v="211"/>
    <s v="offen"/>
    <s v="offen"/>
    <x v="1"/>
    <s v="Natur &amp; Ökologie"/>
    <n v="3"/>
    <n v="1"/>
    <m/>
    <s v="2. Priorität Projekt"/>
    <m/>
    <m/>
    <m/>
    <m/>
    <m/>
    <s v="5202-500-0020"/>
    <n v="5"/>
    <n v="0"/>
    <n v="0"/>
    <s v="0020"/>
    <x v="1"/>
    <m/>
    <s v="SGB"/>
    <s v="NÖ"/>
    <x v="1"/>
    <x v="5"/>
    <x v="10"/>
    <x v="3"/>
    <x v="3"/>
    <x v="1"/>
    <x v="0"/>
    <m/>
    <m/>
    <m/>
    <x v="1"/>
    <m/>
    <m/>
    <m/>
    <m/>
    <m/>
    <m/>
    <m/>
    <m/>
    <n v="2500"/>
    <m/>
    <m/>
    <n v="2500"/>
    <m/>
    <n v="2500"/>
    <m/>
    <n v="2500"/>
    <m/>
    <n v="2500"/>
    <m/>
    <n v="2500"/>
    <m/>
    <n v="2500"/>
    <m/>
    <n v="2500"/>
    <m/>
    <n v="2500"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212"/>
    <s v="PP"/>
    <s v="verabschiedet"/>
    <x v="1"/>
    <s v="Grundlagenarbeit &amp; Diverses"/>
    <n v="2"/>
    <n v="1"/>
    <m/>
    <s v="2. Priorität Projekt"/>
    <m/>
    <m/>
    <m/>
    <m/>
    <m/>
    <s v="5202-100-0073"/>
    <n v="1"/>
    <n v="0"/>
    <n v="0"/>
    <s v="0073"/>
    <x v="1"/>
    <m/>
    <s v="SGB"/>
    <s v="SSM"/>
    <x v="5"/>
    <x v="4"/>
    <x v="8"/>
    <x v="5"/>
    <x v="1"/>
    <x v="4"/>
    <x v="0"/>
    <m/>
    <m/>
    <m/>
    <x v="10"/>
    <m/>
    <m/>
    <s v="I5200239"/>
    <n v="250000"/>
    <m/>
    <n v="33484"/>
    <n v="216516"/>
    <m/>
    <n v="100000"/>
    <n v="116516"/>
    <m/>
    <m/>
    <m/>
    <m/>
    <m/>
    <m/>
    <m/>
    <m/>
    <m/>
    <m/>
    <m/>
    <m/>
    <m/>
    <m/>
    <m/>
    <m/>
    <m/>
    <m/>
    <m/>
    <m/>
    <m/>
    <n v="40"/>
    <n v="60"/>
    <m/>
    <m/>
    <m/>
    <m/>
    <n v="100"/>
    <m/>
    <m/>
    <n v="20"/>
    <n v="40"/>
    <m/>
    <m/>
    <m/>
    <m/>
    <n v="60"/>
    <m/>
    <m/>
    <n v="20"/>
    <n v="40"/>
    <m/>
    <m/>
    <m/>
    <m/>
    <n v="60"/>
    <m/>
    <m/>
    <n v="20"/>
    <n v="40"/>
    <m/>
    <m/>
    <m/>
    <m/>
    <n v="60"/>
    <n v="28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280"/>
    <n v="0.14000000000000001"/>
  </r>
  <r>
    <x v="213"/>
    <s v="Radar"/>
    <s v="verabschiedet"/>
    <x v="3"/>
    <s v="Grundlagenarbeit, Planung &amp; Diverses"/>
    <n v="1"/>
    <n v="2"/>
    <m/>
    <s v="2. Priorität Projekt"/>
    <m/>
    <m/>
    <m/>
    <m/>
    <m/>
    <s v="5202-300-0010"/>
    <n v="3"/>
    <n v="0"/>
    <n v="0"/>
    <s v="0010"/>
    <x v="18"/>
    <m/>
    <s v="SGB"/>
    <s v="SSM"/>
    <x v="3"/>
    <x v="1"/>
    <x v="8"/>
    <x v="6"/>
    <x v="2"/>
    <x v="3"/>
    <x v="0"/>
    <m/>
    <m/>
    <m/>
    <x v="5"/>
    <m/>
    <m/>
    <s v="I5200196"/>
    <n v="200000"/>
    <m/>
    <n v="36461"/>
    <n v="163539"/>
    <m/>
    <m/>
    <n v="163539"/>
    <m/>
    <m/>
    <m/>
    <m/>
    <m/>
    <m/>
    <m/>
    <m/>
    <m/>
    <m/>
    <m/>
    <m/>
    <m/>
    <m/>
    <m/>
    <m/>
    <m/>
    <m/>
    <m/>
    <m/>
    <m/>
    <m/>
    <n v="8"/>
    <m/>
    <m/>
    <m/>
    <m/>
    <n v="8"/>
    <m/>
    <m/>
    <m/>
    <n v="20"/>
    <m/>
    <m/>
    <m/>
    <m/>
    <n v="20"/>
    <m/>
    <m/>
    <m/>
    <n v="20"/>
    <m/>
    <m/>
    <m/>
    <m/>
    <n v="20"/>
    <m/>
    <m/>
    <m/>
    <n v="8"/>
    <m/>
    <m/>
    <m/>
    <m/>
    <n v="8"/>
    <n v="56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56"/>
    <n v="2.8000000000000001E-2"/>
  </r>
  <r>
    <x v="214"/>
    <s v="Radar"/>
    <s v="verabschiedet"/>
    <x v="3"/>
    <s v="Grundlagenarbeit, Planung &amp; Diverses"/>
    <n v="1"/>
    <n v="2"/>
    <m/>
    <s v="2. Priorität Projekt"/>
    <m/>
    <m/>
    <m/>
    <m/>
    <m/>
    <s v="5202-300-0010"/>
    <n v="3"/>
    <n v="0"/>
    <n v="0"/>
    <s v="0010"/>
    <x v="18"/>
    <m/>
    <s v="SGB"/>
    <s v="SSM"/>
    <x v="3"/>
    <x v="1"/>
    <x v="8"/>
    <x v="6"/>
    <x v="2"/>
    <x v="3"/>
    <x v="0"/>
    <m/>
    <m/>
    <m/>
    <x v="5"/>
    <m/>
    <s v="budgetiert"/>
    <s v="I5200XXX"/>
    <m/>
    <m/>
    <m/>
    <n v="0"/>
    <m/>
    <m/>
    <n v="0"/>
    <m/>
    <m/>
    <m/>
    <n v="380000"/>
    <m/>
    <n v="880000"/>
    <m/>
    <n v="880000"/>
    <m/>
    <n v="880000"/>
    <m/>
    <n v="880000"/>
    <m/>
    <n v="880000"/>
    <m/>
    <n v="880000"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215"/>
    <s v="PP"/>
    <s v="nicht vorhanden"/>
    <x v="2"/>
    <s v="Verwaltungsvermögen (HSB)"/>
    <n v="3"/>
    <n v="3"/>
    <m/>
    <s v="2. Priorität Projekt"/>
    <m/>
    <m/>
    <m/>
    <m/>
    <m/>
    <s v="5202-200-0093"/>
    <n v="2"/>
    <n v="0"/>
    <n v="0"/>
    <s v="0093"/>
    <x v="7"/>
    <m/>
    <s v="HSB "/>
    <s v="SSM"/>
    <x v="3"/>
    <x v="1"/>
    <x v="8"/>
    <x v="5"/>
    <x v="1"/>
    <x v="4"/>
    <x v="0"/>
    <m/>
    <m/>
    <m/>
    <x v="2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n v="8"/>
    <m/>
    <m/>
    <m/>
    <m/>
    <n v="8"/>
    <m/>
    <m/>
    <m/>
    <n v="8"/>
    <m/>
    <m/>
    <m/>
    <m/>
    <n v="8"/>
    <n v="16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16"/>
    <n v="8.0000000000000002E-3"/>
  </r>
  <r>
    <x v="216"/>
    <s v="Abgeschl."/>
    <s v="verabschiedet"/>
    <x v="3"/>
    <s v="Spielplatz "/>
    <n v="2"/>
    <n v="1"/>
    <m/>
    <s v="2. Priorität Projekt"/>
    <m/>
    <m/>
    <m/>
    <m/>
    <m/>
    <s v="5202-100-0074"/>
    <n v="1"/>
    <n v="0"/>
    <n v="0"/>
    <s v="0074"/>
    <x v="11"/>
    <m/>
    <s v="SGB"/>
    <s v="SSM"/>
    <x v="3"/>
    <x v="1"/>
    <x v="3"/>
    <x v="6"/>
    <x v="4"/>
    <x v="3"/>
    <x v="0"/>
    <m/>
    <m/>
    <m/>
    <x v="15"/>
    <s v="angemeldet"/>
    <s v="bewilligt"/>
    <s v="I5200221"/>
    <n v="151000"/>
    <m/>
    <n v="125304"/>
    <n v="25696"/>
    <m/>
    <m/>
    <n v="25696"/>
    <m/>
    <m/>
    <m/>
    <m/>
    <m/>
    <m/>
    <m/>
    <m/>
    <m/>
    <m/>
    <m/>
    <m/>
    <m/>
    <m/>
    <m/>
    <m/>
    <m/>
    <m/>
    <m/>
    <m/>
    <m/>
    <m/>
    <n v="8"/>
    <m/>
    <n v="8"/>
    <m/>
    <m/>
    <n v="16"/>
    <m/>
    <n v="0"/>
    <n v="0"/>
    <n v="0"/>
    <n v="0"/>
    <n v="0"/>
    <n v="0"/>
    <n v="0"/>
    <n v="0"/>
    <m/>
    <n v="0"/>
    <n v="0"/>
    <n v="0"/>
    <n v="0"/>
    <n v="0"/>
    <n v="0"/>
    <n v="0"/>
    <n v="0"/>
    <m/>
    <n v="0"/>
    <n v="0"/>
    <n v="0"/>
    <n v="0"/>
    <n v="0"/>
    <n v="0"/>
    <n v="0"/>
    <n v="0"/>
    <n v="16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16"/>
    <n v="8.0000000000000002E-3"/>
  </r>
  <r>
    <x v="217"/>
    <s v="offen"/>
    <s v="offen"/>
    <x v="1"/>
    <s v="Natur &amp; Ökologie"/>
    <n v="2"/>
    <n v="3"/>
    <m/>
    <s v="2. Priorität Projekt"/>
    <m/>
    <m/>
    <m/>
    <m/>
    <m/>
    <s v="5202-300-0011"/>
    <n v="3"/>
    <n v="0"/>
    <n v="0"/>
    <s v="0011"/>
    <x v="1"/>
    <m/>
    <s v="SGB"/>
    <s v="NÖ"/>
    <x v="1"/>
    <x v="5"/>
    <x v="1"/>
    <x v="3"/>
    <x v="3"/>
    <x v="1"/>
    <x v="0"/>
    <m/>
    <m/>
    <m/>
    <x v="2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218"/>
    <s v="PP"/>
    <s v="verabschiedet"/>
    <x v="0"/>
    <m/>
    <m/>
    <m/>
    <m/>
    <m/>
    <m/>
    <m/>
    <m/>
    <m/>
    <m/>
    <s v="5202-110-0074"/>
    <n v="1"/>
    <n v="1"/>
    <n v="0"/>
    <s v="0074"/>
    <x v="11"/>
    <m/>
    <s v="SGB"/>
    <s v="SSM"/>
    <x v="3"/>
    <x v="1"/>
    <x v="3"/>
    <x v="6"/>
    <x v="2"/>
    <x v="3"/>
    <x v="2"/>
    <m/>
    <m/>
    <m/>
    <x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s v="offen"/>
    <m/>
    <s v="offen"/>
    <m/>
    <s v="offen"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219"/>
    <s v="PP"/>
    <s v="verabschiedet"/>
    <x v="0"/>
    <m/>
    <m/>
    <m/>
    <m/>
    <m/>
    <m/>
    <m/>
    <m/>
    <m/>
    <m/>
    <s v="5202-110-0074"/>
    <n v="1"/>
    <n v="2"/>
    <n v="0"/>
    <s v="0074"/>
    <x v="11"/>
    <m/>
    <s v="SGB"/>
    <s v="SSM"/>
    <x v="3"/>
    <x v="1"/>
    <x v="3"/>
    <x v="6"/>
    <x v="2"/>
    <x v="3"/>
    <x v="2"/>
    <m/>
    <m/>
    <m/>
    <x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s v="offen"/>
    <m/>
    <s v="offen"/>
    <m/>
    <s v="offen"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220"/>
    <s v="Radar"/>
    <s v="X"/>
    <x v="0"/>
    <m/>
    <m/>
    <m/>
    <m/>
    <m/>
    <m/>
    <m/>
    <m/>
    <m/>
    <m/>
    <s v="5202-200-0068"/>
    <n v="2"/>
    <n v="0"/>
    <n v="0"/>
    <s v="0068"/>
    <x v="2"/>
    <m/>
    <s v="SPA"/>
    <s v="offen"/>
    <x v="2"/>
    <x v="5"/>
    <x v="4"/>
    <x v="3"/>
    <x v="3"/>
    <x v="1"/>
    <x v="0"/>
    <m/>
    <m/>
    <m/>
    <x v="2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221"/>
    <s v="Radar"/>
    <s v="X"/>
    <x v="0"/>
    <m/>
    <m/>
    <m/>
    <m/>
    <m/>
    <m/>
    <m/>
    <m/>
    <m/>
    <m/>
    <s v="5202-200-0070"/>
    <n v="2"/>
    <n v="0"/>
    <n v="0"/>
    <s v="0070"/>
    <x v="2"/>
    <m/>
    <s v="Andere"/>
    <s v="offen"/>
    <x v="2"/>
    <x v="5"/>
    <x v="4"/>
    <x v="3"/>
    <x v="3"/>
    <x v="1"/>
    <x v="0"/>
    <m/>
    <m/>
    <m/>
    <x v="2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222"/>
    <m/>
    <m/>
    <x v="1"/>
    <s v="Natur &amp; Ökologie"/>
    <n v="2"/>
    <n v="1"/>
    <m/>
    <s v="2. Priorität Projekt"/>
    <m/>
    <m/>
    <m/>
    <m/>
    <m/>
    <s v="5202-500-0021"/>
    <n v="5"/>
    <n v="0"/>
    <n v="0"/>
    <s v="0021"/>
    <x v="2"/>
    <m/>
    <m/>
    <s v="NÖ"/>
    <x v="0"/>
    <x v="0"/>
    <x v="0"/>
    <x v="0"/>
    <x v="0"/>
    <x v="0"/>
    <x v="0"/>
    <m/>
    <m/>
    <m/>
    <x v="1"/>
    <m/>
    <m/>
    <m/>
    <m/>
    <m/>
    <m/>
    <m/>
    <m/>
    <n v="2500"/>
    <m/>
    <m/>
    <n v="2500"/>
    <m/>
    <n v="2500"/>
    <m/>
    <n v="2500"/>
    <m/>
    <n v="2500"/>
    <m/>
    <n v="2500"/>
    <m/>
    <n v="2500"/>
    <m/>
    <n v="2500"/>
    <m/>
    <n v="2500"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m/>
  </r>
  <r>
    <x v="222"/>
    <s v="offen"/>
    <s v="offen"/>
    <x v="1"/>
    <s v="Natur &amp; Ökologie"/>
    <n v="2"/>
    <n v="1"/>
    <m/>
    <s v="2. Priorität Projekt"/>
    <m/>
    <m/>
    <m/>
    <m/>
    <m/>
    <s v="5202-500-0021"/>
    <n v="5"/>
    <n v="0"/>
    <n v="0"/>
    <s v="0021"/>
    <x v="2"/>
    <m/>
    <s v="offen"/>
    <s v="NÖ"/>
    <x v="1"/>
    <x v="5"/>
    <x v="1"/>
    <x v="3"/>
    <x v="3"/>
    <x v="1"/>
    <x v="0"/>
    <m/>
    <m/>
    <m/>
    <x v="18"/>
    <m/>
    <m/>
    <m/>
    <n v="35000"/>
    <m/>
    <m/>
    <n v="35000"/>
    <m/>
    <m/>
    <n v="35000"/>
    <m/>
    <m/>
    <m/>
    <m/>
    <m/>
    <m/>
    <m/>
    <m/>
    <m/>
    <m/>
    <m/>
    <m/>
    <m/>
    <m/>
    <m/>
    <m/>
    <m/>
    <s v="MIP Natur Stadt Bern"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223"/>
    <s v="PP"/>
    <s v="nicht vorhanden"/>
    <x v="2"/>
    <s v="Verwaltungsvermögen (HSB)"/>
    <n v="2"/>
    <n v="2"/>
    <m/>
    <s v="2. Priorität Projekt"/>
    <m/>
    <m/>
    <m/>
    <m/>
    <m/>
    <s v="5202-200-0072"/>
    <n v="2"/>
    <n v="0"/>
    <n v="0"/>
    <s v="0072"/>
    <x v="2"/>
    <s v="HSB "/>
    <s v="HSB "/>
    <s v="SSM"/>
    <x v="3"/>
    <x v="1"/>
    <x v="8"/>
    <x v="5"/>
    <x v="1"/>
    <x v="4"/>
    <x v="0"/>
    <m/>
    <m/>
    <m/>
    <x v="2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n v="8"/>
    <m/>
    <m/>
    <m/>
    <m/>
    <n v="8"/>
    <m/>
    <m/>
    <m/>
    <n v="8"/>
    <m/>
    <m/>
    <m/>
    <m/>
    <n v="8"/>
    <m/>
    <m/>
    <m/>
    <n v="8"/>
    <m/>
    <m/>
    <m/>
    <m/>
    <n v="8"/>
    <m/>
    <m/>
    <m/>
    <n v="8"/>
    <m/>
    <m/>
    <m/>
    <m/>
    <n v="8"/>
    <n v="32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32"/>
    <n v="1.6E-2"/>
  </r>
  <r>
    <x v="224"/>
    <s v="PP"/>
    <s v="nicht vorhanden"/>
    <x v="2"/>
    <s v="Verwaltungsvermögen (HSB)"/>
    <n v="2"/>
    <n v="1"/>
    <m/>
    <s v="2. Priorität Projekt"/>
    <m/>
    <m/>
    <m/>
    <m/>
    <m/>
    <s v="5202-201-0073"/>
    <n v="2"/>
    <n v="0"/>
    <n v="1"/>
    <s v="0073"/>
    <x v="12"/>
    <m/>
    <s v="HSB "/>
    <s v="SSM"/>
    <x v="3"/>
    <x v="1"/>
    <x v="6"/>
    <x v="5"/>
    <x v="4"/>
    <x v="4"/>
    <x v="0"/>
    <m/>
    <m/>
    <m/>
    <x v="9"/>
    <m/>
    <m/>
    <s v="I5200224"/>
    <n v="60000"/>
    <m/>
    <m/>
    <n v="60000"/>
    <m/>
    <m/>
    <n v="60000"/>
    <m/>
    <n v="60000"/>
    <m/>
    <m/>
    <m/>
    <m/>
    <m/>
    <m/>
    <m/>
    <m/>
    <m/>
    <m/>
    <m/>
    <m/>
    <m/>
    <m/>
    <m/>
    <m/>
    <m/>
    <m/>
    <m/>
    <m/>
    <n v="20"/>
    <m/>
    <m/>
    <m/>
    <m/>
    <n v="20"/>
    <m/>
    <m/>
    <m/>
    <n v="8"/>
    <m/>
    <n v="60"/>
    <m/>
    <m/>
    <n v="68"/>
    <m/>
    <m/>
    <m/>
    <n v="8"/>
    <m/>
    <n v="60"/>
    <m/>
    <m/>
    <n v="68"/>
    <m/>
    <m/>
    <m/>
    <n v="8"/>
    <m/>
    <n v="60"/>
    <m/>
    <m/>
    <n v="68"/>
    <n v="224"/>
    <m/>
    <n v="60"/>
    <m/>
    <n v="60"/>
    <m/>
    <n v="40"/>
    <m/>
    <n v="0"/>
    <n v="160"/>
    <m/>
    <m/>
    <m/>
    <m/>
    <m/>
    <m/>
    <m/>
    <m/>
    <n v="0"/>
    <m/>
    <m/>
    <m/>
    <m/>
    <m/>
    <m/>
    <m/>
    <m/>
    <n v="0"/>
    <m/>
    <m/>
    <m/>
    <m/>
    <n v="384"/>
    <n v="0.192"/>
  </r>
  <r>
    <x v="225"/>
    <s v="Abgeschl."/>
    <s v="nicht vorhanden"/>
    <x v="2"/>
    <s v="Planungen, Studien, Arealentwicklung"/>
    <n v="2"/>
    <n v="2"/>
    <m/>
    <s v="2. Priorität Projekt"/>
    <m/>
    <m/>
    <m/>
    <m/>
    <m/>
    <s v="5202-200-0074"/>
    <n v="2"/>
    <n v="0"/>
    <n v="0"/>
    <s v="0074"/>
    <x v="18"/>
    <m/>
    <s v="SPA"/>
    <s v="SSM"/>
    <x v="5"/>
    <x v="1"/>
    <x v="9"/>
    <x v="5"/>
    <x v="1"/>
    <x v="4"/>
    <x v="0"/>
    <m/>
    <m/>
    <m/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226"/>
    <s v="Radar"/>
    <s v="X"/>
    <x v="0"/>
    <s v="offen"/>
    <m/>
    <m/>
    <m/>
    <m/>
    <m/>
    <m/>
    <m/>
    <m/>
    <m/>
    <s v="5202-200-0075"/>
    <n v="2"/>
    <n v="0"/>
    <n v="0"/>
    <s v="0075"/>
    <x v="2"/>
    <m/>
    <s v="TAB"/>
    <s v="offen"/>
    <x v="2"/>
    <x v="5"/>
    <x v="4"/>
    <x v="3"/>
    <x v="3"/>
    <x v="1"/>
    <x v="0"/>
    <m/>
    <m/>
    <m/>
    <x v="2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227"/>
    <s v="PP"/>
    <s v="verabschiedet"/>
    <x v="0"/>
    <m/>
    <m/>
    <m/>
    <m/>
    <m/>
    <m/>
    <m/>
    <m/>
    <m/>
    <m/>
    <s v="5202-120-0076"/>
    <n v="1"/>
    <n v="2"/>
    <n v="0"/>
    <s v="0076"/>
    <x v="14"/>
    <m/>
    <s v="SGB"/>
    <s v="SSM"/>
    <x v="3"/>
    <x v="1"/>
    <x v="9"/>
    <x v="6"/>
    <x v="2"/>
    <x v="3"/>
    <x v="2"/>
    <m/>
    <m/>
    <m/>
    <x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s v="offen"/>
    <m/>
    <s v="offen"/>
    <m/>
    <s v="offen"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228"/>
    <s v="PP"/>
    <s v="nicht vorhanden"/>
    <x v="2"/>
    <s v="Grauraum (Strassen, Plätze &amp; Verkehr)"/>
    <n v="2"/>
    <n v="2"/>
    <m/>
    <s v="2. Priorität Projekt"/>
    <m/>
    <m/>
    <m/>
    <m/>
    <m/>
    <s v="5202-200-0076"/>
    <n v="2"/>
    <n v="0"/>
    <n v="0"/>
    <s v="0076"/>
    <x v="7"/>
    <m/>
    <s v="TAB"/>
    <s v="SSM"/>
    <x v="5"/>
    <x v="1"/>
    <x v="9"/>
    <x v="5"/>
    <x v="1"/>
    <x v="4"/>
    <x v="0"/>
    <m/>
    <m/>
    <m/>
    <x v="2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n v="20"/>
    <m/>
    <m/>
    <m/>
    <m/>
    <n v="20"/>
    <m/>
    <m/>
    <m/>
    <n v="20"/>
    <m/>
    <m/>
    <m/>
    <m/>
    <n v="20"/>
    <m/>
    <m/>
    <m/>
    <n v="40"/>
    <m/>
    <m/>
    <m/>
    <m/>
    <n v="40"/>
    <m/>
    <m/>
    <m/>
    <n v="40"/>
    <m/>
    <m/>
    <m/>
    <m/>
    <n v="40"/>
    <n v="12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120"/>
    <n v="0.06"/>
  </r>
  <r>
    <x v="229"/>
    <s v="PP"/>
    <s v="verabschiedet"/>
    <x v="1"/>
    <s v="Spielplatz"/>
    <n v="2"/>
    <n v="1"/>
    <m/>
    <s v="2. Priorität Projekt"/>
    <m/>
    <m/>
    <m/>
    <m/>
    <m/>
    <s v="5202-100-0079"/>
    <n v="1"/>
    <n v="0"/>
    <n v="0"/>
    <s v="0079"/>
    <x v="19"/>
    <m/>
    <s v="SGB"/>
    <s v="SSM"/>
    <x v="3"/>
    <x v="1"/>
    <x v="9"/>
    <x v="5"/>
    <x v="4"/>
    <x v="4"/>
    <x v="0"/>
    <m/>
    <m/>
    <m/>
    <x v="7"/>
    <s v="angemeldet"/>
    <s v="bewilligt"/>
    <s v="I5200209"/>
    <n v="1505000"/>
    <n v="155000"/>
    <n v="1015459"/>
    <n v="489541"/>
    <m/>
    <n v="350000"/>
    <n v="139541"/>
    <n v="750000"/>
    <m/>
    <m/>
    <m/>
    <m/>
    <m/>
    <m/>
    <m/>
    <m/>
    <m/>
    <m/>
    <m/>
    <m/>
    <m/>
    <m/>
    <m/>
    <m/>
    <m/>
    <m/>
    <m/>
    <m/>
    <m/>
    <n v="20"/>
    <m/>
    <n v="20"/>
    <m/>
    <m/>
    <n v="40"/>
    <m/>
    <m/>
    <m/>
    <n v="0"/>
    <m/>
    <n v="20"/>
    <m/>
    <m/>
    <n v="20"/>
    <m/>
    <n v="0"/>
    <n v="0"/>
    <n v="0"/>
    <n v="0"/>
    <n v="0"/>
    <n v="0"/>
    <n v="0"/>
    <n v="0"/>
    <m/>
    <n v="0"/>
    <n v="0"/>
    <n v="0"/>
    <n v="0"/>
    <n v="0"/>
    <n v="0"/>
    <n v="0"/>
    <n v="0"/>
    <n v="6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60"/>
    <n v="0.03"/>
  </r>
  <r>
    <x v="230"/>
    <s v="PP"/>
    <s v="nicht vorhanden"/>
    <x v="2"/>
    <s v="offen"/>
    <n v="4"/>
    <n v="4"/>
    <m/>
    <s v="3. Priorität Projekt"/>
    <m/>
    <m/>
    <m/>
    <m/>
    <m/>
    <s v="5202-200-0077"/>
    <n v="2"/>
    <n v="0"/>
    <n v="0"/>
    <s v="0077"/>
    <x v="10"/>
    <m/>
    <s v="SPA"/>
    <s v="SSM"/>
    <x v="3"/>
    <x v="1"/>
    <x v="9"/>
    <x v="5"/>
    <x v="1"/>
    <x v="4"/>
    <x v="0"/>
    <m/>
    <m/>
    <m/>
    <x v="2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n v="8"/>
    <m/>
    <m/>
    <m/>
    <m/>
    <n v="8"/>
    <m/>
    <m/>
    <m/>
    <n v="8"/>
    <m/>
    <m/>
    <m/>
    <m/>
    <n v="8"/>
    <m/>
    <m/>
    <m/>
    <m/>
    <m/>
    <m/>
    <m/>
    <m/>
    <n v="0"/>
    <m/>
    <m/>
    <m/>
    <m/>
    <m/>
    <m/>
    <m/>
    <m/>
    <n v="0"/>
    <n v="16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16"/>
    <n v="8.0000000000000002E-3"/>
  </r>
  <r>
    <x v="231"/>
    <s v="PP"/>
    <s v="verabschiedet"/>
    <x v="3"/>
    <s v="Spielplatz "/>
    <n v="2"/>
    <n v="2"/>
    <m/>
    <s v="2. Priorität Projekt"/>
    <m/>
    <m/>
    <m/>
    <m/>
    <m/>
    <s v="5202-100-0080"/>
    <n v="1"/>
    <n v="0"/>
    <n v="0"/>
    <s v="0080"/>
    <x v="10"/>
    <m/>
    <s v="SGB"/>
    <s v="SSM"/>
    <x v="3"/>
    <x v="1"/>
    <x v="6"/>
    <x v="7"/>
    <x v="4"/>
    <x v="2"/>
    <x v="0"/>
    <m/>
    <m/>
    <m/>
    <x v="7"/>
    <s v="angemeldet"/>
    <s v="bewilligt"/>
    <s v="I5200232"/>
    <n v="200000"/>
    <m/>
    <n v="1690"/>
    <n v="198310"/>
    <m/>
    <n v="130000"/>
    <n v="68310"/>
    <n v="68310"/>
    <m/>
    <m/>
    <m/>
    <m/>
    <m/>
    <m/>
    <m/>
    <m/>
    <m/>
    <m/>
    <m/>
    <m/>
    <m/>
    <m/>
    <m/>
    <m/>
    <m/>
    <m/>
    <m/>
    <m/>
    <m/>
    <n v="20"/>
    <m/>
    <n v="40"/>
    <n v="20"/>
    <m/>
    <n v="80"/>
    <m/>
    <m/>
    <m/>
    <n v="20"/>
    <m/>
    <n v="60"/>
    <n v="8"/>
    <m/>
    <n v="88"/>
    <m/>
    <m/>
    <m/>
    <n v="8"/>
    <m/>
    <n v="8"/>
    <n v="20"/>
    <m/>
    <n v="36"/>
    <m/>
    <n v="0"/>
    <n v="0"/>
    <n v="0"/>
    <n v="0"/>
    <n v="0"/>
    <n v="0"/>
    <n v="0"/>
    <n v="0"/>
    <n v="204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204"/>
    <n v="0.10199999999999999"/>
  </r>
  <r>
    <x v="232"/>
    <s v="PP"/>
    <s v="nicht vorhanden"/>
    <x v="2"/>
    <s v="Planungen, Studien, Arealentwicklung"/>
    <n v="2"/>
    <n v="2"/>
    <m/>
    <s v="2. Priorität Projekt"/>
    <m/>
    <m/>
    <m/>
    <m/>
    <m/>
    <s v="5202-400-0014"/>
    <n v="4"/>
    <n v="0"/>
    <n v="0"/>
    <s v="0014"/>
    <x v="18"/>
    <m/>
    <s v="SA"/>
    <s v="SSM"/>
    <x v="3"/>
    <x v="1"/>
    <x v="6"/>
    <x v="5"/>
    <x v="1"/>
    <x v="4"/>
    <x v="0"/>
    <m/>
    <m/>
    <m/>
    <x v="4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n v="20"/>
    <m/>
    <n v="20"/>
    <m/>
    <m/>
    <m/>
    <m/>
    <n v="40"/>
    <m/>
    <n v="20"/>
    <m/>
    <n v="20"/>
    <m/>
    <m/>
    <m/>
    <m/>
    <n v="40"/>
    <m/>
    <n v="20"/>
    <m/>
    <n v="20"/>
    <m/>
    <m/>
    <m/>
    <m/>
    <n v="40"/>
    <m/>
    <n v="20"/>
    <m/>
    <n v="20"/>
    <m/>
    <m/>
    <m/>
    <m/>
    <n v="40"/>
    <n v="16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160"/>
    <n v="0.08"/>
  </r>
  <r>
    <x v="233"/>
    <s v="PP"/>
    <s v="verabschiedet"/>
    <x v="0"/>
    <m/>
    <m/>
    <m/>
    <m/>
    <m/>
    <m/>
    <m/>
    <m/>
    <m/>
    <m/>
    <s v="5202-110-0080"/>
    <n v="1"/>
    <n v="1"/>
    <n v="0"/>
    <s v="0080"/>
    <x v="10"/>
    <m/>
    <s v="SGB"/>
    <s v="SSM"/>
    <x v="3"/>
    <x v="1"/>
    <x v="6"/>
    <x v="7"/>
    <x v="4"/>
    <x v="2"/>
    <x v="3"/>
    <m/>
    <m/>
    <m/>
    <x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s v="offen"/>
    <m/>
    <s v="offen"/>
    <m/>
    <s v="offen"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234"/>
    <s v="PP"/>
    <s v="verabschiedet"/>
    <x v="0"/>
    <m/>
    <m/>
    <m/>
    <m/>
    <m/>
    <m/>
    <m/>
    <m/>
    <m/>
    <m/>
    <s v="5202-120-0080"/>
    <n v="1"/>
    <n v="2"/>
    <n v="0"/>
    <s v="0080"/>
    <x v="10"/>
    <m/>
    <s v="SGB"/>
    <s v="SSM"/>
    <x v="3"/>
    <x v="1"/>
    <x v="6"/>
    <x v="7"/>
    <x v="4"/>
    <x v="2"/>
    <x v="3"/>
    <m/>
    <m/>
    <m/>
    <x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s v="offen"/>
    <m/>
    <s v="offen"/>
    <m/>
    <s v="offen"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235"/>
    <s v="PP"/>
    <s v="nicht vorhanden"/>
    <x v="2"/>
    <s v="Grauraum (Strassen, Plätze &amp; Verkehr)"/>
    <n v="2"/>
    <n v="2"/>
    <m/>
    <s v="2. Priorität Projekt"/>
    <m/>
    <m/>
    <m/>
    <m/>
    <m/>
    <s v="5202-200-0078"/>
    <n v="2"/>
    <n v="0"/>
    <n v="0"/>
    <s v="0078"/>
    <x v="18"/>
    <m/>
    <s v="VP"/>
    <s v="SSM"/>
    <x v="3"/>
    <x v="5"/>
    <x v="8"/>
    <x v="5"/>
    <x v="1"/>
    <x v="4"/>
    <x v="0"/>
    <m/>
    <m/>
    <m/>
    <x v="2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n v="20"/>
    <m/>
    <n v="20"/>
    <m/>
    <m/>
    <m/>
    <m/>
    <n v="40"/>
    <m/>
    <n v="20"/>
    <m/>
    <n v="20"/>
    <m/>
    <m/>
    <m/>
    <m/>
    <n v="40"/>
    <m/>
    <n v="20"/>
    <m/>
    <n v="20"/>
    <m/>
    <m/>
    <m/>
    <m/>
    <n v="40"/>
    <m/>
    <n v="20"/>
    <m/>
    <n v="20"/>
    <m/>
    <m/>
    <m/>
    <m/>
    <n v="40"/>
    <n v="16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160"/>
    <n v="0.08"/>
  </r>
  <r>
    <x v="236"/>
    <s v="PP"/>
    <s v="nicht vorhanden"/>
    <x v="2"/>
    <s v="Grauraum (Strassen, Plätze &amp; Verkehr)"/>
    <n v="4"/>
    <n v="3"/>
    <m/>
    <s v="2. Priorität Projekt"/>
    <m/>
    <m/>
    <m/>
    <m/>
    <m/>
    <s v="5202-200-0079"/>
    <n v="2"/>
    <n v="0"/>
    <n v="0"/>
    <s v="0079"/>
    <x v="8"/>
    <m/>
    <s v="VP"/>
    <s v="SSM"/>
    <x v="3"/>
    <x v="1"/>
    <x v="8"/>
    <x v="5"/>
    <x v="1"/>
    <x v="4"/>
    <x v="0"/>
    <m/>
    <m/>
    <m/>
    <x v="2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n v="0"/>
    <m/>
    <n v="8"/>
    <m/>
    <m/>
    <m/>
    <m/>
    <n v="8"/>
    <m/>
    <n v="0"/>
    <m/>
    <n v="8"/>
    <m/>
    <m/>
    <m/>
    <m/>
    <n v="8"/>
    <m/>
    <n v="0"/>
    <m/>
    <n v="8"/>
    <m/>
    <m/>
    <m/>
    <m/>
    <n v="8"/>
    <m/>
    <n v="0"/>
    <m/>
    <n v="8"/>
    <m/>
    <m/>
    <m/>
    <m/>
    <n v="8"/>
    <n v="32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32"/>
    <n v="1.6E-2"/>
  </r>
  <r>
    <x v="237"/>
    <s v="Radar"/>
    <s v="X"/>
    <x v="0"/>
    <s v="Grauraum (Strassen, Plätze &amp; Verkehr)"/>
    <m/>
    <m/>
    <m/>
    <m/>
    <m/>
    <m/>
    <m/>
    <m/>
    <m/>
    <s v="5202-200-0080"/>
    <n v="2"/>
    <n v="0"/>
    <n v="0"/>
    <s v="0080"/>
    <x v="2"/>
    <m/>
    <s v="VP"/>
    <s v="offen"/>
    <x v="2"/>
    <x v="5"/>
    <x v="4"/>
    <x v="3"/>
    <x v="3"/>
    <x v="1"/>
    <x v="0"/>
    <m/>
    <m/>
    <m/>
    <x v="2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238"/>
    <s v="offen"/>
    <s v="X"/>
    <x v="0"/>
    <m/>
    <m/>
    <m/>
    <m/>
    <m/>
    <m/>
    <m/>
    <m/>
    <m/>
    <m/>
    <s v="5202-600-0003"/>
    <n v="6"/>
    <n v="0"/>
    <n v="0"/>
    <s v="0003"/>
    <x v="2"/>
    <m/>
    <s v="SGB"/>
    <s v="offen"/>
    <x v="2"/>
    <x v="5"/>
    <x v="4"/>
    <x v="3"/>
    <x v="3"/>
    <x v="1"/>
    <x v="0"/>
    <m/>
    <m/>
    <m/>
    <x v="10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239"/>
    <m/>
    <m/>
    <x v="0"/>
    <m/>
    <m/>
    <m/>
    <m/>
    <m/>
    <m/>
    <m/>
    <m/>
    <m/>
    <m/>
    <m/>
    <m/>
    <m/>
    <m/>
    <m/>
    <x v="0"/>
    <m/>
    <m/>
    <s v="GG"/>
    <x v="4"/>
    <x v="0"/>
    <x v="16"/>
    <x v="0"/>
    <x v="0"/>
    <x v="0"/>
    <x v="0"/>
    <m/>
    <m/>
    <m/>
    <x v="20"/>
    <m/>
    <m/>
    <m/>
    <m/>
    <m/>
    <m/>
    <n v="0"/>
    <m/>
    <n v="50000"/>
    <n v="-50000"/>
    <m/>
    <n v="50000"/>
    <m/>
    <n v="50000"/>
    <m/>
    <n v="50000"/>
    <m/>
    <m/>
    <m/>
    <m/>
    <m/>
    <m/>
    <m/>
    <m/>
    <m/>
    <m/>
    <m/>
    <m/>
    <m/>
    <m/>
    <m/>
    <m/>
    <n v="8"/>
    <m/>
    <m/>
    <m/>
    <m/>
    <n v="8"/>
    <m/>
    <m/>
    <m/>
    <n v="8"/>
    <m/>
    <m/>
    <m/>
    <m/>
    <n v="8"/>
    <m/>
    <m/>
    <m/>
    <n v="8"/>
    <m/>
    <m/>
    <m/>
    <m/>
    <n v="8"/>
    <m/>
    <m/>
    <m/>
    <n v="8"/>
    <m/>
    <m/>
    <m/>
    <m/>
    <n v="8"/>
    <n v="32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32"/>
    <n v="1.6E-2"/>
  </r>
  <r>
    <x v="240"/>
    <s v="PP"/>
    <s v="offen"/>
    <x v="2"/>
    <s v="Planungen, Studien, Arealentwicklung"/>
    <n v="1"/>
    <n v="2"/>
    <m/>
    <s v="2. Priorität Projekt"/>
    <m/>
    <m/>
    <m/>
    <m/>
    <m/>
    <s v="5202-200-0081"/>
    <n v="2"/>
    <n v="0"/>
    <n v="0"/>
    <s v="0081"/>
    <x v="9"/>
    <m/>
    <s v="SPA"/>
    <s v="GG"/>
    <x v="5"/>
    <x v="6"/>
    <x v="2"/>
    <x v="5"/>
    <x v="1"/>
    <x v="4"/>
    <x v="0"/>
    <m/>
    <m/>
    <m/>
    <x v="4"/>
    <s v="angemeldet"/>
    <s v="budgetiert"/>
    <m/>
    <n v="19800000"/>
    <m/>
    <m/>
    <n v="19800000"/>
    <m/>
    <m/>
    <n v="19800000"/>
    <m/>
    <n v="250000"/>
    <m/>
    <n v="200000"/>
    <m/>
    <n v="200000"/>
    <m/>
    <n v="200000"/>
    <m/>
    <n v="4737500"/>
    <m/>
    <n v="4737500"/>
    <m/>
    <n v="4737500"/>
    <m/>
    <n v="4737500"/>
    <m/>
    <m/>
    <m/>
    <m/>
    <m/>
    <m/>
    <n v="40"/>
    <m/>
    <m/>
    <m/>
    <m/>
    <n v="40"/>
    <m/>
    <m/>
    <m/>
    <n v="40"/>
    <m/>
    <m/>
    <m/>
    <m/>
    <n v="40"/>
    <m/>
    <m/>
    <m/>
    <n v="80"/>
    <m/>
    <m/>
    <m/>
    <m/>
    <n v="80"/>
    <m/>
    <m/>
    <m/>
    <n v="125"/>
    <m/>
    <m/>
    <m/>
    <m/>
    <n v="125"/>
    <n v="285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285"/>
    <n v="0.14249999999999999"/>
  </r>
  <r>
    <x v="241"/>
    <s v="PP"/>
    <s v="offen"/>
    <x v="1"/>
    <s v="Velo"/>
    <n v="2"/>
    <n v="2"/>
    <m/>
    <s v="2. Priorität Projekt"/>
    <m/>
    <m/>
    <m/>
    <m/>
    <m/>
    <s v="5202-100-0090"/>
    <n v="1"/>
    <n v="0"/>
    <n v="0"/>
    <s v="0090"/>
    <x v="3"/>
    <m/>
    <s v="SGB"/>
    <s v="SSM"/>
    <x v="3"/>
    <x v="1"/>
    <x v="6"/>
    <x v="5"/>
    <x v="4"/>
    <x v="4"/>
    <x v="0"/>
    <m/>
    <m/>
    <m/>
    <x v="9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s v="offen"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242"/>
    <s v="PP"/>
    <s v="nicht vorhanden"/>
    <x v="2"/>
    <s v="Grauraum (Strassen, Plätze &amp; Verkehr)"/>
    <n v="3"/>
    <n v="2"/>
    <m/>
    <s v="2. Priorität Projekt"/>
    <m/>
    <m/>
    <m/>
    <m/>
    <m/>
    <s v="5202-200-0082"/>
    <n v="2"/>
    <n v="0"/>
    <n v="0"/>
    <s v="0082"/>
    <x v="15"/>
    <m/>
    <s v="VP"/>
    <s v="SSM"/>
    <x v="3"/>
    <x v="1"/>
    <x v="8"/>
    <x v="5"/>
    <x v="1"/>
    <x v="4"/>
    <x v="0"/>
    <m/>
    <m/>
    <m/>
    <x v="2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n v="0"/>
    <m/>
    <n v="0"/>
    <m/>
    <m/>
    <m/>
    <m/>
    <n v="0"/>
    <m/>
    <n v="0"/>
    <m/>
    <n v="20"/>
    <m/>
    <m/>
    <m/>
    <m/>
    <n v="20"/>
    <m/>
    <n v="0"/>
    <m/>
    <n v="8"/>
    <m/>
    <m/>
    <m/>
    <m/>
    <n v="8"/>
    <m/>
    <n v="0"/>
    <n v="0"/>
    <n v="0"/>
    <n v="0"/>
    <n v="0"/>
    <n v="0"/>
    <n v="0"/>
    <n v="0"/>
    <n v="28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28"/>
    <n v="1.4E-2"/>
  </r>
  <r>
    <x v="243"/>
    <s v="Abgeschl."/>
    <s v="verabschiedet"/>
    <x v="3"/>
    <s v="Spielplatz "/>
    <n v="2"/>
    <n v="1"/>
    <m/>
    <s v="2. Priorität Projekt"/>
    <m/>
    <m/>
    <m/>
    <m/>
    <m/>
    <s v="5202-100-0081"/>
    <n v="1"/>
    <n v="0"/>
    <n v="0"/>
    <s v="0081"/>
    <x v="11"/>
    <m/>
    <s v="SGB"/>
    <s v="SSM"/>
    <x v="3"/>
    <x v="1"/>
    <x v="6"/>
    <x v="6"/>
    <x v="2"/>
    <x v="3"/>
    <x v="0"/>
    <m/>
    <m/>
    <m/>
    <x v="5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244"/>
    <m/>
    <m/>
    <x v="0"/>
    <m/>
    <m/>
    <m/>
    <m/>
    <m/>
    <m/>
    <m/>
    <m/>
    <m/>
    <m/>
    <m/>
    <m/>
    <m/>
    <m/>
    <m/>
    <x v="0"/>
    <m/>
    <m/>
    <m/>
    <x v="0"/>
    <x v="0"/>
    <x v="0"/>
    <x v="0"/>
    <x v="0"/>
    <x v="0"/>
    <x v="0"/>
    <m/>
    <m/>
    <m/>
    <x v="13"/>
    <m/>
    <m/>
    <m/>
    <m/>
    <m/>
    <m/>
    <m/>
    <m/>
    <n v="25000"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m/>
  </r>
  <r>
    <x v="245"/>
    <m/>
    <m/>
    <x v="0"/>
    <m/>
    <m/>
    <m/>
    <m/>
    <m/>
    <m/>
    <m/>
    <m/>
    <m/>
    <m/>
    <m/>
    <m/>
    <m/>
    <m/>
    <m/>
    <x v="0"/>
    <m/>
    <m/>
    <m/>
    <x v="0"/>
    <x v="0"/>
    <x v="0"/>
    <x v="0"/>
    <x v="0"/>
    <x v="0"/>
    <x v="0"/>
    <m/>
    <m/>
    <m/>
    <x v="13"/>
    <m/>
    <m/>
    <m/>
    <m/>
    <m/>
    <m/>
    <m/>
    <m/>
    <n v="10000"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m/>
  </r>
  <r>
    <x v="246"/>
    <s v="PP"/>
    <s v="offen"/>
    <x v="0"/>
    <m/>
    <m/>
    <m/>
    <m/>
    <m/>
    <m/>
    <m/>
    <m/>
    <m/>
    <m/>
    <s v="5202-300-0013"/>
    <n v="3"/>
    <n v="0"/>
    <n v="0"/>
    <s v="0013"/>
    <x v="2"/>
    <m/>
    <s v="Andere"/>
    <s v="SSM"/>
    <x v="7"/>
    <x v="1"/>
    <x v="6"/>
    <x v="6"/>
    <x v="2"/>
    <x v="3"/>
    <x v="0"/>
    <m/>
    <m/>
    <m/>
    <x v="10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n v="20"/>
    <m/>
    <m/>
    <m/>
    <m/>
    <n v="20"/>
    <m/>
    <n v="0"/>
    <m/>
    <s v="offen"/>
    <m/>
    <m/>
    <m/>
    <m/>
    <n v="0"/>
    <m/>
    <m/>
    <m/>
    <m/>
    <m/>
    <m/>
    <m/>
    <m/>
    <n v="0"/>
    <m/>
    <m/>
    <m/>
    <m/>
    <m/>
    <m/>
    <m/>
    <m/>
    <n v="0"/>
    <n v="2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20"/>
    <n v="0.01"/>
  </r>
  <r>
    <x v="247"/>
    <m/>
    <m/>
    <x v="1"/>
    <s v="Natur &amp; Ökologie"/>
    <n v="2"/>
    <n v="1"/>
    <m/>
    <s v="2. Priorität Projekt"/>
    <m/>
    <m/>
    <m/>
    <m/>
    <m/>
    <s v="x"/>
    <m/>
    <m/>
    <m/>
    <m/>
    <x v="1"/>
    <m/>
    <s v="SGB"/>
    <s v="NÖ"/>
    <x v="1"/>
    <x v="0"/>
    <x v="1"/>
    <x v="0"/>
    <x v="0"/>
    <x v="0"/>
    <x v="0"/>
    <m/>
    <m/>
    <m/>
    <x v="2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248"/>
    <s v="PP"/>
    <s v="nicht vorhanden"/>
    <x v="2"/>
    <s v="Planungen, Studien, Arealentwicklung"/>
    <n v="1"/>
    <n v="1"/>
    <m/>
    <s v="1. Priorität Projekt"/>
    <m/>
    <m/>
    <m/>
    <m/>
    <m/>
    <s v="5202-200-0083"/>
    <n v="2"/>
    <n v="0"/>
    <n v="0"/>
    <s v="0083"/>
    <x v="8"/>
    <m/>
    <s v="offen"/>
    <s v="SSM"/>
    <x v="5"/>
    <x v="1"/>
    <x v="6"/>
    <x v="5"/>
    <x v="1"/>
    <x v="4"/>
    <x v="0"/>
    <m/>
    <m/>
    <m/>
    <x v="2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n v="20"/>
    <m/>
    <m/>
    <m/>
    <m/>
    <n v="20"/>
    <m/>
    <m/>
    <m/>
    <n v="20"/>
    <m/>
    <m/>
    <m/>
    <m/>
    <n v="20"/>
    <m/>
    <m/>
    <m/>
    <n v="20"/>
    <m/>
    <m/>
    <m/>
    <m/>
    <n v="20"/>
    <m/>
    <m/>
    <m/>
    <n v="20"/>
    <m/>
    <m/>
    <m/>
    <m/>
    <n v="20"/>
    <n v="8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80"/>
    <n v="0.04"/>
  </r>
  <r>
    <x v="249"/>
    <s v="PP"/>
    <s v="nicht vorhanden"/>
    <x v="2"/>
    <s v="Grauraum (Strassen, Plätze &amp; Verkehr)"/>
    <n v="1"/>
    <n v="1"/>
    <m/>
    <s v="1. Priorität Projekt"/>
    <m/>
    <m/>
    <m/>
    <m/>
    <m/>
    <s v="5202-200-0084"/>
    <n v="2"/>
    <n v="0"/>
    <n v="0"/>
    <s v="0084"/>
    <x v="1"/>
    <m/>
    <s v="TAB"/>
    <s v="SSM"/>
    <x v="6"/>
    <x v="1"/>
    <x v="9"/>
    <x v="5"/>
    <x v="1"/>
    <x v="4"/>
    <x v="0"/>
    <m/>
    <m/>
    <m/>
    <x v="2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250"/>
    <s v="Abgeschl."/>
    <s v="nicht vorhanden"/>
    <x v="2"/>
    <s v="Verwaltungsvermögen (HSB)"/>
    <n v="4"/>
    <n v="3"/>
    <m/>
    <s v="2. Priorität Projekt"/>
    <m/>
    <m/>
    <m/>
    <m/>
    <m/>
    <s v="5202-200-0085"/>
    <n v="2"/>
    <n v="0"/>
    <n v="0"/>
    <s v="0085"/>
    <x v="11"/>
    <m/>
    <s v="HSB "/>
    <s v="SSM"/>
    <x v="3"/>
    <x v="1"/>
    <x v="14"/>
    <x v="5"/>
    <x v="1"/>
    <x v="4"/>
    <x v="0"/>
    <m/>
    <m/>
    <m/>
    <x v="2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251"/>
    <s v="PP"/>
    <s v="nicht vorhanden"/>
    <x v="2"/>
    <s v="Grauraum (Strassen, Plätze &amp; Verkehr)"/>
    <n v="3"/>
    <n v="4"/>
    <m/>
    <s v="2. Priorität Projekt"/>
    <m/>
    <m/>
    <m/>
    <m/>
    <m/>
    <s v="5202-200-0086"/>
    <n v="2"/>
    <n v="0"/>
    <n v="0"/>
    <s v="0086"/>
    <x v="7"/>
    <m/>
    <s v="TAB"/>
    <s v="SSM"/>
    <x v="3"/>
    <x v="1"/>
    <x v="6"/>
    <x v="5"/>
    <x v="1"/>
    <x v="4"/>
    <x v="0"/>
    <m/>
    <m/>
    <m/>
    <x v="5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n v="8"/>
    <m/>
    <n v="20"/>
    <m/>
    <m/>
    <m/>
    <m/>
    <n v="28"/>
    <m/>
    <n v="0"/>
    <n v="0"/>
    <n v="0"/>
    <n v="0"/>
    <n v="0"/>
    <n v="0"/>
    <n v="0"/>
    <n v="0"/>
    <m/>
    <n v="0"/>
    <n v="0"/>
    <n v="0"/>
    <n v="0"/>
    <n v="0"/>
    <n v="0"/>
    <n v="0"/>
    <n v="0"/>
    <m/>
    <n v="0"/>
    <n v="0"/>
    <n v="0"/>
    <n v="0"/>
    <n v="0"/>
    <n v="0"/>
    <n v="0"/>
    <n v="0"/>
    <n v="28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28"/>
    <n v="1.4E-2"/>
  </r>
  <r>
    <x v="252"/>
    <s v="PP"/>
    <s v="offen"/>
    <x v="2"/>
    <s v="Wettbewerbe"/>
    <n v="3"/>
    <n v="4"/>
    <m/>
    <s v="2. Priorität Projekt"/>
    <m/>
    <m/>
    <m/>
    <m/>
    <m/>
    <s v="5202-200-0087"/>
    <n v="2"/>
    <n v="0"/>
    <n v="0"/>
    <s v="0087"/>
    <x v="2"/>
    <m/>
    <s v="TAB"/>
    <s v="NÖ"/>
    <x v="1"/>
    <x v="1"/>
    <x v="1"/>
    <x v="5"/>
    <x v="1"/>
    <x v="4"/>
    <x v="0"/>
    <m/>
    <m/>
    <m/>
    <x v="2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253"/>
    <s v="PP"/>
    <s v="offen"/>
    <x v="1"/>
    <s v="Grundlagenarbeit &amp; Diverses"/>
    <n v="3"/>
    <n v="2"/>
    <m/>
    <s v="2. Priorität Projekt"/>
    <m/>
    <m/>
    <m/>
    <m/>
    <m/>
    <s v="5202-100-0082"/>
    <n v="1"/>
    <n v="0"/>
    <n v="0"/>
    <s v="0082"/>
    <x v="2"/>
    <m/>
    <s v="SGB"/>
    <s v="offen"/>
    <x v="2"/>
    <x v="1"/>
    <x v="16"/>
    <x v="3"/>
    <x v="3"/>
    <x v="1"/>
    <x v="0"/>
    <m/>
    <m/>
    <m/>
    <x v="5"/>
    <m/>
    <m/>
    <m/>
    <m/>
    <m/>
    <m/>
    <n v="0"/>
    <m/>
    <n v="20000"/>
    <n v="-20000"/>
    <m/>
    <n v="200000"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254"/>
    <s v="PP"/>
    <s v="offen"/>
    <x v="1"/>
    <m/>
    <n v="3"/>
    <n v="5"/>
    <m/>
    <s v="2. Priorität Projekt"/>
    <m/>
    <m/>
    <m/>
    <m/>
    <m/>
    <s v="5202-400-0011"/>
    <n v="4"/>
    <n v="0"/>
    <n v="0"/>
    <s v="0011"/>
    <x v="1"/>
    <m/>
    <s v="SGB"/>
    <s v="GG"/>
    <x v="2"/>
    <x v="1"/>
    <x v="11"/>
    <x v="9"/>
    <x v="3"/>
    <x v="6"/>
    <x v="0"/>
    <m/>
    <m/>
    <m/>
    <x v="10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n v="20"/>
    <m/>
    <m/>
    <n v="20"/>
    <m/>
    <n v="40"/>
    <m/>
    <m/>
    <m/>
    <n v="20"/>
    <m/>
    <m/>
    <n v="20"/>
    <m/>
    <n v="40"/>
    <m/>
    <m/>
    <m/>
    <n v="20"/>
    <m/>
    <m/>
    <n v="20"/>
    <m/>
    <n v="40"/>
    <m/>
    <m/>
    <m/>
    <n v="20"/>
    <m/>
    <m/>
    <n v="20"/>
    <m/>
    <n v="40"/>
    <n v="16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160"/>
    <n v="0.08"/>
  </r>
  <r>
    <x v="255"/>
    <s v="PP"/>
    <s v="offen"/>
    <x v="2"/>
    <s v="Finanzvermögen (Fonds)"/>
    <n v="5"/>
    <n v="4"/>
    <m/>
    <s v="3. Priorität Projekt"/>
    <m/>
    <m/>
    <m/>
    <m/>
    <m/>
    <s v="5202-200-0088"/>
    <n v="2"/>
    <n v="0"/>
    <n v="0"/>
    <s v="0088"/>
    <x v="14"/>
    <m/>
    <s v="Andere"/>
    <s v="SSM"/>
    <x v="2"/>
    <x v="1"/>
    <x v="14"/>
    <x v="5"/>
    <x v="1"/>
    <x v="4"/>
    <x v="0"/>
    <m/>
    <m/>
    <m/>
    <x v="2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n v="20"/>
    <m/>
    <m/>
    <m/>
    <m/>
    <n v="20"/>
    <m/>
    <n v="0"/>
    <n v="0"/>
    <n v="0"/>
    <n v="0"/>
    <n v="0"/>
    <n v="0"/>
    <n v="0"/>
    <n v="0"/>
    <m/>
    <n v="0"/>
    <n v="0"/>
    <n v="0"/>
    <n v="0"/>
    <n v="0"/>
    <n v="0"/>
    <n v="0"/>
    <n v="0"/>
    <m/>
    <n v="0"/>
    <n v="0"/>
    <n v="0"/>
    <n v="0"/>
    <n v="0"/>
    <n v="0"/>
    <n v="0"/>
    <n v="0"/>
    <n v="2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20"/>
    <n v="0.01"/>
  </r>
  <r>
    <x v="256"/>
    <m/>
    <m/>
    <x v="0"/>
    <m/>
    <m/>
    <m/>
    <m/>
    <m/>
    <m/>
    <m/>
    <m/>
    <m/>
    <m/>
    <m/>
    <m/>
    <m/>
    <m/>
    <m/>
    <x v="0"/>
    <m/>
    <m/>
    <m/>
    <x v="0"/>
    <x v="0"/>
    <x v="0"/>
    <x v="0"/>
    <x v="0"/>
    <x v="0"/>
    <x v="0"/>
    <m/>
    <m/>
    <m/>
    <x v="5"/>
    <m/>
    <m/>
    <m/>
    <m/>
    <m/>
    <m/>
    <n v="0"/>
    <m/>
    <m/>
    <n v="0"/>
    <m/>
    <n v="250000"/>
    <m/>
    <n v="500000"/>
    <m/>
    <n v="500000"/>
    <m/>
    <n v="500000"/>
    <m/>
    <n v="500000"/>
    <m/>
    <n v="500000"/>
    <m/>
    <n v="500000"/>
    <m/>
    <n v="500000"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257"/>
    <s v="offen"/>
    <s v="X"/>
    <x v="1"/>
    <s v="Grundlagenarbeit &amp; Diverses"/>
    <n v="1"/>
    <n v="2"/>
    <m/>
    <s v="2. Priorität Projekt"/>
    <m/>
    <m/>
    <m/>
    <m/>
    <m/>
    <s v="5202-300-0014"/>
    <n v="3"/>
    <n v="0"/>
    <n v="0"/>
    <s v="0014"/>
    <x v="1"/>
    <m/>
    <s v="SGB"/>
    <s v="SSM"/>
    <x v="3"/>
    <x v="6"/>
    <x v="12"/>
    <x v="0"/>
    <x v="0"/>
    <x v="0"/>
    <x v="0"/>
    <m/>
    <m/>
    <m/>
    <x v="10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n v="8"/>
    <n v="8"/>
    <n v="20"/>
    <m/>
    <m/>
    <m/>
    <m/>
    <n v="36"/>
    <m/>
    <n v="8"/>
    <n v="8"/>
    <n v="80"/>
    <m/>
    <m/>
    <m/>
    <m/>
    <n v="96"/>
    <m/>
    <n v="8"/>
    <n v="8"/>
    <n v="80"/>
    <m/>
    <m/>
    <m/>
    <m/>
    <n v="96"/>
    <m/>
    <n v="8"/>
    <n v="8"/>
    <n v="80"/>
    <m/>
    <m/>
    <m/>
    <m/>
    <n v="96"/>
    <n v="324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324"/>
    <n v="0.16200000000000001"/>
  </r>
  <r>
    <x v="258"/>
    <s v="PP"/>
    <s v="verabschiedet"/>
    <x v="3"/>
    <s v="Friedhof "/>
    <n v="3"/>
    <n v="1"/>
    <m/>
    <s v="2. Priorität Projekt"/>
    <m/>
    <m/>
    <m/>
    <m/>
    <m/>
    <s v="5202-100-0088"/>
    <n v="1"/>
    <n v="0"/>
    <n v="0"/>
    <s v="0088"/>
    <x v="3"/>
    <m/>
    <s v="SGB"/>
    <s v="offen"/>
    <x v="2"/>
    <x v="1"/>
    <x v="4"/>
    <x v="3"/>
    <x v="3"/>
    <x v="1"/>
    <x v="0"/>
    <m/>
    <m/>
    <m/>
    <x v="5"/>
    <s v="offen"/>
    <s v="budgetiert"/>
    <m/>
    <n v="260000"/>
    <m/>
    <m/>
    <n v="260000"/>
    <m/>
    <n v="26000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259"/>
    <s v="offen"/>
    <s v="X"/>
    <x v="1"/>
    <s v="Natur &amp; Ökologie"/>
    <n v="1"/>
    <n v="1"/>
    <s v="a)"/>
    <s v="Leuchtturmprojekte"/>
    <m/>
    <m/>
    <m/>
    <m/>
    <m/>
    <s v="5202-500-0022"/>
    <n v="5"/>
    <n v="0"/>
    <n v="0"/>
    <s v="0022"/>
    <x v="1"/>
    <m/>
    <s v="SGB"/>
    <s v="NÖ"/>
    <x v="1"/>
    <x v="1"/>
    <x v="1"/>
    <x v="3"/>
    <x v="3"/>
    <x v="1"/>
    <x v="0"/>
    <m/>
    <m/>
    <m/>
    <x v="1"/>
    <m/>
    <m/>
    <m/>
    <m/>
    <m/>
    <m/>
    <m/>
    <m/>
    <n v="25000"/>
    <m/>
    <m/>
    <n v="35000"/>
    <m/>
    <n v="35000"/>
    <m/>
    <n v="35000"/>
    <m/>
    <n v="35000"/>
    <m/>
    <n v="35000"/>
    <m/>
    <n v="35000"/>
    <m/>
    <n v="35000"/>
    <m/>
    <n v="35000"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260"/>
    <s v="offen"/>
    <s v="X"/>
    <x v="1"/>
    <s v="Natur &amp; Ökologie"/>
    <n v="1"/>
    <n v="1"/>
    <s v="a)"/>
    <s v="Leuchtturmprojekte"/>
    <m/>
    <m/>
    <m/>
    <m/>
    <m/>
    <s v="5202-100-0083"/>
    <n v="1"/>
    <n v="0"/>
    <n v="0"/>
    <s v="0083"/>
    <x v="1"/>
    <m/>
    <s v="SGB"/>
    <s v="NÖ"/>
    <x v="1"/>
    <x v="1"/>
    <x v="1"/>
    <x v="3"/>
    <x v="3"/>
    <x v="1"/>
    <x v="0"/>
    <m/>
    <m/>
    <m/>
    <x v="3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261"/>
    <s v="PP"/>
    <s v="verabschiedet"/>
    <x v="0"/>
    <m/>
    <m/>
    <m/>
    <m/>
    <m/>
    <m/>
    <m/>
    <m/>
    <m/>
    <m/>
    <s v="5202-110-0088"/>
    <n v="1"/>
    <n v="1"/>
    <n v="0"/>
    <s v="0088"/>
    <x v="2"/>
    <m/>
    <s v="SGB"/>
    <s v="offen"/>
    <x v="2"/>
    <x v="1"/>
    <x v="4"/>
    <x v="3"/>
    <x v="3"/>
    <x v="1"/>
    <x v="3"/>
    <m/>
    <m/>
    <m/>
    <x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s v="offen"/>
    <m/>
    <s v="offen"/>
    <m/>
    <s v="offen"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262"/>
    <s v="PP"/>
    <s v="verabschiedet"/>
    <x v="0"/>
    <m/>
    <m/>
    <m/>
    <m/>
    <m/>
    <m/>
    <m/>
    <m/>
    <m/>
    <m/>
    <s v="5202-110-0088"/>
    <n v="1"/>
    <n v="2"/>
    <n v="0"/>
    <s v="0088"/>
    <x v="2"/>
    <m/>
    <s v="SGB"/>
    <s v="offen"/>
    <x v="2"/>
    <x v="1"/>
    <x v="4"/>
    <x v="3"/>
    <x v="3"/>
    <x v="1"/>
    <x v="3"/>
    <m/>
    <m/>
    <m/>
    <x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s v="offen"/>
    <m/>
    <s v="offen"/>
    <m/>
    <s v="offen"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263"/>
    <s v="PP"/>
    <s v="verabschiedet"/>
    <x v="1"/>
    <s v="Spielplatz"/>
    <n v="2"/>
    <n v="2"/>
    <m/>
    <s v="2. Priorität Projekt"/>
    <m/>
    <m/>
    <m/>
    <m/>
    <m/>
    <s v="5202-100-0084"/>
    <n v="1"/>
    <n v="0"/>
    <n v="0"/>
    <s v="0084"/>
    <x v="3"/>
    <m/>
    <s v="SGB"/>
    <s v="SSM"/>
    <x v="3"/>
    <x v="1"/>
    <x v="8"/>
    <x v="3"/>
    <x v="3"/>
    <x v="1"/>
    <x v="0"/>
    <m/>
    <m/>
    <m/>
    <x v="9"/>
    <s v="angemeldet"/>
    <s v="MIP "/>
    <s v="I5200227"/>
    <n v="200000"/>
    <m/>
    <n v="282"/>
    <n v="199718"/>
    <m/>
    <n v="50000"/>
    <n v="149718"/>
    <m/>
    <n v="149718"/>
    <m/>
    <m/>
    <m/>
    <m/>
    <m/>
    <m/>
    <m/>
    <m/>
    <m/>
    <m/>
    <m/>
    <m/>
    <m/>
    <m/>
    <m/>
    <m/>
    <m/>
    <m/>
    <n v="20"/>
    <m/>
    <n v="60"/>
    <m/>
    <m/>
    <n v="40"/>
    <m/>
    <n v="120"/>
    <m/>
    <n v="8"/>
    <m/>
    <n v="40"/>
    <m/>
    <n v="40"/>
    <n v="20"/>
    <m/>
    <n v="108"/>
    <m/>
    <n v="8"/>
    <m/>
    <n v="20"/>
    <m/>
    <n v="40"/>
    <n v="8"/>
    <m/>
    <n v="76"/>
    <m/>
    <n v="8"/>
    <m/>
    <m/>
    <m/>
    <n v="20"/>
    <n v="8"/>
    <m/>
    <n v="36"/>
    <n v="34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340"/>
    <n v="0.17"/>
  </r>
  <r>
    <x v="264"/>
    <s v="offen"/>
    <s v="X"/>
    <x v="0"/>
    <m/>
    <m/>
    <m/>
    <m/>
    <m/>
    <m/>
    <m/>
    <m/>
    <m/>
    <m/>
    <s v="5202-400-0012"/>
    <n v="4"/>
    <n v="0"/>
    <n v="0"/>
    <s v="0012"/>
    <x v="1"/>
    <m/>
    <s v="SGB"/>
    <s v="offen"/>
    <x v="2"/>
    <x v="1"/>
    <x v="4"/>
    <x v="3"/>
    <x v="3"/>
    <x v="1"/>
    <x v="0"/>
    <m/>
    <m/>
    <m/>
    <x v="10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265"/>
    <s v="offen"/>
    <s v="X"/>
    <x v="2"/>
    <s v="Natur &amp; Ökologie"/>
    <n v="3"/>
    <n v="1"/>
    <m/>
    <s v="2. Priorität Projekt"/>
    <m/>
    <m/>
    <m/>
    <m/>
    <m/>
    <s v="5202-400-0013"/>
    <n v="4"/>
    <n v="0"/>
    <n v="0"/>
    <s v="0013"/>
    <x v="1"/>
    <m/>
    <s v="SGB"/>
    <s v="NÖ"/>
    <x v="5"/>
    <x v="1"/>
    <x v="1"/>
    <x v="3"/>
    <x v="3"/>
    <x v="1"/>
    <x v="0"/>
    <m/>
    <m/>
    <m/>
    <x v="10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266"/>
    <s v="PP"/>
    <s v="verabschiedet"/>
    <x v="0"/>
    <m/>
    <m/>
    <m/>
    <m/>
    <m/>
    <m/>
    <m/>
    <m/>
    <m/>
    <m/>
    <s v="5202-110-0084"/>
    <n v="1"/>
    <n v="1"/>
    <n v="0"/>
    <s v="0084"/>
    <x v="3"/>
    <m/>
    <s v="SGB"/>
    <s v="SSM"/>
    <x v="3"/>
    <x v="1"/>
    <x v="8"/>
    <x v="3"/>
    <x v="3"/>
    <x v="1"/>
    <x v="3"/>
    <m/>
    <m/>
    <m/>
    <x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s v="offen"/>
    <m/>
    <s v="offen"/>
    <m/>
    <s v="offen"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267"/>
    <s v="PP"/>
    <s v="verabschiedet"/>
    <x v="0"/>
    <m/>
    <m/>
    <m/>
    <m/>
    <m/>
    <m/>
    <m/>
    <m/>
    <m/>
    <m/>
    <s v="5202-110-0084"/>
    <n v="1"/>
    <n v="2"/>
    <n v="0"/>
    <s v="0084"/>
    <x v="3"/>
    <m/>
    <s v="SGB"/>
    <s v="SSM"/>
    <x v="3"/>
    <x v="1"/>
    <x v="8"/>
    <x v="3"/>
    <x v="3"/>
    <x v="1"/>
    <x v="3"/>
    <m/>
    <m/>
    <m/>
    <x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s v="offen"/>
    <m/>
    <s v="offen"/>
    <m/>
    <s v="offen"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268"/>
    <s v="PP"/>
    <s v="nicht vorhanden"/>
    <x v="1"/>
    <s v="Park- &amp; Grünanlagen"/>
    <n v="2"/>
    <n v="1"/>
    <m/>
    <s v="2. Priorität Projekt"/>
    <m/>
    <m/>
    <m/>
    <m/>
    <m/>
    <s v="5202-100-0085"/>
    <n v="1"/>
    <n v="0"/>
    <n v="0"/>
    <s v="0085"/>
    <x v="11"/>
    <m/>
    <s v="SGB"/>
    <s v="SSM"/>
    <x v="3"/>
    <x v="1"/>
    <x v="9"/>
    <x v="3"/>
    <x v="3"/>
    <x v="1"/>
    <x v="0"/>
    <m/>
    <m/>
    <m/>
    <x v="15"/>
    <s v="angemeldet"/>
    <s v="bewilligt"/>
    <m/>
    <m/>
    <m/>
    <n v="793793.45"/>
    <n v="-793793.45"/>
    <m/>
    <m/>
    <n v="-793793.45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269"/>
    <s v="Radar"/>
    <s v="X"/>
    <x v="1"/>
    <s v="Park- &amp; Grünanlagen"/>
    <n v="2"/>
    <n v="2"/>
    <m/>
    <s v="2. Priorität Projekt"/>
    <m/>
    <m/>
    <m/>
    <m/>
    <m/>
    <s v="5202-100-0086"/>
    <n v="1"/>
    <n v="0"/>
    <n v="0"/>
    <s v="0086"/>
    <x v="6"/>
    <m/>
    <s v="SGB"/>
    <s v="SSM"/>
    <x v="3"/>
    <x v="1"/>
    <x v="9"/>
    <x v="6"/>
    <x v="2"/>
    <x v="3"/>
    <x v="0"/>
    <m/>
    <m/>
    <m/>
    <x v="10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270"/>
    <m/>
    <m/>
    <x v="0"/>
    <m/>
    <m/>
    <m/>
    <m/>
    <m/>
    <m/>
    <m/>
    <m/>
    <m/>
    <m/>
    <m/>
    <m/>
    <m/>
    <m/>
    <m/>
    <x v="0"/>
    <m/>
    <m/>
    <m/>
    <x v="0"/>
    <x v="0"/>
    <x v="0"/>
    <x v="0"/>
    <x v="0"/>
    <x v="0"/>
    <x v="0"/>
    <m/>
    <m/>
    <m/>
    <x v="20"/>
    <s v="angemeldet"/>
    <s v="offen"/>
    <m/>
    <n v="2000000"/>
    <m/>
    <m/>
    <n v="2000000"/>
    <m/>
    <m/>
    <n v="2000000"/>
    <m/>
    <m/>
    <m/>
    <n v="500000"/>
    <m/>
    <n v="500000"/>
    <m/>
    <n v="500000"/>
    <m/>
    <n v="500000"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271"/>
    <m/>
    <m/>
    <x v="0"/>
    <m/>
    <m/>
    <m/>
    <m/>
    <m/>
    <m/>
    <m/>
    <m/>
    <m/>
    <m/>
    <m/>
    <m/>
    <m/>
    <m/>
    <m/>
    <x v="0"/>
    <m/>
    <m/>
    <m/>
    <x v="0"/>
    <x v="0"/>
    <x v="0"/>
    <x v="0"/>
    <x v="0"/>
    <x v="0"/>
    <x v="0"/>
    <m/>
    <m/>
    <m/>
    <x v="21"/>
    <m/>
    <s v="offen"/>
    <m/>
    <n v="2000000"/>
    <m/>
    <m/>
    <n v="2000000"/>
    <m/>
    <m/>
    <n v="2000000"/>
    <m/>
    <m/>
    <m/>
    <m/>
    <m/>
    <m/>
    <m/>
    <m/>
    <m/>
    <m/>
    <m/>
    <n v="500000"/>
    <m/>
    <n v="500000"/>
    <m/>
    <n v="500000"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272"/>
    <s v="PP"/>
    <s v="verabschiedet"/>
    <x v="3"/>
    <s v="Spielplatz "/>
    <n v="2"/>
    <n v="1"/>
    <m/>
    <s v="2. Priorität Projekt"/>
    <m/>
    <m/>
    <m/>
    <m/>
    <m/>
    <s v="5202-100-0087"/>
    <n v="1"/>
    <n v="0"/>
    <n v="0"/>
    <s v="0087"/>
    <x v="8"/>
    <m/>
    <s v="SGB"/>
    <s v="SSM"/>
    <x v="3"/>
    <x v="1"/>
    <x v="8"/>
    <x v="5"/>
    <x v="1"/>
    <x v="4"/>
    <x v="0"/>
    <m/>
    <m/>
    <m/>
    <x v="15"/>
    <s v="angemeldet"/>
    <s v="bewilligt"/>
    <s v="I5200234"/>
    <n v="167000"/>
    <m/>
    <n v="4301"/>
    <n v="162699"/>
    <m/>
    <n v="150000"/>
    <n v="12699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n v="20"/>
    <m/>
    <m/>
    <m/>
    <m/>
    <n v="20"/>
    <m/>
    <n v="0"/>
    <n v="0"/>
    <n v="0"/>
    <n v="0"/>
    <n v="0"/>
    <n v="0"/>
    <n v="0"/>
    <n v="0"/>
    <m/>
    <n v="0"/>
    <n v="0"/>
    <n v="0"/>
    <n v="0"/>
    <n v="0"/>
    <n v="0"/>
    <n v="0"/>
    <n v="0"/>
    <n v="2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20"/>
    <n v="0.01"/>
  </r>
  <r>
    <x v="273"/>
    <s v="PP"/>
    <s v="offen"/>
    <x v="1"/>
    <s v="Wettbewerbe"/>
    <n v="1"/>
    <n v="1"/>
    <m/>
    <s v="1. Priorität Projekt"/>
    <m/>
    <m/>
    <m/>
    <m/>
    <m/>
    <s v="5202-200-0089"/>
    <n v="2"/>
    <n v="0"/>
    <n v="0"/>
    <s v="0089"/>
    <x v="2"/>
    <m/>
    <s v="SPA"/>
    <s v="GG"/>
    <x v="5"/>
    <x v="2"/>
    <x v="4"/>
    <x v="5"/>
    <x v="1"/>
    <x v="4"/>
    <x v="0"/>
    <m/>
    <m/>
    <m/>
    <x v="4"/>
    <s v="angemeldet"/>
    <s v="budgetiert"/>
    <s v="I5200060"/>
    <n v="450000"/>
    <n v="450000"/>
    <m/>
    <n v="450000"/>
    <m/>
    <n v="50000"/>
    <n v="400000"/>
    <m/>
    <n v="50000"/>
    <m/>
    <n v="350000"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274"/>
    <s v="PP"/>
    <s v="offen"/>
    <x v="2"/>
    <s v="Verwaltungsvermögen (HSB)"/>
    <n v="1"/>
    <n v="1"/>
    <m/>
    <s v="1. Priorität Projekt"/>
    <m/>
    <m/>
    <m/>
    <m/>
    <m/>
    <s v="5202-200-0091"/>
    <n v="2"/>
    <n v="0"/>
    <n v="0"/>
    <s v="0091"/>
    <x v="2"/>
    <m/>
    <s v="HSB "/>
    <s v="Stab"/>
    <x v="5"/>
    <x v="2"/>
    <x v="7"/>
    <x v="3"/>
    <x v="3"/>
    <x v="1"/>
    <x v="0"/>
    <m/>
    <m/>
    <m/>
    <x v="2"/>
    <m/>
    <m/>
    <m/>
    <m/>
    <m/>
    <m/>
    <n v="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275"/>
    <s v="PP"/>
    <s v="offen"/>
    <x v="1"/>
    <s v="Park- &amp; Grünanlagen"/>
    <n v="1"/>
    <n v="1"/>
    <m/>
    <s v="1. Priorität Projekt"/>
    <m/>
    <m/>
    <m/>
    <m/>
    <m/>
    <s v="5202-100-0056"/>
    <n v="1"/>
    <n v="0"/>
    <n v="0"/>
    <s v="0056"/>
    <x v="20"/>
    <m/>
    <s v="SGB"/>
    <s v="NÖ"/>
    <x v="1"/>
    <x v="1"/>
    <x v="10"/>
    <x v="0"/>
    <x v="2"/>
    <x v="3"/>
    <x v="0"/>
    <m/>
    <m/>
    <m/>
    <x v="4"/>
    <s v="angemeldet"/>
    <s v="bewilligt"/>
    <s v="I5200204"/>
    <n v="108000"/>
    <m/>
    <n v="98854"/>
    <n v="9146"/>
    <m/>
    <m/>
    <n v="9146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276"/>
    <s v="PP"/>
    <s v="offen"/>
    <x v="0"/>
    <m/>
    <m/>
    <m/>
    <m/>
    <m/>
    <m/>
    <m/>
    <m/>
    <m/>
    <m/>
    <s v="5202-100-0056"/>
    <n v="1"/>
    <n v="0"/>
    <n v="0"/>
    <s v="0056"/>
    <x v="1"/>
    <m/>
    <s v="SGB"/>
    <s v="offen"/>
    <x v="0"/>
    <x v="0"/>
    <x v="0"/>
    <x v="0"/>
    <x v="0"/>
    <x v="0"/>
    <x v="0"/>
    <m/>
    <m/>
    <m/>
    <x v="13"/>
    <m/>
    <m/>
    <m/>
    <m/>
    <m/>
    <m/>
    <m/>
    <m/>
    <n v="70800"/>
    <m/>
    <m/>
    <n v="95000"/>
    <m/>
    <n v="95000"/>
    <m/>
    <n v="95000"/>
    <m/>
    <n v="95000"/>
    <m/>
    <n v="95000"/>
    <m/>
    <n v="95000"/>
    <m/>
    <n v="95000"/>
    <m/>
    <n v="95000"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n v="0"/>
  </r>
  <r>
    <x v="277"/>
    <m/>
    <m/>
    <x v="0"/>
    <m/>
    <m/>
    <m/>
    <m/>
    <m/>
    <m/>
    <m/>
    <m/>
    <m/>
    <m/>
    <m/>
    <m/>
    <m/>
    <m/>
    <m/>
    <x v="0"/>
    <m/>
    <m/>
    <m/>
    <x v="0"/>
    <x v="0"/>
    <x v="0"/>
    <x v="0"/>
    <x v="0"/>
    <x v="0"/>
    <x v="0"/>
    <m/>
    <m/>
    <m/>
    <x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n v="0"/>
    <m/>
    <m/>
    <m/>
    <m/>
    <m/>
    <m/>
    <m/>
    <m/>
    <n v="0"/>
    <m/>
    <m/>
    <m/>
    <m/>
    <m/>
    <m/>
    <m/>
    <m/>
    <n v="0"/>
    <m/>
    <m/>
    <m/>
    <m/>
    <m/>
    <m/>
    <m/>
    <m/>
    <n v="0"/>
    <m/>
    <m/>
    <m/>
    <m/>
    <n v="0"/>
    <m/>
  </r>
  <r>
    <x v="277"/>
    <m/>
    <m/>
    <x v="0"/>
    <m/>
    <m/>
    <m/>
    <m/>
    <m/>
    <m/>
    <m/>
    <m/>
    <m/>
    <m/>
    <m/>
    <m/>
    <m/>
    <m/>
    <m/>
    <x v="0"/>
    <m/>
    <m/>
    <m/>
    <x v="0"/>
    <x v="0"/>
    <x v="0"/>
    <x v="0"/>
    <x v="0"/>
    <x v="0"/>
    <x v="0"/>
    <m/>
    <m/>
    <m/>
    <x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6000000}" name="PivotTable7" cacheId="0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A4:AJ19" firstHeaderRow="1" firstDataRow="8" firstDataCol="1"/>
  <pivotFields count="133">
    <pivotField showAll="0"/>
    <pivotField showAll="0"/>
    <pivotField showAll="0"/>
    <pivotField axis="axisRow" showAll="0">
      <items count="8">
        <item x="2"/>
        <item x="3"/>
        <item x="4"/>
        <item x="6"/>
        <item x="5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9">
        <item sd="0" x="3"/>
        <item sd="0" x="5"/>
        <item sd="0" x="4"/>
        <item sd="0" x="2"/>
        <item sd="0" x="1"/>
        <item sd="0" x="6"/>
        <item sd="0" x="7"/>
        <item sd="0" x="0"/>
        <item t="default"/>
      </items>
    </pivotField>
    <pivotField axis="axisCol" showAll="0">
      <items count="9">
        <item x="4"/>
        <item x="6"/>
        <item x="3"/>
        <item x="5"/>
        <item x="2"/>
        <item x="1"/>
        <item x="0"/>
        <item x="7"/>
        <item t="default"/>
      </items>
    </pivotField>
    <pivotField axis="axisCol" showAll="0">
      <items count="21">
        <item sd="0" x="13"/>
        <item sd="0" x="15"/>
        <item sd="0" x="9"/>
        <item sd="0" x="8"/>
        <item sd="0" x="19"/>
        <item sd="0" x="17"/>
        <item sd="0" x="3"/>
        <item sd="0" x="10"/>
        <item sd="0" x="12"/>
        <item sd="0" x="11"/>
        <item sd="0" x="6"/>
        <item sd="0" x="16"/>
        <item sd="0" x="1"/>
        <item sd="0" x="4"/>
        <item sd="0" x="18"/>
        <item sd="0" x="14"/>
        <item sd="0" x="7"/>
        <item sd="0" x="2"/>
        <item sd="0" x="5"/>
        <item sd="0" x="0"/>
        <item t="default"/>
      </items>
    </pivotField>
    <pivotField axis="axisCol" showAll="0">
      <items count="15">
        <item x="12"/>
        <item x="13"/>
        <item x="5"/>
        <item x="10"/>
        <item x="2"/>
        <item x="8"/>
        <item x="9"/>
        <item x="7"/>
        <item x="1"/>
        <item x="3"/>
        <item x="4"/>
        <item x="6"/>
        <item x="0"/>
        <item x="11"/>
        <item t="default"/>
      </items>
    </pivotField>
    <pivotField axis="axisCol" showAll="0">
      <items count="8">
        <item x="5"/>
        <item x="1"/>
        <item x="6"/>
        <item x="3"/>
        <item x="4"/>
        <item x="2"/>
        <item x="0"/>
        <item t="default"/>
      </items>
    </pivotField>
    <pivotField axis="axisCol" showAll="0">
      <items count="8">
        <item x="6"/>
        <item x="4"/>
        <item x="5"/>
        <item x="2"/>
        <item x="1"/>
        <item x="3"/>
        <item x="0"/>
        <item t="default"/>
      </items>
    </pivotField>
    <pivotField axis="axisCol" showAll="0">
      <items count="7">
        <item x="5"/>
        <item x="1"/>
        <item x="3"/>
        <item x="4"/>
        <item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sumSubtotal="1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7">
    <field x="23"/>
    <field x="24"/>
    <field x="25"/>
    <field x="26"/>
    <field x="27"/>
    <field x="28"/>
    <field x="29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Mitarbeiterstunden pro Projekttyp" fld="99" baseField="0" baseItem="0"/>
  </dataFields>
  <formats count="33">
    <format dxfId="319">
      <pivotArea grandCol="1" outline="0" collapsedLevelsAreSubtotals="1" fieldPosition="0"/>
    </format>
    <format dxfId="318">
      <pivotArea grandCol="1" outline="0" collapsedLevelsAreSubtotals="1" fieldPosition="0"/>
    </format>
    <format dxfId="317">
      <pivotArea outline="0" collapsedLevelsAreSubtotals="1" fieldPosition="0">
        <references count="1">
          <reference field="25" count="1" selected="0">
            <x v="18"/>
          </reference>
        </references>
      </pivotArea>
    </format>
    <format dxfId="316">
      <pivotArea outline="0" collapsedLevelsAreSubtotals="1" fieldPosition="0">
        <references count="1">
          <reference field="25" count="1" selected="0">
            <x v="17"/>
          </reference>
        </references>
      </pivotArea>
    </format>
    <format dxfId="315">
      <pivotArea outline="0" collapsedLevelsAreSubtotals="1" fieldPosition="0">
        <references count="1">
          <reference field="25" count="1" selected="0">
            <x v="16"/>
          </reference>
        </references>
      </pivotArea>
    </format>
    <format dxfId="314">
      <pivotArea outline="0" collapsedLevelsAreSubtotals="1" fieldPosition="0">
        <references count="1">
          <reference field="25" count="1" selected="0">
            <x v="15"/>
          </reference>
        </references>
      </pivotArea>
    </format>
    <format dxfId="313">
      <pivotArea outline="0" collapsedLevelsAreSubtotals="1" fieldPosition="0">
        <references count="1">
          <reference field="25" count="1" selected="0">
            <x v="14"/>
          </reference>
        </references>
      </pivotArea>
    </format>
    <format dxfId="312">
      <pivotArea outline="0" collapsedLevelsAreSubtotals="1" fieldPosition="0">
        <references count="1">
          <reference field="25" count="1" selected="0">
            <x v="13"/>
          </reference>
        </references>
      </pivotArea>
    </format>
    <format dxfId="311">
      <pivotArea outline="0" collapsedLevelsAreSubtotals="1" fieldPosition="0">
        <references count="1">
          <reference field="25" count="1" selected="0">
            <x v="12"/>
          </reference>
        </references>
      </pivotArea>
    </format>
    <format dxfId="310">
      <pivotArea outline="0" collapsedLevelsAreSubtotals="1" fieldPosition="0">
        <references count="1">
          <reference field="25" count="1" selected="0">
            <x v="11"/>
          </reference>
        </references>
      </pivotArea>
    </format>
    <format dxfId="309">
      <pivotArea outline="0" collapsedLevelsAreSubtotals="1" fieldPosition="0">
        <references count="1">
          <reference field="25" count="1" selected="0">
            <x v="10"/>
          </reference>
        </references>
      </pivotArea>
    </format>
    <format dxfId="308">
      <pivotArea outline="0" collapsedLevelsAreSubtotals="1" fieldPosition="0">
        <references count="1">
          <reference field="25" count="1" selected="0">
            <x v="9"/>
          </reference>
        </references>
      </pivotArea>
    </format>
    <format dxfId="307">
      <pivotArea outline="0" collapsedLevelsAreSubtotals="1" fieldPosition="0">
        <references count="1">
          <reference field="25" count="1" selected="0">
            <x v="8"/>
          </reference>
        </references>
      </pivotArea>
    </format>
    <format dxfId="306">
      <pivotArea outline="0" collapsedLevelsAreSubtotals="1" fieldPosition="0">
        <references count="1">
          <reference field="25" count="1" selected="0">
            <x v="7"/>
          </reference>
        </references>
      </pivotArea>
    </format>
    <format dxfId="305">
      <pivotArea outline="0" collapsedLevelsAreSubtotals="1" fieldPosition="0">
        <references count="1">
          <reference field="25" count="1" selected="0">
            <x v="6"/>
          </reference>
        </references>
      </pivotArea>
    </format>
    <format dxfId="304">
      <pivotArea outline="0" collapsedLevelsAreSubtotals="1" fieldPosition="0">
        <references count="1">
          <reference field="25" count="1" selected="0">
            <x v="5"/>
          </reference>
        </references>
      </pivotArea>
    </format>
    <format dxfId="303">
      <pivotArea outline="0" collapsedLevelsAreSubtotals="1" fieldPosition="0">
        <references count="1">
          <reference field="25" count="1" selected="0">
            <x v="4"/>
          </reference>
        </references>
      </pivotArea>
    </format>
    <format dxfId="302">
      <pivotArea outline="0" collapsedLevelsAreSubtotals="1" fieldPosition="0">
        <references count="1">
          <reference field="25" count="1" selected="0">
            <x v="3"/>
          </reference>
        </references>
      </pivotArea>
    </format>
    <format dxfId="301">
      <pivotArea outline="0" collapsedLevelsAreSubtotals="1" fieldPosition="0">
        <references count="1">
          <reference field="25" count="1" selected="0">
            <x v="2"/>
          </reference>
        </references>
      </pivotArea>
    </format>
    <format dxfId="300">
      <pivotArea outline="0" collapsedLevelsAreSubtotals="1" fieldPosition="0">
        <references count="1">
          <reference field="25" count="1" selected="0">
            <x v="1"/>
          </reference>
        </references>
      </pivotArea>
    </format>
    <format dxfId="299">
      <pivotArea outline="0" collapsedLevelsAreSubtotals="1" fieldPosition="0">
        <references count="1">
          <reference field="25" count="1" selected="0">
            <x v="0"/>
          </reference>
        </references>
      </pivotArea>
    </format>
    <format dxfId="298">
      <pivotArea dataOnly="0" labelOnly="1" fieldPosition="0">
        <references count="1">
          <reference field="3" count="0"/>
        </references>
      </pivotArea>
    </format>
    <format dxfId="297">
      <pivotArea dataOnly="0" labelOnly="1" grandRow="1" outline="0" fieldPosition="0"/>
    </format>
    <format dxfId="296">
      <pivotArea grandRow="1" outline="0" collapsedLevelsAreSubtotals="1" fieldPosition="0"/>
    </format>
    <format dxfId="295">
      <pivotArea dataOnly="0" labelOnly="1" grandRow="1" outline="0" fieldPosition="0"/>
    </format>
    <format dxfId="294">
      <pivotArea outline="0" collapsedLevelsAreSubtotals="1" fieldPosition="0">
        <references count="1">
          <reference field="23" count="1" selected="0">
            <x v="0"/>
          </reference>
        </references>
      </pivotArea>
    </format>
    <format dxfId="293">
      <pivotArea outline="0" collapsedLevelsAreSubtotals="1" fieldPosition="0">
        <references count="1">
          <reference field="23" count="1" selected="0">
            <x v="1"/>
          </reference>
        </references>
      </pivotArea>
    </format>
    <format dxfId="292">
      <pivotArea outline="0" collapsedLevelsAreSubtotals="1" fieldPosition="0">
        <references count="1">
          <reference field="23" count="1" selected="0">
            <x v="2"/>
          </reference>
        </references>
      </pivotArea>
    </format>
    <format dxfId="291">
      <pivotArea outline="0" collapsedLevelsAreSubtotals="1" fieldPosition="0">
        <references count="1">
          <reference field="23" count="1" selected="0">
            <x v="3"/>
          </reference>
        </references>
      </pivotArea>
    </format>
    <format dxfId="290">
      <pivotArea outline="0" collapsedLevelsAreSubtotals="1" fieldPosition="0">
        <references count="1">
          <reference field="23" count="1" selected="0">
            <x v="4"/>
          </reference>
        </references>
      </pivotArea>
    </format>
    <format dxfId="289">
      <pivotArea outline="0" collapsedLevelsAreSubtotals="1" fieldPosition="0">
        <references count="1">
          <reference field="23" count="1" selected="0">
            <x v="5"/>
          </reference>
        </references>
      </pivotArea>
    </format>
    <format dxfId="288">
      <pivotArea outline="0" collapsedLevelsAreSubtotals="1" fieldPosition="0">
        <references count="1">
          <reference field="23" count="1" selected="0">
            <x v="6"/>
          </reference>
        </references>
      </pivotArea>
    </format>
    <format dxfId="287">
      <pivotArea outline="0" collapsedLevelsAreSubtotals="1" fieldPosition="0">
        <references count="1">
          <reference field="23" count="1" selected="0">
            <x v="7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5000000}" name="PivotTable6" cacheId="0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J38" firstHeaderRow="1" firstDataRow="3" firstDataCol="1"/>
  <pivotFields count="13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9">
        <item sd="0" x="3"/>
        <item sd="0" x="5"/>
        <item sd="0" x="4"/>
        <item sd="0" x="2"/>
        <item sd="0" x="1"/>
        <item sd="0" x="6"/>
        <item sd="0" x="7"/>
        <item sd="0" x="0"/>
        <item t="default"/>
      </items>
    </pivotField>
    <pivotField axis="axisCol" showAll="0">
      <items count="9">
        <item x="4"/>
        <item x="6"/>
        <item x="3"/>
        <item x="5"/>
        <item x="2"/>
        <item x="1"/>
        <item x="0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 sumSubtotal="1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-2"/>
  </rowFields>
  <rowItems count="3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</rowItems>
  <colFields count="2">
    <field x="23"/>
    <field x="2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33">
    <dataField name="Projektverantwortung 1. Quartal 2018" fld="64" baseField="23" baseItem="3"/>
    <dataField name="Gesamtprojektleitung 1. Quartal 2018" fld="65" baseField="23" baseItem="0"/>
    <dataField name="Projektleitung 1. Quartal 2018" fld="66" baseField="25" baseItem="0"/>
    <dataField name="Planerleistung 1. Quartal 2018" fld="67" baseField="25" baseItem="0"/>
    <dataField name="Bauleitung 1. Quartal" fld="68" baseField="25" baseItem="0"/>
    <dataField name="ZeichnerIn 1. Quartal 2018" fld="69" baseField="25" baseItem="0"/>
    <dataField name="Kommunikation 1. Quartal 2018" fld="70" baseField="25" baseItem="0"/>
    <dataField name="Totaler Aufwand 1. Quartal 2018" fld="71" baseField="25" baseItem="0"/>
    <dataField name="Projektverantwortung 2. Quartal 2018" fld="73" baseField="23" baseItem="0"/>
    <dataField name="Gesamtprojektleitung 2. Quartal 2018" fld="74" baseField="23" baseItem="0"/>
    <dataField name="Projektleitung 2. Quartal 2018" fld="75" baseField="25" baseItem="0"/>
    <dataField name="Planerleistung 2. Quartal 2018" fld="76" baseField="25" baseItem="0"/>
    <dataField name="Bauleitung 2. Quartal 2018" fld="77" baseField="25" baseItem="0"/>
    <dataField name="ZeichnerIn 2. Quartal 2018" fld="78" baseField="25" baseItem="0"/>
    <dataField name="Kommunikation 2. Quartal 2018" fld="79" baseField="25" baseItem="0"/>
    <dataField name="Totaler Aufwand 2. Quartal 2018" fld="80" baseField="25" baseItem="0"/>
    <dataField name="Projektverantwortung 3. Quartal 2018" fld="82" baseField="23" baseItem="1"/>
    <dataField name="Gesamtprojektleitung 3. Quartal 2018" fld="83" baseField="23" baseItem="0"/>
    <dataField name="ZeichnerIn 3. Quartal 2018       " fld="87" baseField="0" baseItem="0"/>
    <dataField name="Projektleitung 3. Quartal 2018" fld="84" baseField="25" baseItem="0"/>
    <dataField name="Planerleistung 3. Quartal 2018       " fld="85" baseField="25" baseItem="0"/>
    <dataField name="Bauleitung 3. Quartal 2018      " fld="86" baseField="0" baseItem="0"/>
    <dataField name="Kommunikation 3. Quartal 2018       " fld="88" baseField="0" baseItem="0"/>
    <dataField name="Totaler Aufwand 3. Quartal 2018" fld="89" baseField="25" baseItem="0"/>
    <dataField name="Projektverantwortung 4. Quartal 2018" fld="91" baseField="23" baseItem="0"/>
    <dataField name="Gesamtprojektleitung 4. Quartal 2018" fld="92" baseField="23" baseItem="0"/>
    <dataField name="Projektleitung 4. Quartal 2018    " fld="93" baseField="25" baseItem="0"/>
    <dataField name="Planerleistung 4. Quartal 2018       " fld="94" baseField="25" baseItem="0"/>
    <dataField name="Bauleitung 4. Quartal 2018  " fld="95" baseField="25" baseItem="0"/>
    <dataField name="ZeichnerIn 4. Quartal 2018      " fld="96" baseField="0" baseItem="0"/>
    <dataField name="Kommunikation 4. Quartal 2018       " fld="97" baseField="0" baseItem="0"/>
    <dataField name="Totaler Aufwand 4. Quartal 2018  " fld="98" baseField="25" baseItem="0"/>
    <dataField name="Totaler Aufwand 2018" fld="99" baseField="25" baseItem="0"/>
  </dataFields>
  <formats count="29">
    <format dxfId="348">
      <pivotArea collapsedLevelsAreSubtotals="1" fieldPosition="0">
        <references count="1">
          <reference field="4294967294" count="1">
            <x v="7"/>
          </reference>
        </references>
      </pivotArea>
    </format>
    <format dxfId="347">
      <pivotArea dataOnly="0" labelOnly="1" outline="0" fieldPosition="0">
        <references count="1">
          <reference field="4294967294" count="1">
            <x v="7"/>
          </reference>
        </references>
      </pivotArea>
    </format>
    <format dxfId="346">
      <pivotArea dataOnly="0" outline="0" fieldPosition="0">
        <references count="1">
          <reference field="4294967294" count="1">
            <x v="15"/>
          </reference>
        </references>
      </pivotArea>
    </format>
    <format dxfId="345">
      <pivotArea dataOnly="0" outline="0" fieldPosition="0">
        <references count="1">
          <reference field="4294967294" count="1">
            <x v="23"/>
          </reference>
        </references>
      </pivotArea>
    </format>
    <format dxfId="344">
      <pivotArea dataOnly="0" outline="0" fieldPosition="0">
        <references count="1">
          <reference field="4294967294" count="1">
            <x v="31"/>
          </reference>
        </references>
      </pivotArea>
    </format>
    <format dxfId="343">
      <pivotArea dataOnly="0" outline="0" fieldPosition="0">
        <references count="1">
          <reference field="4294967294" count="1">
            <x v="32"/>
          </reference>
        </references>
      </pivotArea>
    </format>
    <format dxfId="342">
      <pivotArea dataOnly="0" outline="0" fieldPosition="0">
        <references count="1">
          <reference field="4294967294" count="1">
            <x v="7"/>
          </reference>
        </references>
      </pivotArea>
    </format>
    <format dxfId="341">
      <pivotArea dataOnly="0" outline="0" fieldPosition="0">
        <references count="1">
          <reference field="4294967294" count="1">
            <x v="15"/>
          </reference>
        </references>
      </pivotArea>
    </format>
    <format dxfId="340">
      <pivotArea dataOnly="0" outline="0" fieldPosition="0">
        <references count="1">
          <reference field="4294967294" count="1">
            <x v="23"/>
          </reference>
        </references>
      </pivotArea>
    </format>
    <format dxfId="339">
      <pivotArea collapsedLevelsAreSubtotals="1" fieldPosition="0">
        <references count="1">
          <reference field="4294967294" count="1">
            <x v="31"/>
          </reference>
        </references>
      </pivotArea>
    </format>
    <format dxfId="338">
      <pivotArea dataOnly="0" labelOnly="1" outline="0" fieldPosition="0">
        <references count="1">
          <reference field="4294967294" count="1">
            <x v="31"/>
          </reference>
        </references>
      </pivotArea>
    </format>
    <format dxfId="337">
      <pivotArea collapsedLevelsAreSubtotals="1" fieldPosition="0">
        <references count="1">
          <reference field="4294967294" count="1">
            <x v="32"/>
          </reference>
        </references>
      </pivotArea>
    </format>
    <format dxfId="336">
      <pivotArea dataOnly="0" labelOnly="1" outline="0" fieldPosition="0">
        <references count="1">
          <reference field="4294967294" count="1">
            <x v="32"/>
          </reference>
        </references>
      </pivotArea>
    </format>
    <format dxfId="335">
      <pivotArea grandCol="1" outline="0" collapsedLevelsAreSubtotals="1" fieldPosition="0"/>
    </format>
    <format dxfId="334">
      <pivotArea grandCol="1" outline="0" collapsedLevelsAreSubtotals="1" fieldPosition="0"/>
    </format>
    <format dxfId="333">
      <pivotArea dataOnly="0" labelOnly="1" outline="0" fieldPosition="0">
        <references count="1">
          <reference field="4294967294" count="24">
            <x v="2"/>
            <x v="3"/>
            <x v="4"/>
            <x v="5"/>
            <x v="6"/>
            <x v="7"/>
            <x v="10"/>
            <x v="11"/>
            <x v="12"/>
            <x v="13"/>
            <x v="15"/>
            <x v="18"/>
            <x v="19"/>
            <x v="20"/>
            <x v="21"/>
            <x v="22"/>
            <x v="23"/>
            <x v="26"/>
            <x v="27"/>
            <x v="28"/>
            <x v="29"/>
            <x v="30"/>
            <x v="31"/>
            <x v="32"/>
          </reference>
        </references>
      </pivotArea>
    </format>
    <format dxfId="332">
      <pivotArea dataOnly="0" labelOnly="1" outline="0" fieldPosition="0">
        <references count="1">
          <reference field="4294967294" count="1">
            <x v="14"/>
          </reference>
        </references>
      </pivotArea>
    </format>
    <format dxfId="331">
      <pivotArea outline="0" collapsedLevelsAreSubtotals="1" fieldPosition="0">
        <references count="1">
          <reference field="23" count="1" selected="0">
            <x v="1"/>
          </reference>
        </references>
      </pivotArea>
    </format>
    <format dxfId="330">
      <pivotArea outline="0" collapsedLevelsAreSubtotals="1" fieldPosition="0">
        <references count="1">
          <reference field="23" count="1" selected="0">
            <x v="2"/>
          </reference>
        </references>
      </pivotArea>
    </format>
    <format dxfId="329">
      <pivotArea outline="0" collapsedLevelsAreSubtotals="1" fieldPosition="0">
        <references count="1">
          <reference field="23" count="1" selected="0">
            <x v="3"/>
          </reference>
        </references>
      </pivotArea>
    </format>
    <format dxfId="328">
      <pivotArea outline="0" collapsedLevelsAreSubtotals="1" fieldPosition="0">
        <references count="1">
          <reference field="23" count="1" selected="0">
            <x v="4"/>
          </reference>
        </references>
      </pivotArea>
    </format>
    <format dxfId="327">
      <pivotArea outline="0" collapsedLevelsAreSubtotals="1" fieldPosition="0">
        <references count="1">
          <reference field="23" count="1" selected="0">
            <x v="5"/>
          </reference>
        </references>
      </pivotArea>
    </format>
    <format dxfId="326">
      <pivotArea outline="0" collapsedLevelsAreSubtotals="1" fieldPosition="0">
        <references count="1">
          <reference field="23" count="1" selected="0">
            <x v="6"/>
          </reference>
        </references>
      </pivotArea>
    </format>
    <format dxfId="325">
      <pivotArea outline="0" collapsedLevelsAreSubtotals="1" fieldPosition="0">
        <references count="1">
          <reference field="23" count="1" selected="0">
            <x v="7"/>
          </reference>
        </references>
      </pivotArea>
    </format>
    <format dxfId="324">
      <pivotArea collapsedLevelsAreSubtotals="1" fieldPosition="0">
        <references count="2">
          <reference field="4294967294" count="1">
            <x v="1"/>
          </reference>
          <reference field="23" count="1" selected="0">
            <x v="0"/>
          </reference>
        </references>
      </pivotArea>
    </format>
    <format dxfId="323">
      <pivotArea collapsedLevelsAreSubtotals="1" fieldPosition="0">
        <references count="2">
          <reference field="4294967294" count="1">
            <x v="0"/>
          </reference>
          <reference field="23" count="1" selected="0">
            <x v="0"/>
          </reference>
        </references>
      </pivotArea>
    </format>
    <format dxfId="322">
      <pivotArea collapsedLevelsAreSubtotals="1" fieldPosition="0">
        <references count="2">
          <reference field="4294967294" count="3">
            <x v="8"/>
            <x v="9"/>
            <x v="10"/>
          </reference>
          <reference field="23" count="1" selected="0">
            <x v="0"/>
          </reference>
        </references>
      </pivotArea>
    </format>
    <format dxfId="321">
      <pivotArea collapsedLevelsAreSubtotals="1" fieldPosition="0">
        <references count="2">
          <reference field="4294967294" count="2">
            <x v="16"/>
            <x v="17"/>
          </reference>
          <reference field="23" count="1" selected="0">
            <x v="0"/>
          </reference>
        </references>
      </pivotArea>
    </format>
    <format dxfId="320">
      <pivotArea collapsedLevelsAreSubtotals="1" fieldPosition="0">
        <references count="2">
          <reference field="4294967294" count="2">
            <x v="24"/>
            <x v="25"/>
          </reference>
          <reference field="23" count="1" selected="0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1" cacheId="0" applyNumberFormats="0" applyBorderFormats="0" applyFontFormats="0" applyPatternFormats="0" applyAlignmentFormats="0" applyWidthHeightFormats="1" dataCaption="Werte" updatedVersion="6" minRefreshableVersion="3" useAutoFormatting="1" itemPrintTitles="1" createdVersion="6" indent="0" outline="1" outlineData="1" multipleFieldFilters="0" chartFormat="1">
  <location ref="AJ67:AL75" firstHeaderRow="0" firstDataRow="1" firstDataCol="1"/>
  <pivotFields count="133">
    <pivotField showAll="0"/>
    <pivotField showAll="0"/>
    <pivotField showAll="0"/>
    <pivotField axis="axisRow" dataField="1" showAll="0" defaultSubtotal="0">
      <items count="7">
        <item x="2"/>
        <item x="3"/>
        <item x="4"/>
        <item x="6"/>
        <item x="5"/>
        <item x="1"/>
        <item x="0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ame="Total Aufwand" dataField="1" showAll="0" countASubtotal="1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Totaler Aufwand" fld="99" baseField="0" baseItem="703426832"/>
    <dataField name="Anzahl Projekte" fld="3" subtotal="count" baseField="0" baseItem="540440888"/>
  </dataFields>
  <chartFormats count="2">
    <chartFormat chart="0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7000000}" name="PivotTable8" cacheId="0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A35:AV62" firstHeaderRow="1" firstDataRow="6" firstDataCol="1"/>
  <pivotFields count="13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2">
        <item x="6"/>
        <item x="18"/>
        <item x="3"/>
        <item x="9"/>
        <item x="15"/>
        <item x="10"/>
        <item x="7"/>
        <item x="16"/>
        <item x="12"/>
        <item x="13"/>
        <item x="8"/>
        <item x="19"/>
        <item x="20"/>
        <item x="17"/>
        <item x="14"/>
        <item x="11"/>
        <item x="1"/>
        <item x="2"/>
        <item x="4"/>
        <item x="5"/>
        <item x="0"/>
        <item t="default"/>
      </items>
    </pivotField>
    <pivotField showAll="0"/>
    <pivotField showAll="0"/>
    <pivotField showAll="0"/>
    <pivotField showAll="0"/>
    <pivotField showAll="0"/>
    <pivotField axis="axisCol" showAll="0">
      <items count="21">
        <item sd="0" x="13"/>
        <item sd="0" x="15"/>
        <item sd="0" x="9"/>
        <item sd="0" x="8"/>
        <item sd="0" x="19"/>
        <item sd="0" x="17"/>
        <item sd="0" x="3"/>
        <item sd="0" x="10"/>
        <item sd="0" x="12"/>
        <item sd="0" x="11"/>
        <item sd="0" x="6"/>
        <item sd="0" x="16"/>
        <item sd="0" x="1"/>
        <item sd="0" x="4"/>
        <item sd="0" x="18"/>
        <item sd="0" x="14"/>
        <item sd="0" x="7"/>
        <item sd="0" x="2"/>
        <item sd="0" x="5"/>
        <item sd="0" x="0"/>
        <item t="default"/>
      </items>
    </pivotField>
    <pivotField axis="axisCol" showAll="0">
      <items count="15">
        <item x="12"/>
        <item x="13"/>
        <item x="5"/>
        <item x="10"/>
        <item x="2"/>
        <item x="8"/>
        <item x="9"/>
        <item x="7"/>
        <item x="1"/>
        <item x="3"/>
        <item x="4"/>
        <item x="6"/>
        <item x="0"/>
        <item x="11"/>
        <item t="default"/>
      </items>
    </pivotField>
    <pivotField axis="axisCol" showAll="0">
      <items count="8">
        <item x="5"/>
        <item x="1"/>
        <item x="6"/>
        <item x="3"/>
        <item x="4"/>
        <item x="2"/>
        <item x="0"/>
        <item t="default"/>
      </items>
    </pivotField>
    <pivotField axis="axisCol" showAll="0">
      <items count="8">
        <item x="6"/>
        <item x="4"/>
        <item x="5"/>
        <item x="2"/>
        <item x="1"/>
        <item x="3"/>
        <item x="0"/>
        <item t="default"/>
      </items>
    </pivotField>
    <pivotField axis="axisCol" showAll="0">
      <items count="7">
        <item x="5"/>
        <item x="1"/>
        <item x="3"/>
        <item x="4"/>
        <item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sumSubtotal="1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9"/>
  </rowFields>
  <row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Fields count="5">
    <field x="25"/>
    <field x="26"/>
    <field x="27"/>
    <field x="28"/>
    <field x="29"/>
  </colFields>
  <col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colItems>
  <dataFields count="1">
    <dataField name="Mitarbeiterstunden pro Projektphase" fld="99" baseField="0" baseItem="0"/>
  </dataFields>
  <formats count="25">
    <format dxfId="373">
      <pivotArea grandCol="1" outline="0" collapsedLevelsAreSubtotals="1" fieldPosition="0"/>
    </format>
    <format dxfId="372">
      <pivotArea grandCol="1" outline="0" collapsedLevelsAreSubtotals="1" fieldPosition="0"/>
    </format>
    <format dxfId="371">
      <pivotArea outline="0" collapsedLevelsAreSubtotals="1" fieldPosition="0">
        <references count="1">
          <reference field="25" count="1" selected="0">
            <x v="18"/>
          </reference>
        </references>
      </pivotArea>
    </format>
    <format dxfId="370">
      <pivotArea outline="0" collapsedLevelsAreSubtotals="1" fieldPosition="0">
        <references count="1">
          <reference field="25" count="1" selected="0">
            <x v="17"/>
          </reference>
        </references>
      </pivotArea>
    </format>
    <format dxfId="369">
      <pivotArea outline="0" collapsedLevelsAreSubtotals="1" fieldPosition="0">
        <references count="1">
          <reference field="25" count="1" selected="0">
            <x v="16"/>
          </reference>
        </references>
      </pivotArea>
    </format>
    <format dxfId="368">
      <pivotArea outline="0" collapsedLevelsAreSubtotals="1" fieldPosition="0">
        <references count="1">
          <reference field="25" count="1" selected="0">
            <x v="15"/>
          </reference>
        </references>
      </pivotArea>
    </format>
    <format dxfId="367">
      <pivotArea outline="0" collapsedLevelsAreSubtotals="1" fieldPosition="0">
        <references count="1">
          <reference field="25" count="1" selected="0">
            <x v="14"/>
          </reference>
        </references>
      </pivotArea>
    </format>
    <format dxfId="366">
      <pivotArea outline="0" collapsedLevelsAreSubtotals="1" fieldPosition="0">
        <references count="1">
          <reference field="25" count="1" selected="0">
            <x v="13"/>
          </reference>
        </references>
      </pivotArea>
    </format>
    <format dxfId="365">
      <pivotArea outline="0" collapsedLevelsAreSubtotals="1" fieldPosition="0">
        <references count="1">
          <reference field="25" count="1" selected="0">
            <x v="12"/>
          </reference>
        </references>
      </pivotArea>
    </format>
    <format dxfId="364">
      <pivotArea outline="0" collapsedLevelsAreSubtotals="1" fieldPosition="0">
        <references count="1">
          <reference field="25" count="1" selected="0">
            <x v="11"/>
          </reference>
        </references>
      </pivotArea>
    </format>
    <format dxfId="363">
      <pivotArea outline="0" collapsedLevelsAreSubtotals="1" fieldPosition="0">
        <references count="1">
          <reference field="25" count="1" selected="0">
            <x v="10"/>
          </reference>
        </references>
      </pivotArea>
    </format>
    <format dxfId="362">
      <pivotArea outline="0" collapsedLevelsAreSubtotals="1" fieldPosition="0">
        <references count="1">
          <reference field="25" count="1" selected="0">
            <x v="9"/>
          </reference>
        </references>
      </pivotArea>
    </format>
    <format dxfId="361">
      <pivotArea outline="0" collapsedLevelsAreSubtotals="1" fieldPosition="0">
        <references count="1">
          <reference field="25" count="1" selected="0">
            <x v="8"/>
          </reference>
        </references>
      </pivotArea>
    </format>
    <format dxfId="360">
      <pivotArea outline="0" collapsedLevelsAreSubtotals="1" fieldPosition="0">
        <references count="1">
          <reference field="25" count="1" selected="0">
            <x v="7"/>
          </reference>
        </references>
      </pivotArea>
    </format>
    <format dxfId="359">
      <pivotArea outline="0" collapsedLevelsAreSubtotals="1" fieldPosition="0">
        <references count="1">
          <reference field="25" count="1" selected="0">
            <x v="6"/>
          </reference>
        </references>
      </pivotArea>
    </format>
    <format dxfId="358">
      <pivotArea outline="0" collapsedLevelsAreSubtotals="1" fieldPosition="0">
        <references count="1">
          <reference field="25" count="1" selected="0">
            <x v="5"/>
          </reference>
        </references>
      </pivotArea>
    </format>
    <format dxfId="357">
      <pivotArea outline="0" collapsedLevelsAreSubtotals="1" fieldPosition="0">
        <references count="1">
          <reference field="25" count="1" selected="0">
            <x v="4"/>
          </reference>
        </references>
      </pivotArea>
    </format>
    <format dxfId="356">
      <pivotArea outline="0" collapsedLevelsAreSubtotals="1" fieldPosition="0">
        <references count="1">
          <reference field="25" count="1" selected="0">
            <x v="3"/>
          </reference>
        </references>
      </pivotArea>
    </format>
    <format dxfId="355">
      <pivotArea outline="0" collapsedLevelsAreSubtotals="1" fieldPosition="0">
        <references count="1">
          <reference field="25" count="1" selected="0">
            <x v="2"/>
          </reference>
        </references>
      </pivotArea>
    </format>
    <format dxfId="354">
      <pivotArea outline="0" collapsedLevelsAreSubtotals="1" fieldPosition="0">
        <references count="1">
          <reference field="25" count="1" selected="0">
            <x v="1"/>
          </reference>
        </references>
      </pivotArea>
    </format>
    <format dxfId="353">
      <pivotArea outline="0" collapsedLevelsAreSubtotals="1" fieldPosition="0">
        <references count="1">
          <reference field="25" count="1" selected="0">
            <x v="0"/>
          </reference>
        </references>
      </pivotArea>
    </format>
    <format dxfId="352">
      <pivotArea dataOnly="0" labelOnly="1" fieldPosition="0">
        <references count="1">
          <reference field="19" count="0"/>
        </references>
      </pivotArea>
    </format>
    <format dxfId="351">
      <pivotArea dataOnly="0" labelOnly="1" grandRow="1" outline="0" fieldPosition="0"/>
    </format>
    <format dxfId="350">
      <pivotArea grandRow="1" outline="0" collapsedLevelsAreSubtotals="1" fieldPosition="0"/>
    </format>
    <format dxfId="349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3000000}" name="PivotTable3" cacheId="0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47:V85" firstHeaderRow="1" firstDataRow="6" firstDataCol="1"/>
  <pivotFields count="13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21">
        <item sd="0" x="13"/>
        <item sd="0" x="15"/>
        <item sd="0" x="9"/>
        <item sd="0" x="8"/>
        <item sd="0" x="19"/>
        <item sd="0" x="17"/>
        <item sd="0" x="3"/>
        <item sd="0" x="10"/>
        <item sd="0" x="12"/>
        <item sd="0" x="11"/>
        <item sd="0" x="6"/>
        <item sd="0" x="16"/>
        <item sd="0" x="1"/>
        <item sd="0" x="4"/>
        <item sd="0" x="18"/>
        <item sd="0" x="14"/>
        <item sd="0" x="7"/>
        <item sd="0" x="2"/>
        <item sd="0" x="5"/>
        <item sd="0" x="0"/>
        <item t="default"/>
      </items>
    </pivotField>
    <pivotField axis="axisCol" showAll="0">
      <items count="15">
        <item x="12"/>
        <item x="13"/>
        <item x="5"/>
        <item x="10"/>
        <item x="2"/>
        <item x="8"/>
        <item x="9"/>
        <item x="7"/>
        <item x="1"/>
        <item x="3"/>
        <item x="4"/>
        <item x="6"/>
        <item x="0"/>
        <item x="11"/>
        <item t="default"/>
      </items>
    </pivotField>
    <pivotField axis="axisCol" showAll="0">
      <items count="8">
        <item x="5"/>
        <item x="1"/>
        <item x="6"/>
        <item x="3"/>
        <item x="4"/>
        <item x="2"/>
        <item x="0"/>
        <item t="default"/>
      </items>
    </pivotField>
    <pivotField axis="axisCol" showAll="0">
      <items count="8">
        <item x="6"/>
        <item x="4"/>
        <item x="5"/>
        <item x="2"/>
        <item x="1"/>
        <item x="3"/>
        <item x="0"/>
        <item t="default"/>
      </items>
    </pivotField>
    <pivotField axis="axisCol" showAll="0">
      <items count="7">
        <item x="5"/>
        <item x="1"/>
        <item x="3"/>
        <item x="4"/>
        <item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 sumSubtotal="1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-2"/>
  </rowFields>
  <rowItems count="3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</rowItems>
  <colFields count="5">
    <field x="25"/>
    <field x="26"/>
    <field x="27"/>
    <field x="28"/>
    <field x="29"/>
  </colFields>
  <col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colItems>
  <dataFields count="33">
    <dataField name="Projektverantwortung 1. Quartal 2018" fld="64" baseField="23" baseItem="0"/>
    <dataField name="Gesamtprojektleitung 1. Quartal 2018" fld="65" baseField="23" baseItem="0"/>
    <dataField name="Projektleitung 1. Quartal 2018" fld="66" baseField="25" baseItem="0"/>
    <dataField name="Planerleistung 1. Quartal 2018" fld="67" baseField="25" baseItem="0"/>
    <dataField name="Bauleitung 1. Quartal" fld="68" baseField="25" baseItem="0"/>
    <dataField name="ZeichnerIn 1. Quartal 2018" fld="69" baseField="25" baseItem="0"/>
    <dataField name="Kommunikation 1. Quartal 2018" fld="70" baseField="25" baseItem="0"/>
    <dataField name="Totaler Aufwand 1. Quartal 2018" fld="71" baseField="25" baseItem="0"/>
    <dataField name="Projektverantwortung 2. Quartal 2018" fld="73" baseField="23" baseItem="0"/>
    <dataField name="Gesamtprojektleitung 2. Quartal 2018" fld="74" baseField="23" baseItem="0"/>
    <dataField name="Projektleitung 2. Quartal 2018" fld="75" baseField="25" baseItem="0"/>
    <dataField name="Planerleistung 2. Quartal 2018" fld="76" baseField="25" baseItem="0"/>
    <dataField name="Bauleitung 2. Quartal 2018" fld="77" baseField="25" baseItem="0"/>
    <dataField name="ZeichnerIn 2. Quartal 2018" fld="78" baseField="25" baseItem="0"/>
    <dataField name="Kommunikation 2. Quartal 2018" fld="79" baseField="25" baseItem="0"/>
    <dataField name="Totaler Aufwand 2. Quartal 2018" fld="80" baseField="25" baseItem="0"/>
    <dataField name="Projektverantwortung 3. Quartal 2018" fld="82" baseField="23" baseItem="0"/>
    <dataField name="Gesamtprojektleitung 3. Quartal 2018" fld="83" baseField="23" baseItem="0"/>
    <dataField name="ZeichnerIn 3. Quartal 2018       " fld="87" baseField="0" baseItem="0"/>
    <dataField name="Projektleitung 3. Quartal 2018" fld="84" baseField="25" baseItem="0"/>
    <dataField name="Planerleistung 3. Quartal 2018       " fld="85" baseField="25" baseItem="0"/>
    <dataField name="Bauleitung 3. Quartal 2018      " fld="86" baseField="0" baseItem="0"/>
    <dataField name="Kommunikation 3. Quartal 2018       " fld="88" baseField="0" baseItem="0"/>
    <dataField name="Totaler Aufwand 3. Quartal 2018" fld="89" baseField="25" baseItem="0"/>
    <dataField name="Projektverantwortung 4. Quartal 2018" fld="91" baseField="23" baseItem="0"/>
    <dataField name="Gesamtprojektleitung 4. Quartal 2018" fld="92" baseField="23" baseItem="0"/>
    <dataField name="Projektleitung 4. Quartal 2018    " fld="93" baseField="25" baseItem="0"/>
    <dataField name="Planerleistung 4. Quartal 2018       " fld="94" baseField="25" baseItem="0"/>
    <dataField name="Bauleitung 4. Quartal 2018  " fld="95" baseField="25" baseItem="0"/>
    <dataField name="ZeichnerIn 4. Quartal 2018      " fld="96" baseField="0" baseItem="0"/>
    <dataField name="Kommunikation 4. Quartal 2018       " fld="97" baseField="0" baseItem="0"/>
    <dataField name="Totaler Aufwand 4. Quartal 2018  " fld="98" baseField="25" baseItem="0"/>
    <dataField name="Totaler Aufwand 2018" fld="99" baseField="25" baseItem="0"/>
  </dataFields>
  <formats count="19">
    <format dxfId="392">
      <pivotArea collapsedLevelsAreSubtotals="1" fieldPosition="0">
        <references count="1">
          <reference field="4294967294" count="1">
            <x v="7"/>
          </reference>
        </references>
      </pivotArea>
    </format>
    <format dxfId="391">
      <pivotArea dataOnly="0" labelOnly="1" outline="0" fieldPosition="0">
        <references count="1">
          <reference field="4294967294" count="1">
            <x v="7"/>
          </reference>
        </references>
      </pivotArea>
    </format>
    <format dxfId="390">
      <pivotArea dataOnly="0" outline="0" fieldPosition="0">
        <references count="1">
          <reference field="4294967294" count="1">
            <x v="15"/>
          </reference>
        </references>
      </pivotArea>
    </format>
    <format dxfId="389">
      <pivotArea dataOnly="0" outline="0" fieldPosition="0">
        <references count="1">
          <reference field="4294967294" count="1">
            <x v="23"/>
          </reference>
        </references>
      </pivotArea>
    </format>
    <format dxfId="388">
      <pivotArea dataOnly="0" outline="0" fieldPosition="0">
        <references count="1">
          <reference field="4294967294" count="1">
            <x v="31"/>
          </reference>
        </references>
      </pivotArea>
    </format>
    <format dxfId="387">
      <pivotArea dataOnly="0" outline="0" fieldPosition="0">
        <references count="1">
          <reference field="4294967294" count="1">
            <x v="32"/>
          </reference>
        </references>
      </pivotArea>
    </format>
    <format dxfId="386">
      <pivotArea dataOnly="0" outline="0" fieldPosition="0">
        <references count="1">
          <reference field="4294967294" count="1">
            <x v="7"/>
          </reference>
        </references>
      </pivotArea>
    </format>
    <format dxfId="385">
      <pivotArea dataOnly="0" outline="0" fieldPosition="0">
        <references count="1">
          <reference field="4294967294" count="1">
            <x v="15"/>
          </reference>
        </references>
      </pivotArea>
    </format>
    <format dxfId="384">
      <pivotArea dataOnly="0" outline="0" fieldPosition="0">
        <references count="1">
          <reference field="4294967294" count="1">
            <x v="23"/>
          </reference>
        </references>
      </pivotArea>
    </format>
    <format dxfId="383">
      <pivotArea collapsedLevelsAreSubtotals="1" fieldPosition="0">
        <references count="1">
          <reference field="4294967294" count="1">
            <x v="31"/>
          </reference>
        </references>
      </pivotArea>
    </format>
    <format dxfId="382">
      <pivotArea dataOnly="0" labelOnly="1" outline="0" fieldPosition="0">
        <references count="1">
          <reference field="4294967294" count="1">
            <x v="31"/>
          </reference>
        </references>
      </pivotArea>
    </format>
    <format dxfId="381">
      <pivotArea collapsedLevelsAreSubtotals="1" fieldPosition="0">
        <references count="1">
          <reference field="4294967294" count="1">
            <x v="32"/>
          </reference>
        </references>
      </pivotArea>
    </format>
    <format dxfId="380">
      <pivotArea dataOnly="0" labelOnly="1" outline="0" fieldPosition="0">
        <references count="1">
          <reference field="4294967294" count="1">
            <x v="32"/>
          </reference>
        </references>
      </pivotArea>
    </format>
    <format dxfId="379">
      <pivotArea grandCol="1" outline="0" collapsedLevelsAreSubtotals="1" fieldPosition="0"/>
    </format>
    <format dxfId="378">
      <pivotArea grandCol="1" outline="0" collapsedLevelsAreSubtotals="1" fieldPosition="0"/>
    </format>
    <format dxfId="377">
      <pivotArea dataOnly="0" labelOnly="1" outline="0" fieldPosition="0">
        <references count="1">
          <reference field="4294967294" count="24">
            <x v="2"/>
            <x v="3"/>
            <x v="4"/>
            <x v="5"/>
            <x v="6"/>
            <x v="7"/>
            <x v="10"/>
            <x v="11"/>
            <x v="12"/>
            <x v="13"/>
            <x v="15"/>
            <x v="18"/>
            <x v="19"/>
            <x v="20"/>
            <x v="21"/>
            <x v="22"/>
            <x v="23"/>
            <x v="26"/>
            <x v="27"/>
            <x v="28"/>
            <x v="29"/>
            <x v="30"/>
            <x v="31"/>
            <x v="32"/>
          </reference>
        </references>
      </pivotArea>
    </format>
    <format dxfId="376">
      <pivotArea dataOnly="0" labelOnly="1" outline="0" fieldPosition="0">
        <references count="1">
          <reference field="4294967294" count="1">
            <x v="14"/>
          </reference>
        </references>
      </pivotArea>
    </format>
    <format dxfId="375">
      <pivotArea collapsedLevelsAreSubtotals="1" fieldPosition="0">
        <references count="2">
          <reference field="4294967294" count="1">
            <x v="1"/>
          </reference>
          <reference field="25" count="1" selected="0">
            <x v="0"/>
          </reference>
        </references>
      </pivotArea>
    </format>
    <format dxfId="374">
      <pivotArea outline="0" collapsedLevelsAreSubtotals="1" fieldPosition="0">
        <references count="1">
          <reference field="25" count="1" selected="0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PivotTable10" cacheId="0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A109:AI133" firstHeaderRow="1" firstDataRow="2" firstDataCol="1"/>
  <pivotFields count="133">
    <pivotField showAll="0"/>
    <pivotField showAll="0"/>
    <pivotField showAll="0"/>
    <pivotField axis="axisCol" showAll="0">
      <items count="8">
        <item x="2"/>
        <item x="3"/>
        <item x="4"/>
        <item x="6"/>
        <item x="5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23">
        <item x="11"/>
        <item x="16"/>
        <item x="2"/>
        <item x="8"/>
        <item x="17"/>
        <item x="13"/>
        <item x="1"/>
        <item x="6"/>
        <item x="4"/>
        <item x="14"/>
        <item x="18"/>
        <item x="5"/>
        <item x="15"/>
        <item x="7"/>
        <item x="9"/>
        <item x="20"/>
        <item x="21"/>
        <item x="3"/>
        <item x="10"/>
        <item x="0"/>
        <item x="12"/>
        <item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sumSubtotal="1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3"/>
  </rowFields>
  <row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rowItems>
  <colFields count="1">
    <field x="3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Aufteilung Finanzierungsart/MIP auf Projekttyp" fld="33" subtotal="count" baseField="33" baseItem="0"/>
  </dataFields>
  <formats count="13">
    <format dxfId="405">
      <pivotArea grandCol="1" outline="0" collapsedLevelsAreSubtotals="1" fieldPosition="0"/>
    </format>
    <format dxfId="404">
      <pivotArea grandCol="1" outline="0" collapsedLevelsAreSubtotals="1" fieldPosition="0"/>
    </format>
    <format dxfId="403">
      <pivotArea dataOnly="0" labelOnly="1" grandRow="1" outline="0" fieldPosition="0"/>
    </format>
    <format dxfId="402">
      <pivotArea grandRow="1" outline="0" collapsedLevelsAreSubtotals="1" fieldPosition="0"/>
    </format>
    <format dxfId="401">
      <pivotArea dataOnly="0" labelOnly="1" grandRow="1" outline="0" fieldPosition="0"/>
    </format>
    <format dxfId="400">
      <pivotArea outline="0" collapsedLevelsAreSubtotals="1" fieldPosition="0">
        <references count="1">
          <reference field="3" count="1" selected="0">
            <x v="6"/>
          </reference>
        </references>
      </pivotArea>
    </format>
    <format dxfId="399">
      <pivotArea outline="0" collapsedLevelsAreSubtotals="1" fieldPosition="0">
        <references count="1">
          <reference field="3" count="1" selected="0">
            <x v="5"/>
          </reference>
        </references>
      </pivotArea>
    </format>
    <format dxfId="398">
      <pivotArea outline="0" collapsedLevelsAreSubtotals="1" fieldPosition="0">
        <references count="1">
          <reference field="3" count="1" selected="0">
            <x v="4"/>
          </reference>
        </references>
      </pivotArea>
    </format>
    <format dxfId="397">
      <pivotArea outline="0" collapsedLevelsAreSubtotals="1" fieldPosition="0">
        <references count="1">
          <reference field="3" count="1" selected="0">
            <x v="3"/>
          </reference>
        </references>
      </pivotArea>
    </format>
    <format dxfId="396">
      <pivotArea outline="0" collapsedLevelsAreSubtotals="1" fieldPosition="0">
        <references count="1">
          <reference field="3" count="1" selected="0">
            <x v="2"/>
          </reference>
        </references>
      </pivotArea>
    </format>
    <format dxfId="395">
      <pivotArea outline="0" collapsedLevelsAreSubtotals="1" fieldPosition="0">
        <references count="1">
          <reference field="3" count="1" selected="0">
            <x v="1"/>
          </reference>
        </references>
      </pivotArea>
    </format>
    <format dxfId="394">
      <pivotArea outline="0" collapsedLevelsAreSubtotals="1" fieldPosition="0">
        <references count="1">
          <reference field="3" count="1" selected="0">
            <x v="0"/>
          </reference>
        </references>
      </pivotArea>
    </format>
    <format dxfId="393">
      <pivotArea dataOnly="0" labelOnly="1" fieldPosition="0">
        <references count="1">
          <reference field="33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4000000}" name="PivotTable4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85:V669" firstHeaderRow="1" firstDataRow="6" firstDataCol="1"/>
  <pivotFields count="133">
    <pivotField axis="axisRow" showAll="0">
      <items count="279">
        <item x="1"/>
        <item x="2"/>
        <item x="3"/>
        <item x="5"/>
        <item x="6"/>
        <item x="4"/>
        <item x="8"/>
        <item x="9"/>
        <item x="7"/>
        <item x="10"/>
        <item x="11"/>
        <item x="13"/>
        <item x="14"/>
        <item x="15"/>
        <item x="17"/>
        <item x="18"/>
        <item x="16"/>
        <item x="19"/>
        <item x="20"/>
        <item x="21"/>
        <item x="23"/>
        <item x="24"/>
        <item x="25"/>
        <item x="26"/>
        <item x="27"/>
        <item x="28"/>
        <item x="29"/>
        <item x="30"/>
        <item x="31"/>
        <item x="33"/>
        <item x="34"/>
        <item x="35"/>
        <item x="36"/>
        <item x="37"/>
        <item x="39"/>
        <item x="40"/>
        <item x="38"/>
        <item x="41"/>
        <item x="42"/>
        <item x="43"/>
        <item x="46"/>
        <item x="47"/>
        <item x="44"/>
        <item x="45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2"/>
        <item x="65"/>
        <item x="66"/>
        <item x="63"/>
        <item x="64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9"/>
        <item x="90"/>
        <item x="87"/>
        <item x="88"/>
        <item x="91"/>
        <item x="95"/>
        <item x="96"/>
        <item x="92"/>
        <item x="94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7"/>
        <item x="128"/>
        <item x="125"/>
        <item x="126"/>
        <item x="129"/>
        <item x="130"/>
        <item x="131"/>
        <item x="132"/>
        <item x="133"/>
        <item x="136"/>
        <item x="137"/>
        <item x="134"/>
        <item x="135"/>
        <item x="138"/>
        <item x="139"/>
        <item x="140"/>
        <item x="141"/>
        <item x="144"/>
        <item x="145"/>
        <item x="142"/>
        <item x="147"/>
        <item x="143"/>
        <item x="149"/>
        <item x="150"/>
        <item x="146"/>
        <item x="148"/>
        <item x="151"/>
        <item x="152"/>
        <item x="153"/>
        <item x="154"/>
        <item x="155"/>
        <item x="156"/>
        <item x="157"/>
        <item x="158"/>
        <item x="162"/>
        <item x="163"/>
        <item x="159"/>
        <item x="160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6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3"/>
        <item x="194"/>
        <item x="191"/>
        <item x="192"/>
        <item x="195"/>
        <item x="196"/>
        <item x="197"/>
        <item x="198"/>
        <item x="201"/>
        <item x="202"/>
        <item x="199"/>
        <item x="200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8"/>
        <item x="219"/>
        <item x="217"/>
        <item x="220"/>
        <item x="221"/>
        <item x="222"/>
        <item x="223"/>
        <item x="224"/>
        <item x="225"/>
        <item x="227"/>
        <item x="226"/>
        <item x="228"/>
        <item x="229"/>
        <item x="230"/>
        <item x="231"/>
        <item x="233"/>
        <item x="234"/>
        <item x="232"/>
        <item x="235"/>
        <item x="236"/>
        <item x="237"/>
        <item x="238"/>
        <item x="239"/>
        <item x="240"/>
        <item x="241"/>
        <item x="242"/>
        <item x="243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61"/>
        <item x="262"/>
        <item x="259"/>
        <item x="260"/>
        <item x="263"/>
        <item x="266"/>
        <item x="267"/>
        <item x="264"/>
        <item x="265"/>
        <item x="268"/>
        <item x="269"/>
        <item x="270"/>
        <item x="271"/>
        <item x="272"/>
        <item x="273"/>
        <item x="274"/>
        <item x="275"/>
        <item x="277"/>
        <item x="0"/>
        <item x="12"/>
        <item x="22"/>
        <item x="32"/>
        <item x="60"/>
        <item x="93"/>
        <item x="161"/>
        <item x="175"/>
        <item x="177"/>
        <item x="244"/>
        <item x="245"/>
        <item x="27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21">
        <item sd="0" x="13"/>
        <item sd="0" x="15"/>
        <item sd="0" x="9"/>
        <item sd="0" x="8"/>
        <item sd="0" x="19"/>
        <item sd="0" x="17"/>
        <item sd="0" x="3"/>
        <item sd="0" x="10"/>
        <item sd="0" x="12"/>
        <item sd="0" x="11"/>
        <item sd="0" x="6"/>
        <item sd="0" x="16"/>
        <item sd="0" x="1"/>
        <item sd="0" x="4"/>
        <item sd="0" x="18"/>
        <item sd="0" x="14"/>
        <item sd="0" x="7"/>
        <item sd="0" x="2"/>
        <item sd="0" x="5"/>
        <item sd="0" x="0"/>
        <item t="default"/>
      </items>
    </pivotField>
    <pivotField axis="axisCol" showAll="0">
      <items count="15">
        <item x="12"/>
        <item x="13"/>
        <item x="5"/>
        <item x="10"/>
        <item x="2"/>
        <item x="8"/>
        <item x="9"/>
        <item x="7"/>
        <item x="1"/>
        <item x="3"/>
        <item x="4"/>
        <item x="6"/>
        <item x="0"/>
        <item x="11"/>
        <item t="default"/>
      </items>
    </pivotField>
    <pivotField axis="axisCol" showAll="0">
      <items count="8">
        <item x="5"/>
        <item x="1"/>
        <item x="6"/>
        <item x="3"/>
        <item x="4"/>
        <item x="2"/>
        <item x="0"/>
        <item t="default"/>
      </items>
    </pivotField>
    <pivotField axis="axisCol" showAll="0">
      <items count="8">
        <item x="6"/>
        <item x="4"/>
        <item x="5"/>
        <item x="2"/>
        <item x="1"/>
        <item x="3"/>
        <item x="0"/>
        <item t="default"/>
      </items>
    </pivotField>
    <pivotField axis="axisCol" showAll="0">
      <items count="7">
        <item x="5"/>
        <item x="1"/>
        <item x="3"/>
        <item x="4"/>
        <item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sumSubtotal="1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7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 t="grand">
      <x/>
    </i>
  </rowItems>
  <colFields count="5">
    <field x="25"/>
    <field x="26"/>
    <field x="27"/>
    <field x="28"/>
    <field x="29"/>
  </colFields>
  <col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colItems>
  <dataFields count="1">
    <dataField name="Mitarbeiterstunden pro Projekt _x000a_" fld="99" baseField="0" baseItem="0"/>
  </dataFields>
  <formats count="24">
    <format dxfId="429">
      <pivotArea grandCol="1" outline="0" collapsedLevelsAreSubtotals="1" fieldPosition="0"/>
    </format>
    <format dxfId="428">
      <pivotArea grandCol="1" outline="0" collapsedLevelsAreSubtotals="1" fieldPosition="0"/>
    </format>
    <format dxfId="427">
      <pivotArea grandRow="1" outline="0" collapsedLevelsAreSubtotals="1" fieldPosition="0"/>
    </format>
    <format dxfId="426">
      <pivotArea dataOnly="0" labelOnly="1" grandRow="1" outline="0" fieldPosition="0"/>
    </format>
    <format dxfId="425">
      <pivotArea outline="0" collapsedLevelsAreSubtotals="1" fieldPosition="0">
        <references count="1">
          <reference field="25" count="1" selected="0">
            <x v="19"/>
          </reference>
        </references>
      </pivotArea>
    </format>
    <format dxfId="424">
      <pivotArea outline="0" collapsedLevelsAreSubtotals="1" fieldPosition="0">
        <references count="1">
          <reference field="25" count="1" selected="0">
            <x v="18"/>
          </reference>
        </references>
      </pivotArea>
    </format>
    <format dxfId="423">
      <pivotArea outline="0" collapsedLevelsAreSubtotals="1" fieldPosition="0">
        <references count="1">
          <reference field="25" count="1" selected="0">
            <x v="17"/>
          </reference>
        </references>
      </pivotArea>
    </format>
    <format dxfId="422">
      <pivotArea outline="0" collapsedLevelsAreSubtotals="1" fieldPosition="0">
        <references count="1">
          <reference field="25" count="1" selected="0">
            <x v="16"/>
          </reference>
        </references>
      </pivotArea>
    </format>
    <format dxfId="421">
      <pivotArea outline="0" collapsedLevelsAreSubtotals="1" fieldPosition="0">
        <references count="1">
          <reference field="25" count="1" selected="0">
            <x v="15"/>
          </reference>
        </references>
      </pivotArea>
    </format>
    <format dxfId="420">
      <pivotArea outline="0" collapsedLevelsAreSubtotals="1" fieldPosition="0">
        <references count="1">
          <reference field="25" count="1" selected="0">
            <x v="14"/>
          </reference>
        </references>
      </pivotArea>
    </format>
    <format dxfId="419">
      <pivotArea outline="0" collapsedLevelsAreSubtotals="1" fieldPosition="0">
        <references count="1">
          <reference field="25" count="1" selected="0">
            <x v="13"/>
          </reference>
        </references>
      </pivotArea>
    </format>
    <format dxfId="418">
      <pivotArea outline="0" collapsedLevelsAreSubtotals="1" fieldPosition="0">
        <references count="1">
          <reference field="25" count="1" selected="0">
            <x v="12"/>
          </reference>
        </references>
      </pivotArea>
    </format>
    <format dxfId="417">
      <pivotArea outline="0" collapsedLevelsAreSubtotals="1" fieldPosition="0">
        <references count="1">
          <reference field="25" count="1" selected="0">
            <x v="11"/>
          </reference>
        </references>
      </pivotArea>
    </format>
    <format dxfId="416">
      <pivotArea outline="0" collapsedLevelsAreSubtotals="1" fieldPosition="0">
        <references count="1">
          <reference field="25" count="1" selected="0">
            <x v="10"/>
          </reference>
        </references>
      </pivotArea>
    </format>
    <format dxfId="415">
      <pivotArea outline="0" collapsedLevelsAreSubtotals="1" fieldPosition="0">
        <references count="1">
          <reference field="25" count="1" selected="0">
            <x v="9"/>
          </reference>
        </references>
      </pivotArea>
    </format>
    <format dxfId="414">
      <pivotArea outline="0" collapsedLevelsAreSubtotals="1" fieldPosition="0">
        <references count="1">
          <reference field="25" count="1" selected="0">
            <x v="8"/>
          </reference>
        </references>
      </pivotArea>
    </format>
    <format dxfId="413">
      <pivotArea outline="0" collapsedLevelsAreSubtotals="1" fieldPosition="0">
        <references count="1">
          <reference field="25" count="1" selected="0">
            <x v="7"/>
          </reference>
        </references>
      </pivotArea>
    </format>
    <format dxfId="412">
      <pivotArea outline="0" collapsedLevelsAreSubtotals="1" fieldPosition="0">
        <references count="1">
          <reference field="25" count="1" selected="0">
            <x v="6"/>
          </reference>
        </references>
      </pivotArea>
    </format>
    <format dxfId="411">
      <pivotArea outline="0" collapsedLevelsAreSubtotals="1" fieldPosition="0">
        <references count="1">
          <reference field="25" count="1" selected="0">
            <x v="5"/>
          </reference>
        </references>
      </pivotArea>
    </format>
    <format dxfId="410">
      <pivotArea outline="0" collapsedLevelsAreSubtotals="1" fieldPosition="0">
        <references count="1">
          <reference field="25" count="1" selected="0">
            <x v="4"/>
          </reference>
        </references>
      </pivotArea>
    </format>
    <format dxfId="409">
      <pivotArea outline="0" collapsedLevelsAreSubtotals="1" fieldPosition="0">
        <references count="1">
          <reference field="25" count="1" selected="0">
            <x v="3"/>
          </reference>
        </references>
      </pivotArea>
    </format>
    <format dxfId="408">
      <pivotArea outline="0" collapsedLevelsAreSubtotals="1" fieldPosition="0">
        <references count="1">
          <reference field="25" count="1" selected="0">
            <x v="2"/>
          </reference>
        </references>
      </pivotArea>
    </format>
    <format dxfId="407">
      <pivotArea outline="0" collapsedLevelsAreSubtotals="1" fieldPosition="0">
        <references count="1">
          <reference field="25" count="1" selected="0">
            <x v="1"/>
          </reference>
        </references>
      </pivotArea>
    </format>
    <format dxfId="406">
      <pivotArea outline="0" collapsedLevelsAreSubtotals="1" fieldPosition="0">
        <references count="1">
          <reference field="25" count="1" selected="0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2000000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92:J373" firstHeaderRow="1" firstDataRow="3" firstDataCol="1"/>
  <pivotFields count="133">
    <pivotField axis="axisRow" showAll="0">
      <items count="279">
        <item x="1"/>
        <item x="2"/>
        <item x="3"/>
        <item x="5"/>
        <item x="6"/>
        <item x="4"/>
        <item x="8"/>
        <item x="9"/>
        <item x="7"/>
        <item x="10"/>
        <item x="11"/>
        <item x="13"/>
        <item x="14"/>
        <item x="15"/>
        <item x="17"/>
        <item x="18"/>
        <item x="16"/>
        <item x="19"/>
        <item x="20"/>
        <item x="21"/>
        <item x="23"/>
        <item x="24"/>
        <item x="25"/>
        <item x="26"/>
        <item x="27"/>
        <item x="28"/>
        <item x="29"/>
        <item x="30"/>
        <item x="31"/>
        <item x="33"/>
        <item x="34"/>
        <item x="35"/>
        <item x="36"/>
        <item x="37"/>
        <item x="39"/>
        <item x="40"/>
        <item x="38"/>
        <item x="41"/>
        <item x="42"/>
        <item x="43"/>
        <item x="46"/>
        <item x="47"/>
        <item x="44"/>
        <item x="45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2"/>
        <item x="65"/>
        <item x="66"/>
        <item x="63"/>
        <item x="64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9"/>
        <item x="90"/>
        <item x="87"/>
        <item x="88"/>
        <item x="91"/>
        <item x="95"/>
        <item x="96"/>
        <item x="92"/>
        <item x="94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7"/>
        <item x="128"/>
        <item x="125"/>
        <item x="126"/>
        <item x="129"/>
        <item x="130"/>
        <item x="131"/>
        <item x="132"/>
        <item x="133"/>
        <item x="136"/>
        <item x="137"/>
        <item x="134"/>
        <item x="135"/>
        <item x="138"/>
        <item x="139"/>
        <item x="140"/>
        <item x="141"/>
        <item x="144"/>
        <item x="145"/>
        <item x="142"/>
        <item x="147"/>
        <item x="143"/>
        <item x="149"/>
        <item x="150"/>
        <item x="146"/>
        <item x="148"/>
        <item x="151"/>
        <item x="152"/>
        <item x="153"/>
        <item x="154"/>
        <item x="155"/>
        <item x="156"/>
        <item x="157"/>
        <item x="158"/>
        <item x="162"/>
        <item x="163"/>
        <item x="159"/>
        <item x="160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6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3"/>
        <item x="194"/>
        <item x="191"/>
        <item x="192"/>
        <item x="195"/>
        <item x="196"/>
        <item x="197"/>
        <item x="198"/>
        <item x="201"/>
        <item x="202"/>
        <item x="199"/>
        <item x="200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8"/>
        <item x="219"/>
        <item x="217"/>
        <item x="220"/>
        <item x="221"/>
        <item x="222"/>
        <item x="223"/>
        <item x="224"/>
        <item x="225"/>
        <item x="227"/>
        <item x="226"/>
        <item x="228"/>
        <item x="229"/>
        <item x="230"/>
        <item x="231"/>
        <item x="233"/>
        <item x="234"/>
        <item x="232"/>
        <item x="235"/>
        <item x="236"/>
        <item x="237"/>
        <item x="238"/>
        <item x="239"/>
        <item x="240"/>
        <item x="241"/>
        <item x="242"/>
        <item x="243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61"/>
        <item x="262"/>
        <item x="259"/>
        <item x="260"/>
        <item x="263"/>
        <item x="266"/>
        <item x="267"/>
        <item x="264"/>
        <item x="265"/>
        <item x="268"/>
        <item x="269"/>
        <item x="270"/>
        <item x="271"/>
        <item x="272"/>
        <item x="273"/>
        <item x="274"/>
        <item x="275"/>
        <item x="277"/>
        <item x="0"/>
        <item x="12"/>
        <item x="22"/>
        <item x="32"/>
        <item x="60"/>
        <item x="93"/>
        <item x="161"/>
        <item x="175"/>
        <item x="177"/>
        <item x="244"/>
        <item x="245"/>
        <item x="27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9">
        <item sd="0" x="3"/>
        <item sd="0" x="5"/>
        <item sd="0" x="4"/>
        <item sd="0" x="2"/>
        <item sd="0" x="1"/>
        <item sd="0" x="6"/>
        <item sd="0" x="7"/>
        <item sd="0" x="0"/>
        <item t="default"/>
      </items>
    </pivotField>
    <pivotField axis="axisCol" showAll="0">
      <items count="9">
        <item sd="0" x="4"/>
        <item x="6"/>
        <item x="3"/>
        <item x="5"/>
        <item x="2"/>
        <item x="1"/>
        <item x="0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sumSubtotal="1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7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 t="grand">
      <x/>
    </i>
  </rowItems>
  <colFields count="2">
    <field x="23"/>
    <field x="2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Mitarbeiterstunden pro Projekt _x000a_" fld="99" baseField="0" baseItem="0"/>
  </dataFields>
  <formats count="13">
    <format dxfId="442">
      <pivotArea grandCol="1" outline="0" collapsedLevelsAreSubtotals="1" fieldPosition="0"/>
    </format>
    <format dxfId="441">
      <pivotArea grandCol="1" outline="0" collapsedLevelsAreSubtotals="1" fieldPosition="0"/>
    </format>
    <format dxfId="440">
      <pivotArea grandRow="1" outline="0" collapsedLevelsAreSubtotals="1" fieldPosition="0"/>
    </format>
    <format dxfId="439">
      <pivotArea dataOnly="0" labelOnly="1" grandRow="1" outline="0" fieldPosition="0"/>
    </format>
    <format dxfId="438">
      <pivotArea collapsedLevelsAreSubtotals="1" fieldPosition="0">
        <references count="2">
          <reference field="0" count="1">
            <x v="0"/>
          </reference>
          <reference field="23" count="1" selected="0">
            <x v="7"/>
          </reference>
        </references>
      </pivotArea>
    </format>
    <format dxfId="437">
      <pivotArea outline="0" collapsedLevelsAreSubtotals="1" fieldPosition="0">
        <references count="1">
          <reference field="23" count="0" selected="0"/>
        </references>
      </pivotArea>
    </format>
    <format dxfId="436">
      <pivotArea outline="0" collapsedLevelsAreSubtotals="1" fieldPosition="0">
        <references count="1">
          <reference field="23" count="1" selected="0">
            <x v="1"/>
          </reference>
        </references>
      </pivotArea>
    </format>
    <format dxfId="435">
      <pivotArea outline="0" collapsedLevelsAreSubtotals="1" fieldPosition="0">
        <references count="1">
          <reference field="23" count="1" selected="0">
            <x v="2"/>
          </reference>
        </references>
      </pivotArea>
    </format>
    <format dxfId="434">
      <pivotArea outline="0" collapsedLevelsAreSubtotals="1" fieldPosition="0">
        <references count="1">
          <reference field="23" count="1" selected="0">
            <x v="3"/>
          </reference>
        </references>
      </pivotArea>
    </format>
    <format dxfId="433">
      <pivotArea outline="0" collapsedLevelsAreSubtotals="1" fieldPosition="0">
        <references count="1">
          <reference field="23" count="1" selected="0">
            <x v="4"/>
          </reference>
        </references>
      </pivotArea>
    </format>
    <format dxfId="432">
      <pivotArea outline="0" collapsedLevelsAreSubtotals="1" fieldPosition="0">
        <references count="1">
          <reference field="23" count="1" selected="0">
            <x v="5"/>
          </reference>
        </references>
      </pivotArea>
    </format>
    <format dxfId="431">
      <pivotArea outline="0" collapsedLevelsAreSubtotals="1" fieldPosition="0">
        <references count="1">
          <reference field="23" count="1" selected="0">
            <x v="7"/>
          </reference>
        </references>
      </pivotArea>
    </format>
    <format dxfId="430">
      <pivotArea outline="0" collapsedLevelsAreSubtotals="1" fieldPosition="0">
        <references count="1">
          <reference field="23" count="1" selected="0">
            <x v="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elle4" displayName="Tabelle4" ref="A5:EC246" totalsRowCount="1" headerRowDxfId="708" dataDxfId="707">
  <autoFilter ref="A5:EC245" xr:uid="{00000000-0009-0000-0100-000004000000}"/>
  <sortState ref="A6:EC284">
    <sortCondition ref="A5:A284"/>
  </sortState>
  <tableColumns count="133">
    <tableColumn id="1" xr3:uid="{00000000-0010-0000-0000-000001000000}" name="Namen " dataDxfId="265" totalsRowDxfId="132"/>
    <tableColumn id="2" xr3:uid="{00000000-0010-0000-0000-000002000000}" name="Rader oder Portfolio" dataDxfId="264" totalsRowDxfId="131"/>
    <tableColumn id="10" xr3:uid="{00000000-0010-0000-0000-00000A000000}" name="Geschäftsantrag" dataDxfId="263" totalsRowDxfId="130"/>
    <tableColumn id="3" xr3:uid="{00000000-0010-0000-0000-000003000000}" name="Projekttyp" dataDxfId="262" totalsRowDxfId="129"/>
    <tableColumn id="4" xr3:uid="{00000000-0010-0000-0000-000004000000}" name="Projektart: " dataDxfId="261" totalsRowDxfId="128"/>
    <tableColumn id="27" xr3:uid="{00000000-0010-0000-0000-00001B000000}" name="Strategische Bedeutung" dataDxfId="260" totalsRowDxfId="127"/>
    <tableColumn id="26" xr3:uid="{00000000-0010-0000-0000-00001A000000}" name="Operative Dringlichkeit" dataDxfId="259" totalsRowDxfId="126"/>
    <tableColumn id="32" xr3:uid="{00000000-0010-0000-0000-000020000000}" name="Politische Bedeutung" dataDxfId="258" totalsRowDxfId="125"/>
    <tableColumn id="5" xr3:uid="{00000000-0010-0000-0000-000005000000}" name="Projektpriorität" dataDxfId="257" totalsRowDxfId="124"/>
    <tableColumn id="55" xr3:uid="{00000000-0010-0000-0000-000037000000}" name="Projektcharakter (Projektleiterbezogen)" dataDxfId="256" totalsRowDxfId="123"/>
    <tableColumn id="7" xr3:uid="{00000000-0010-0000-0000-000007000000}" name="Steuerungszyklus" dataDxfId="255" totalsRowDxfId="122"/>
    <tableColumn id="6" xr3:uid="{00000000-0010-0000-0000-000006000000}" name="Projekt-Risikobeurteilung " dataDxfId="254" totalsRowDxfId="121"/>
    <tableColumn id="8" xr3:uid="{00000000-0010-0000-0000-000008000000}" name="Projektziel für Datenbank" dataDxfId="253" totalsRowDxfId="120"/>
    <tableColumn id="11" xr3:uid="{00000000-0010-0000-0000-00000B000000}" name="Projekthandbuch für Datenbank" dataDxfId="252" totalsRowDxfId="119"/>
    <tableColumn id="12" xr3:uid="{00000000-0010-0000-0000-00000C000000}" name="E3 Nummer" dataDxfId="251" totalsRowDxfId="118"/>
    <tableColumn id="13" xr3:uid="{00000000-0010-0000-0000-00000D000000}" name="Geschäftskategorie" dataDxfId="250" totalsRowDxfId="117"/>
    <tableColumn id="14" xr3:uid="{00000000-0010-0000-0000-00000E000000}" name="Leistungsart" dataDxfId="249" totalsRowDxfId="116"/>
    <tableColumn id="15" xr3:uid="{00000000-0010-0000-0000-00000F000000}" name="Verrechbarkeit" dataDxfId="248" totalsRowDxfId="115"/>
    <tableColumn id="16" xr3:uid="{00000000-0010-0000-0000-000010000000}" name="Geschäftsnummer" dataDxfId="247" totalsRowDxfId="114"/>
    <tableColumn id="114" xr3:uid="{00000000-0010-0000-0000-000072000000}" name="Projektstatus_x000a_Projektphase" dataDxfId="246" totalsRowDxfId="113"/>
    <tableColumn id="17" xr3:uid="{00000000-0010-0000-0000-000011000000}" name="Bemerkung Projektdaten" dataDxfId="245" totalsRowDxfId="112"/>
    <tableColumn id="18" xr3:uid="{00000000-0010-0000-0000-000012000000}" name="Federführende Stelle" dataDxfId="244" totalsRowDxfId="111"/>
    <tableColumn id="19" xr3:uid="{00000000-0010-0000-0000-000013000000}" name="Federführende Fachgruppe" dataDxfId="243" totalsRowDxfId="110"/>
    <tableColumn id="20" xr3:uid="{00000000-0010-0000-0000-000014000000}" name="Projektverantwortung_x000a_(Lenkungsausschuss)" dataDxfId="242" totalsRowDxfId="109"/>
    <tableColumn id="113" xr3:uid="{00000000-0010-0000-0000-000071000000}" name="Gesamtprojektleitung_x000a_(Koordinationsteam)" dataDxfId="241" totalsRowDxfId="108"/>
    <tableColumn id="21" xr3:uid="{00000000-0010-0000-0000-000015000000}" name="Projektleitung" dataDxfId="240" totalsRowDxfId="107"/>
    <tableColumn id="22" xr3:uid="{00000000-0010-0000-0000-000016000000}" name="Planerleistung" dataDxfId="239" totalsRowDxfId="106"/>
    <tableColumn id="23" xr3:uid="{00000000-0010-0000-0000-000017000000}" name="Bauleitung_x000a_(Baubegleitung)" dataDxfId="238" totalsRowDxfId="105"/>
    <tableColumn id="24" xr3:uid="{00000000-0010-0000-0000-000018000000}" name="ZeichnerIn" dataDxfId="237" totalsRowDxfId="104"/>
    <tableColumn id="25" xr3:uid="{00000000-0010-0000-0000-000019000000}" name="Kommunikation" dataDxfId="236" totalsRowDxfId="103"/>
    <tableColumn id="9" xr3:uid="{00000000-0010-0000-0000-000009000000}" name="Art der Abhängigkeit" dataDxfId="235" totalsRowDxfId="102"/>
    <tableColumn id="28" xr3:uid="{00000000-0010-0000-0000-00001C000000}" name="Von " dataDxfId="234" totalsRowDxfId="101"/>
    <tableColumn id="29" xr3:uid="{00000000-0010-0000-0000-00001D000000}" name="Für" dataDxfId="233" totalsRowDxfId="100"/>
    <tableColumn id="30" xr3:uid="{00000000-0010-0000-0000-00001E000000}" name="Finanzierungsart / MIP Rubrik" dataDxfId="232" totalsRowDxfId="99"/>
    <tableColumn id="31" xr3:uid="{00000000-0010-0000-0000-00001F000000}" name="Bedürfnisabklärung" dataDxfId="231" totalsRowDxfId="98"/>
    <tableColumn id="33" xr3:uid="{00000000-0010-0000-0000-000021000000}" name="Status Projektkredit" dataDxfId="230" totalsRowDxfId="97"/>
    <tableColumn id="34" xr3:uid="{00000000-0010-0000-0000-000022000000}" name="Investitions-Nr." dataDxfId="229" totalsRowDxfId="96"/>
    <tableColumn id="35" xr3:uid="{00000000-0010-0000-0000-000023000000}" name="Kredit-  / Budgetsumme_x000a_(RADAR: Gesamtkosten S)" dataDxfId="228" totalsRowDxfId="95"/>
    <tableColumn id="36" xr3:uid="{00000000-0010-0000-0000-000024000000}" name="Beiträge Dritter" dataDxfId="227" totalsRowDxfId="94"/>
    <tableColumn id="37" xr3:uid="{00000000-0010-0000-0000-000025000000}" name="Netto-Ausgaben Vorjahre " dataDxfId="226" totalsRowDxfId="93"/>
    <tableColumn id="38" xr3:uid="{00000000-0010-0000-0000-000026000000}" name="Kreditrest per 1.1. aktuelles Jahr" dataDxfId="225" totalsRowDxfId="92"/>
    <tableColumn id="40" xr3:uid="{00000000-0010-0000-0000-000028000000}" name="Ist Ausgaben 2018" dataDxfId="224" totalsRowDxfId="91"/>
    <tableColumn id="43" xr3:uid="{00000000-0010-0000-0000-00002B000000}" name="Prognose 2018_x000a_(RADAR: Kosten 2018 S)" dataDxfId="223" totalsRowDxfId="90"/>
    <tableColumn id="39" xr3:uid="{00000000-0010-0000-0000-000027000000}" name="Kreditrest per 1.1. folgendes Jahr" dataDxfId="222" totalsRowDxfId="89">
      <calculatedColumnFormula>Tabelle4[[#This Row],[Kreditrest per 1.1. aktuelles Jahr]]-Tabelle4[[#This Row],[Prognose 2018
(RADAR: Kosten 2018 S)]]</calculatedColumnFormula>
    </tableColumn>
    <tableColumn id="44" xr3:uid="{00000000-0010-0000-0000-00002C000000}" name="Mehrwertabschöpfung3" dataDxfId="221" totalsRowDxfId="88"/>
    <tableColumn id="45" xr3:uid="{00000000-0010-0000-0000-00002D000000}" name="Prognose 2019_x000a_(RADAR: Kosten 2019 S)" dataDxfId="220" totalsRowDxfId="87"/>
    <tableColumn id="46" xr3:uid="{00000000-0010-0000-0000-00002E000000}" name="Mehrwertabschöpfung4" dataDxfId="219" totalsRowDxfId="86"/>
    <tableColumn id="47" xr3:uid="{00000000-0010-0000-0000-00002F000000}" name="Prognose 2020_x000a_(RADAR: Kosten 2020 S)" dataDxfId="218" totalsRowDxfId="85"/>
    <tableColumn id="48" xr3:uid="{00000000-0010-0000-0000-000030000000}" name="Mehrwertabschöpfung5" dataDxfId="217" totalsRowDxfId="84"/>
    <tableColumn id="49" xr3:uid="{00000000-0010-0000-0000-000031000000}" name="Prognose 2021_x000a_(RADAR: Kosten 2021 S)" dataDxfId="216" totalsRowDxfId="83"/>
    <tableColumn id="50" xr3:uid="{00000000-0010-0000-0000-000032000000}" name="Mehrwertabschöpfung6" dataDxfId="215" totalsRowDxfId="82"/>
    <tableColumn id="51" xr3:uid="{00000000-0010-0000-0000-000033000000}" name="Prognose 2022_x000a_(RADAR: Kosten 2022 S)" dataDxfId="214" totalsRowDxfId="81"/>
    <tableColumn id="73" xr3:uid="{00000000-0010-0000-0000-000049000000}" name="Mehrwertabschöpfung " dataDxfId="213" totalsRowDxfId="80"/>
    <tableColumn id="72" xr3:uid="{00000000-0010-0000-0000-000048000000}" name="Prognose 2023" dataDxfId="212" totalsRowDxfId="79"/>
    <tableColumn id="52" xr3:uid="{00000000-0010-0000-0000-000034000000}" name="Mehrwertabschöpfung   " dataDxfId="211" totalsRowDxfId="78"/>
    <tableColumn id="74" xr3:uid="{00000000-0010-0000-0000-00004A000000}" name="Prognose 2024" dataDxfId="210" totalsRowDxfId="77"/>
    <tableColumn id="77" xr3:uid="{00000000-0010-0000-0000-00004D000000}" name="Mehrwertabschöpfung    " dataDxfId="209" totalsRowDxfId="76"/>
    <tableColumn id="75" xr3:uid="{00000000-0010-0000-0000-00004B000000}" name="Prognose 2025" dataDxfId="208" totalsRowDxfId="75"/>
    <tableColumn id="78" xr3:uid="{00000000-0010-0000-0000-00004E000000}" name="Mehrwertabschöpfung      " dataDxfId="207" totalsRowDxfId="74"/>
    <tableColumn id="76" xr3:uid="{00000000-0010-0000-0000-00004C000000}" name="Prognose 2026" dataDxfId="206" totalsRowDxfId="73"/>
    <tableColumn id="79" xr3:uid="{00000000-0010-0000-0000-00004F000000}" name="Mehrwertabschöpfung     " dataDxfId="205" totalsRowDxfId="72"/>
    <tableColumn id="54" xr3:uid="{00000000-0010-0000-0000-000036000000}" name="Bemerkungen Finanzierung" dataDxfId="204" totalsRowDxfId="71"/>
    <tableColumn id="195" xr3:uid="{00000000-0010-0000-0000-0000C3000000}" name="Spalte1" dataDxfId="203" totalsRowDxfId="70"/>
    <tableColumn id="62" xr3:uid="{00000000-0010-0000-0000-00003E000000}" name="1. Quartal 2018_x000a_(Phase)" dataDxfId="202" totalsRowDxfId="69"/>
    <tableColumn id="131" xr3:uid="{00000000-0010-0000-0000-000083000000}" name="Projektverantwortung_x000a_(Lenkungsausschuss) " dataDxfId="201" totalsRowDxfId="68"/>
    <tableColumn id="63" xr3:uid="{00000000-0010-0000-0000-00003F000000}" name="Gesamtprojektleitung_x000a_(Koordinationsteam) " dataDxfId="200" totalsRowDxfId="67"/>
    <tableColumn id="64" xr3:uid="{00000000-0010-0000-0000-000040000000}" name="Projektleitung " dataDxfId="199" totalsRowDxfId="66"/>
    <tableColumn id="65" xr3:uid="{00000000-0010-0000-0000-000041000000}" name="Planerleistung " dataDxfId="198" totalsRowDxfId="65"/>
    <tableColumn id="66" xr3:uid="{00000000-0010-0000-0000-000042000000}" name="Bauleitung " dataDxfId="197" totalsRowDxfId="64"/>
    <tableColumn id="67" xr3:uid="{00000000-0010-0000-0000-000043000000}" name="ZeichnerIn " dataDxfId="196" totalsRowDxfId="63"/>
    <tableColumn id="68" xr3:uid="{00000000-0010-0000-0000-000044000000}" name="Kommunikation " dataDxfId="195" totalsRowDxfId="62"/>
    <tableColumn id="69" xr3:uid="{00000000-0010-0000-0000-000045000000}" name="Total Aufwand_x000a_1. Quartal 2018" dataDxfId="194" totalsRowDxfId="61">
      <calculatedColumnFormula>SUM(Tabelle4[[#This Row],[Projektverantwortung
(Lenkungsausschuss) ]:[Kommunikation ]])</calculatedColumnFormula>
    </tableColumn>
    <tableColumn id="133" xr3:uid="{00000000-0010-0000-0000-000085000000}" name="2. Quartal 2018_x000a_(Phase)" dataDxfId="193" totalsRowDxfId="60"/>
    <tableColumn id="134" xr3:uid="{00000000-0010-0000-0000-000086000000}" name="Projektverantwortung_x000a_(Lenkungsausschuss)   " dataDxfId="192" totalsRowDxfId="59"/>
    <tableColumn id="135" xr3:uid="{00000000-0010-0000-0000-000087000000}" name="Gesamtprojektleitung_x000a_(Koordinationsteam)   " dataDxfId="191" totalsRowDxfId="58"/>
    <tableColumn id="136" xr3:uid="{00000000-0010-0000-0000-000088000000}" name="Projektleitung   " dataDxfId="190" totalsRowDxfId="57"/>
    <tableColumn id="137" xr3:uid="{00000000-0010-0000-0000-000089000000}" name="Planerleistung   " dataDxfId="189" totalsRowDxfId="56"/>
    <tableColumn id="138" xr3:uid="{00000000-0010-0000-0000-00008A000000}" name="Bauleitung   " dataDxfId="188" totalsRowDxfId="55"/>
    <tableColumn id="139" xr3:uid="{00000000-0010-0000-0000-00008B000000}" name="ZeichnerIn   " dataDxfId="187" totalsRowDxfId="54"/>
    <tableColumn id="140" xr3:uid="{00000000-0010-0000-0000-00008C000000}" name="Kommunikation   " dataDxfId="186" totalsRowDxfId="53"/>
    <tableColumn id="141" xr3:uid="{00000000-0010-0000-0000-00008D000000}" name="Total Aufwand_x000a_2. Quartal 2018" dataDxfId="185" totalsRowDxfId="52">
      <calculatedColumnFormula>SUM(Tabelle4[[#This Row],[Projektverantwortung
(Lenkungsausschuss)   ]:[Kommunikation   ]])</calculatedColumnFormula>
    </tableColumn>
    <tableColumn id="143" xr3:uid="{00000000-0010-0000-0000-00008F000000}" name="3. Quartal 2018_x000a_(Phase)" dataDxfId="184" totalsRowDxfId="51"/>
    <tableColumn id="144" xr3:uid="{00000000-0010-0000-0000-000090000000}" name="Projektverantwortung_x000a_(Lenkungsausschuss)." dataDxfId="183" totalsRowDxfId="50"/>
    <tableColumn id="145" xr3:uid="{00000000-0010-0000-0000-000091000000}" name="Gesamtprojektleitung_x000a_(Koordinationsteam)    " dataDxfId="182" totalsRowDxfId="49"/>
    <tableColumn id="146" xr3:uid="{00000000-0010-0000-0000-000092000000}" name="Projektleitung    " dataDxfId="181" totalsRowDxfId="48"/>
    <tableColumn id="147" xr3:uid="{00000000-0010-0000-0000-000093000000}" name="Planerleistung    " dataDxfId="180" totalsRowDxfId="47"/>
    <tableColumn id="148" xr3:uid="{00000000-0010-0000-0000-000094000000}" name="Bauleitung    " dataDxfId="179" totalsRowDxfId="46"/>
    <tableColumn id="149" xr3:uid="{00000000-0010-0000-0000-000095000000}" name="ZeichnerIn    " dataDxfId="178" totalsRowDxfId="45"/>
    <tableColumn id="150" xr3:uid="{00000000-0010-0000-0000-000096000000}" name="Kommunikation    " dataDxfId="177" totalsRowDxfId="44"/>
    <tableColumn id="151" xr3:uid="{00000000-0010-0000-0000-000097000000}" name="Total Aufwand_x000a_3. Quartal 2018" dataDxfId="176" totalsRowDxfId="43">
      <calculatedColumnFormula>SUM(Tabelle4[[#This Row],[Projektverantwortung
(Lenkungsausschuss).]:[Kommunikation    ]])</calculatedColumnFormula>
    </tableColumn>
    <tableColumn id="152" xr3:uid="{00000000-0010-0000-0000-000098000000}" name="4. Quartal 2018_x000a_(Phase)" dataDxfId="175" totalsRowDxfId="42"/>
    <tableColumn id="153" xr3:uid="{00000000-0010-0000-0000-000099000000}" name="Projektverantwortung_x000a_(Lenkungsausschuss)    " dataDxfId="174" totalsRowDxfId="41"/>
    <tableColumn id="154" xr3:uid="{00000000-0010-0000-0000-00009A000000}" name="Gesamtprojektleitung_x000a_(Koordinationsteam)     " dataDxfId="173" totalsRowDxfId="40"/>
    <tableColumn id="155" xr3:uid="{00000000-0010-0000-0000-00009B000000}" name="Projektleitung     " dataDxfId="172" totalsRowDxfId="39"/>
    <tableColumn id="156" xr3:uid="{00000000-0010-0000-0000-00009C000000}" name="Planerleistung     " dataDxfId="171" totalsRowDxfId="38"/>
    <tableColumn id="157" xr3:uid="{00000000-0010-0000-0000-00009D000000}" name="Bauleitung     " dataDxfId="170" totalsRowDxfId="37"/>
    <tableColumn id="158" xr3:uid="{00000000-0010-0000-0000-00009E000000}" name="ZeichnerIn     " dataDxfId="169" totalsRowDxfId="36"/>
    <tableColumn id="159" xr3:uid="{00000000-0010-0000-0000-00009F000000}" name="Kommunikation     " dataDxfId="168" totalsRowDxfId="35"/>
    <tableColumn id="160" xr3:uid="{00000000-0010-0000-0000-0000A0000000}" name="Total Aufwand_x000a_4. Quartal 2018" dataDxfId="167" totalsRowDxfId="34">
      <calculatedColumnFormula>SUM(Tabelle4[[#This Row],[Projektverantwortung
(Lenkungsausschuss)    ]:[Kommunikation     ]])</calculatedColumnFormula>
    </tableColumn>
    <tableColumn id="161" xr3:uid="{00000000-0010-0000-0000-0000A1000000}" name="Total Aufwand_x000a_2018" dataDxfId="166" totalsRowDxfId="33">
      <calculatedColumnFormula>SUM(Tabelle4[[#This Row],[Total Aufwand
1. Quartal 2018]],Tabelle4[[#This Row],[Total Aufwand
2. Quartal 2018]],Tabelle4[[#This Row],[Total Aufwand
3. Quartal 2018]],Tabelle4[[#This Row],[Total Aufwand
4. Quartal 2018]])</calculatedColumnFormula>
    </tableColumn>
    <tableColumn id="83" xr3:uid="{00000000-0010-0000-0000-000053000000}" name="1. Quartal 2019_x000a_(Phase)" dataDxfId="165" totalsRowDxfId="32"/>
    <tableColumn id="84" xr3:uid="{00000000-0010-0000-0000-000054000000}" name="Aufwand " dataDxfId="164" totalsRowDxfId="31"/>
    <tableColumn id="85" xr3:uid="{00000000-0010-0000-0000-000055000000}" name="2. Quartal 2019_x000a_(Phase)" dataDxfId="163" totalsRowDxfId="30"/>
    <tableColumn id="86" xr3:uid="{00000000-0010-0000-0000-000056000000}" name="Aufwand 2" dataDxfId="162" totalsRowDxfId="29"/>
    <tableColumn id="87" xr3:uid="{00000000-0010-0000-0000-000057000000}" name="3. Quartal 2019_x000a_(Phase)" dataDxfId="161" totalsRowDxfId="28"/>
    <tableColumn id="88" xr3:uid="{00000000-0010-0000-0000-000058000000}" name="Aufwand 3" dataDxfId="160" totalsRowDxfId="27"/>
    <tableColumn id="89" xr3:uid="{00000000-0010-0000-0000-000059000000}" name="4. Quartal 2019_x000a_(Phase)" dataDxfId="159" totalsRowDxfId="26"/>
    <tableColumn id="90" xr3:uid="{00000000-0010-0000-0000-00005A000000}" name="Aufwand 4" dataDxfId="158" totalsRowDxfId="25"/>
    <tableColumn id="91" xr3:uid="{00000000-0010-0000-0000-00005B000000}" name="Total Aufwand_x000a_2019" dataDxfId="157" totalsRowDxfId="24">
      <calculatedColumnFormula>SUM(Tabelle4[[#This Row],[Aufwand ]],Tabelle4[[#This Row],[Aufwand 2]],Tabelle4[[#This Row],[Aufwand 3]],Tabelle4[[#This Row],[Aufwand 4]])</calculatedColumnFormula>
    </tableColumn>
    <tableColumn id="92" xr3:uid="{00000000-0010-0000-0000-00005C000000}" name="1. Quartal 2020_x000a_(Phase)" dataDxfId="156" totalsRowDxfId="23"/>
    <tableColumn id="93" xr3:uid="{00000000-0010-0000-0000-00005D000000}" name="Aufwand  " dataDxfId="155" totalsRowDxfId="22"/>
    <tableColumn id="94" xr3:uid="{00000000-0010-0000-0000-00005E000000}" name="2. Quartal 2020_x000a_(Phase)" dataDxfId="154" totalsRowDxfId="21"/>
    <tableColumn id="95" xr3:uid="{00000000-0010-0000-0000-00005F000000}" name="Aufwand  2" dataDxfId="153" totalsRowDxfId="20"/>
    <tableColumn id="96" xr3:uid="{00000000-0010-0000-0000-000060000000}" name="3. Quartal 2020_x000a_(Phase)" dataDxfId="152" totalsRowDxfId="19"/>
    <tableColumn id="97" xr3:uid="{00000000-0010-0000-0000-000061000000}" name="Aufwand  3" dataDxfId="151" totalsRowDxfId="18"/>
    <tableColumn id="98" xr3:uid="{00000000-0010-0000-0000-000062000000}" name="4. Quartal 2020_x000a_(Phase)" dataDxfId="150" totalsRowDxfId="17"/>
    <tableColumn id="99" xr3:uid="{00000000-0010-0000-0000-000063000000}" name="Aufwand  4" dataDxfId="149" totalsRowDxfId="16"/>
    <tableColumn id="100" xr3:uid="{00000000-0010-0000-0000-000064000000}" name="Total Aufwand_x000a_2020" dataDxfId="148" totalsRowDxfId="15">
      <calculatedColumnFormula>SUM(Tabelle4[[#This Row],[Aufwand  ]],Tabelle4[[#This Row],[Aufwand  2]],Tabelle4[[#This Row],[Aufwand  3]],Tabelle4[[#This Row],[Aufwand  4]])</calculatedColumnFormula>
    </tableColumn>
    <tableColumn id="101" xr3:uid="{00000000-0010-0000-0000-000065000000}" name="1. Quartal 2021_x000a_(Phase)" dataDxfId="147" totalsRowDxfId="14"/>
    <tableColumn id="162" xr3:uid="{00000000-0010-0000-0000-0000A2000000}" name="Aufwand   " dataDxfId="146" totalsRowDxfId="13"/>
    <tableColumn id="102" xr3:uid="{00000000-0010-0000-0000-000066000000}" name="2. Quartal 2021_x000a_(Phase)" dataDxfId="145" totalsRowDxfId="12"/>
    <tableColumn id="103" xr3:uid="{00000000-0010-0000-0000-000067000000}" name="Aufwand   2" dataDxfId="144" totalsRowDxfId="11"/>
    <tableColumn id="104" xr3:uid="{00000000-0010-0000-0000-000068000000}" name="3. Quartal 2021_x000a_(Phase)" dataDxfId="143" totalsRowDxfId="10"/>
    <tableColumn id="105" xr3:uid="{00000000-0010-0000-0000-000069000000}" name="Aufwand   3" dataDxfId="142" totalsRowDxfId="9"/>
    <tableColumn id="106" xr3:uid="{00000000-0010-0000-0000-00006A000000}" name="4. Quartal 2021_x000a_(Phase)" dataDxfId="141" totalsRowDxfId="8"/>
    <tableColumn id="107" xr3:uid="{00000000-0010-0000-0000-00006B000000}" name="Aufwand   4" dataDxfId="140" totalsRowDxfId="7"/>
    <tableColumn id="108" xr3:uid="{00000000-0010-0000-0000-00006C000000}" name="Total Aufwand_x000a_2021" dataDxfId="139" totalsRowDxfId="6">
      <calculatedColumnFormula>#REF!</calculatedColumnFormula>
    </tableColumn>
    <tableColumn id="109" xr3:uid="{00000000-0010-0000-0000-00006D000000}" name="Phase 2022" dataDxfId="138" totalsRowDxfId="5"/>
    <tableColumn id="110" xr3:uid="{00000000-0010-0000-0000-00006E000000}" name="Aufwand 2022" dataDxfId="137" totalsRowDxfId="4"/>
    <tableColumn id="163" xr3:uid="{00000000-0010-0000-0000-0000A3000000}" name="Phase 2023" dataDxfId="136" totalsRowDxfId="3"/>
    <tableColumn id="111" xr3:uid="{00000000-0010-0000-0000-00006F000000}" name="Aufwand 2023" dataDxfId="135" totalsRowDxfId="2"/>
    <tableColumn id="112" xr3:uid="{00000000-0010-0000-0000-000070000000}" name="Gesamaufwand" dataDxfId="134" totalsRowDxfId="1">
      <calculatedColumnFormula>#REF!</calculatedColumnFormula>
    </tableColumn>
    <tableColumn id="53" xr3:uid="{00000000-0010-0000-0000-000035000000}" name="Stellenprozente" dataDxfId="133" totalsRowDxfId="0"/>
  </tableColumns>
  <tableStyleInfo name="TableStyleMedium10" showFirstColumn="0" showLastColumn="0" showRowStripes="1" showColumnStripes="0"/>
  <extLst>
    <ext xmlns:x14="http://schemas.microsoft.com/office/spreadsheetml/2009/9/main" uri="{504A1905-F514-4f6f-8877-14C23A59335A}">
      <x14:table altText="Projektverantwortung (Lenkungsausschuss)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1000000}" name="Tabelle6" displayName="Tabelle6" ref="A2:HL515" totalsRowShown="0" headerRowDxfId="664" dataDxfId="663">
  <autoFilter ref="A2:HL515" xr:uid="{00000000-0009-0000-0100-000006000000}"/>
  <tableColumns count="220">
    <tableColumn id="1" xr3:uid="{00000000-0010-0000-0100-000001000000}" name="Projekt" dataDxfId="662"/>
    <tableColumn id="2" xr3:uid="{00000000-0010-0000-0100-000002000000}" name="Projektleiter" dataDxfId="661"/>
    <tableColumn id="3" xr3:uid="{00000000-0010-0000-0100-000003000000}" name="Projektpriorität" dataDxfId="660"/>
    <tableColumn id="4" xr3:uid="{00000000-0010-0000-0100-000004000000}" name="KW 01" dataDxfId="659"/>
    <tableColumn id="5" xr3:uid="{00000000-0010-0000-0100-000005000000}" name="KW 01 Tendenz" dataDxfId="658"/>
    <tableColumn id="6" xr3:uid="{00000000-0010-0000-0100-000006000000}" name="KW 02" dataDxfId="657"/>
    <tableColumn id="7" xr3:uid="{00000000-0010-0000-0100-000007000000}" name="KW 02 Tendenz" dataDxfId="656"/>
    <tableColumn id="8" xr3:uid="{00000000-0010-0000-0100-000008000000}" name="KW 03" dataDxfId="655"/>
    <tableColumn id="9" xr3:uid="{00000000-0010-0000-0100-000009000000}" name="KW 03 Tendenz" dataDxfId="654"/>
    <tableColumn id="10" xr3:uid="{00000000-0010-0000-0100-00000A000000}" name="KW 04" dataDxfId="653"/>
    <tableColumn id="11" xr3:uid="{00000000-0010-0000-0100-00000B000000}" name="KW 04 Tendenz" dataDxfId="652"/>
    <tableColumn id="12" xr3:uid="{00000000-0010-0000-0100-00000C000000}" name="KW 05" dataDxfId="651"/>
    <tableColumn id="13" xr3:uid="{00000000-0010-0000-0100-00000D000000}" name="KW 05 Tendenz" dataDxfId="650"/>
    <tableColumn id="14" xr3:uid="{00000000-0010-0000-0100-00000E000000}" name="KW 06" dataDxfId="649"/>
    <tableColumn id="15" xr3:uid="{00000000-0010-0000-0100-00000F000000}" name="KW 06 Tendenz" dataDxfId="648"/>
    <tableColumn id="16" xr3:uid="{00000000-0010-0000-0100-000010000000}" name="KW 07" dataDxfId="647"/>
    <tableColumn id="17" xr3:uid="{00000000-0010-0000-0100-000011000000}" name="KW 07 Tendenz" dataDxfId="646"/>
    <tableColumn id="18" xr3:uid="{00000000-0010-0000-0100-000012000000}" name="KW 08" dataDxfId="645"/>
    <tableColumn id="19" xr3:uid="{00000000-0010-0000-0100-000013000000}" name="KW 08 Tendenz" dataDxfId="644"/>
    <tableColumn id="20" xr3:uid="{00000000-0010-0000-0100-000014000000}" name="KW 09" dataDxfId="643"/>
    <tableColumn id="21" xr3:uid="{00000000-0010-0000-0100-000015000000}" name="KW 09 Tendenz" dataDxfId="642"/>
    <tableColumn id="22" xr3:uid="{00000000-0010-0000-0100-000016000000}" name="KW 10" dataDxfId="641"/>
    <tableColumn id="23" xr3:uid="{00000000-0010-0000-0100-000017000000}" name="KW 10 Tendenz" dataDxfId="640"/>
    <tableColumn id="24" xr3:uid="{00000000-0010-0000-0100-000018000000}" name="KW 11" dataDxfId="639"/>
    <tableColumn id="25" xr3:uid="{00000000-0010-0000-0100-000019000000}" name="KW 11 Tendenz" dataDxfId="638"/>
    <tableColumn id="26" xr3:uid="{00000000-0010-0000-0100-00001A000000}" name="KW 12" dataDxfId="637"/>
    <tableColumn id="27" xr3:uid="{00000000-0010-0000-0100-00001B000000}" name="KW 12 Tendenz" dataDxfId="636"/>
    <tableColumn id="28" xr3:uid="{00000000-0010-0000-0100-00001C000000}" name="KW 13" dataDxfId="635"/>
    <tableColumn id="29" xr3:uid="{00000000-0010-0000-0100-00001D000000}" name="KW 13 Tendenz" dataDxfId="634"/>
    <tableColumn id="30" xr3:uid="{00000000-0010-0000-0100-00001E000000}" name="KW 14" dataDxfId="633"/>
    <tableColumn id="31" xr3:uid="{00000000-0010-0000-0100-00001F000000}" name="KW 14 Tendenz" dataDxfId="632"/>
    <tableColumn id="32" xr3:uid="{00000000-0010-0000-0100-000020000000}" name="KW 15" dataDxfId="631"/>
    <tableColumn id="33" xr3:uid="{00000000-0010-0000-0100-000021000000}" name="KW 15 Tendenz" dataDxfId="630"/>
    <tableColumn id="34" xr3:uid="{00000000-0010-0000-0100-000022000000}" name="KW 16" dataDxfId="629"/>
    <tableColumn id="35" xr3:uid="{00000000-0010-0000-0100-000023000000}" name="KW 16 Tendenz" dataDxfId="628"/>
    <tableColumn id="36" xr3:uid="{00000000-0010-0000-0100-000024000000}" name="KW 17" dataDxfId="627"/>
    <tableColumn id="37" xr3:uid="{00000000-0010-0000-0100-000025000000}" name="KW 17 Tendenz_x000a_" dataDxfId="626"/>
    <tableColumn id="38" xr3:uid="{00000000-0010-0000-0100-000026000000}" name="KW 18" dataDxfId="625"/>
    <tableColumn id="39" xr3:uid="{00000000-0010-0000-0100-000027000000}" name="KW 18 Tendenz" dataDxfId="624"/>
    <tableColumn id="40" xr3:uid="{00000000-0010-0000-0100-000028000000}" name="KW 19" dataDxfId="623"/>
    <tableColumn id="41" xr3:uid="{00000000-0010-0000-0100-000029000000}" name="KW 18 Tendenz2" dataDxfId="622"/>
    <tableColumn id="42" xr3:uid="{00000000-0010-0000-0100-00002A000000}" name="KW 20" dataDxfId="621"/>
    <tableColumn id="43" xr3:uid="{00000000-0010-0000-0100-00002B000000}" name="KW 20 Tendenz" dataDxfId="620"/>
    <tableColumn id="44" xr3:uid="{00000000-0010-0000-0100-00002C000000}" name="KW 21" dataDxfId="619"/>
    <tableColumn id="45" xr3:uid="{00000000-0010-0000-0100-00002D000000}" name="KW 21 Tendenz" dataDxfId="618"/>
    <tableColumn id="46" xr3:uid="{00000000-0010-0000-0100-00002E000000}" name="KW 22" dataDxfId="617"/>
    <tableColumn id="47" xr3:uid="{00000000-0010-0000-0100-00002F000000}" name="KW 22 Tendenz" dataDxfId="616"/>
    <tableColumn id="48" xr3:uid="{00000000-0010-0000-0100-000030000000}" name="KW 23" dataDxfId="615"/>
    <tableColumn id="49" xr3:uid="{00000000-0010-0000-0100-000031000000}" name="KW 23 Tendenz" dataDxfId="614"/>
    <tableColumn id="50" xr3:uid="{00000000-0010-0000-0100-000032000000}" name="KW 24" dataDxfId="613"/>
    <tableColumn id="51" xr3:uid="{00000000-0010-0000-0100-000033000000}" name="KW 24 Tendenz" dataDxfId="612"/>
    <tableColumn id="52" xr3:uid="{00000000-0010-0000-0100-000034000000}" name="KW 25" dataDxfId="611"/>
    <tableColumn id="53" xr3:uid="{00000000-0010-0000-0100-000035000000}" name="KW 25 Tendenz" dataDxfId="610"/>
    <tableColumn id="54" xr3:uid="{00000000-0010-0000-0100-000036000000}" name="KW 26" dataDxfId="609"/>
    <tableColumn id="55" xr3:uid="{00000000-0010-0000-0100-000037000000}" name="KW 26 Tendenz" dataDxfId="608"/>
    <tableColumn id="56" xr3:uid="{00000000-0010-0000-0100-000038000000}" name="KW 27" dataDxfId="607"/>
    <tableColumn id="57" xr3:uid="{00000000-0010-0000-0100-000039000000}" name="KW 27 Tendenz" dataDxfId="606"/>
    <tableColumn id="58" xr3:uid="{00000000-0010-0000-0100-00003A000000}" name="KW 28" dataDxfId="605"/>
    <tableColumn id="59" xr3:uid="{00000000-0010-0000-0100-00003B000000}" name="KW 28 Tendenz" dataDxfId="604"/>
    <tableColumn id="60" xr3:uid="{00000000-0010-0000-0100-00003C000000}" name="KW 29" dataDxfId="603"/>
    <tableColumn id="61" xr3:uid="{00000000-0010-0000-0100-00003D000000}" name="KW 29 Tendenz" dataDxfId="602"/>
    <tableColumn id="62" xr3:uid="{00000000-0010-0000-0100-00003E000000}" name="KW 30" dataDxfId="601"/>
    <tableColumn id="63" xr3:uid="{00000000-0010-0000-0100-00003F000000}" name="KW 30 Tendenz" dataDxfId="600"/>
    <tableColumn id="64" xr3:uid="{00000000-0010-0000-0100-000040000000}" name="KW 31" dataDxfId="599"/>
    <tableColumn id="65" xr3:uid="{00000000-0010-0000-0100-000041000000}" name="KW 31 Tendenz" dataDxfId="598"/>
    <tableColumn id="66" xr3:uid="{00000000-0010-0000-0100-000042000000}" name="KW 32" dataDxfId="597"/>
    <tableColumn id="67" xr3:uid="{00000000-0010-0000-0100-000043000000}" name="KW 32 Tendenz" dataDxfId="596"/>
    <tableColumn id="68" xr3:uid="{00000000-0010-0000-0100-000044000000}" name="KW 33" dataDxfId="595"/>
    <tableColumn id="69" xr3:uid="{00000000-0010-0000-0100-000045000000}" name="KW 33 Tendenz" dataDxfId="594"/>
    <tableColumn id="70" xr3:uid="{00000000-0010-0000-0100-000046000000}" name="KW 34" dataDxfId="593"/>
    <tableColumn id="71" xr3:uid="{00000000-0010-0000-0100-000047000000}" name="KW 34 Tendenz" dataDxfId="592"/>
    <tableColumn id="72" xr3:uid="{00000000-0010-0000-0100-000048000000}" name="KW 35" dataDxfId="591"/>
    <tableColumn id="73" xr3:uid="{00000000-0010-0000-0100-000049000000}" name="KW 35 Tendenz" dataDxfId="590"/>
    <tableColumn id="74" xr3:uid="{00000000-0010-0000-0100-00004A000000}" name="KW 36" dataDxfId="589"/>
    <tableColumn id="75" xr3:uid="{00000000-0010-0000-0100-00004B000000}" name="KW 36 Tendenz" dataDxfId="588"/>
    <tableColumn id="76" xr3:uid="{00000000-0010-0000-0100-00004C000000}" name="KW 37" dataDxfId="587"/>
    <tableColumn id="77" xr3:uid="{00000000-0010-0000-0100-00004D000000}" name="KW 37 Tendenz" dataDxfId="586"/>
    <tableColumn id="78" xr3:uid="{00000000-0010-0000-0100-00004E000000}" name="KW 38" dataDxfId="585"/>
    <tableColumn id="79" xr3:uid="{00000000-0010-0000-0100-00004F000000}" name="KW 38 Tendenz" dataDxfId="584"/>
    <tableColumn id="80" xr3:uid="{00000000-0010-0000-0100-000050000000}" name="KW 39" dataDxfId="583"/>
    <tableColumn id="81" xr3:uid="{00000000-0010-0000-0100-000051000000}" name="KW 39 Tendenz" dataDxfId="582"/>
    <tableColumn id="82" xr3:uid="{00000000-0010-0000-0100-000052000000}" name="KW 40" dataDxfId="581"/>
    <tableColumn id="83" xr3:uid="{00000000-0010-0000-0100-000053000000}" name="KW 40 Tendenz" dataDxfId="580"/>
    <tableColumn id="84" xr3:uid="{00000000-0010-0000-0100-000054000000}" name="KW 41" dataDxfId="579"/>
    <tableColumn id="85" xr3:uid="{00000000-0010-0000-0100-000055000000}" name="KW 41 Tendenz" dataDxfId="578"/>
    <tableColumn id="86" xr3:uid="{00000000-0010-0000-0100-000056000000}" name="KW 42" dataDxfId="577"/>
    <tableColumn id="87" xr3:uid="{00000000-0010-0000-0100-000057000000}" name="KW 42 Tendenz" dataDxfId="576"/>
    <tableColumn id="88" xr3:uid="{00000000-0010-0000-0100-000058000000}" name="KW 43" dataDxfId="575"/>
    <tableColumn id="89" xr3:uid="{00000000-0010-0000-0100-000059000000}" name="KW 43 Tendenz" dataDxfId="574"/>
    <tableColumn id="90" xr3:uid="{00000000-0010-0000-0100-00005A000000}" name="KW 44" dataDxfId="573"/>
    <tableColumn id="91" xr3:uid="{00000000-0010-0000-0100-00005B000000}" name="KW 44 Tendenz" dataDxfId="572"/>
    <tableColumn id="92" xr3:uid="{00000000-0010-0000-0100-00005C000000}" name="KW 45" dataDxfId="571"/>
    <tableColumn id="93" xr3:uid="{00000000-0010-0000-0100-00005D000000}" name="KW 45 Tendenz" dataDxfId="570"/>
    <tableColumn id="94" xr3:uid="{00000000-0010-0000-0100-00005E000000}" name="KW 46" dataDxfId="569"/>
    <tableColumn id="95" xr3:uid="{00000000-0010-0000-0100-00005F000000}" name="KW 46 Tendenz" dataDxfId="568"/>
    <tableColumn id="96" xr3:uid="{00000000-0010-0000-0100-000060000000}" name="KW 47" dataDxfId="567"/>
    <tableColumn id="97" xr3:uid="{00000000-0010-0000-0100-000061000000}" name="KW 47 Tendenz" dataDxfId="566"/>
    <tableColumn id="98" xr3:uid="{00000000-0010-0000-0100-000062000000}" name="KW 48" dataDxfId="565"/>
    <tableColumn id="99" xr3:uid="{00000000-0010-0000-0100-000063000000}" name="KW 48 Tendenz" dataDxfId="564"/>
    <tableColumn id="100" xr3:uid="{00000000-0010-0000-0100-000064000000}" name="KW 49" dataDxfId="563"/>
    <tableColumn id="101" xr3:uid="{00000000-0010-0000-0100-000065000000}" name="KW 49 Tendenz" dataDxfId="562"/>
    <tableColumn id="102" xr3:uid="{00000000-0010-0000-0100-000066000000}" name="KW 50" dataDxfId="561"/>
    <tableColumn id="103" xr3:uid="{00000000-0010-0000-0100-000067000000}" name="KW 50 Tendenz" dataDxfId="560"/>
    <tableColumn id="104" xr3:uid="{00000000-0010-0000-0100-000068000000}" name="KW 51" dataDxfId="559"/>
    <tableColumn id="105" xr3:uid="{00000000-0010-0000-0100-000069000000}" name="KW 51 Tendenz" dataDxfId="558"/>
    <tableColumn id="106" xr3:uid="{00000000-0010-0000-0100-00006A000000}" name="KW 52" dataDxfId="557"/>
    <tableColumn id="107" xr3:uid="{00000000-0010-0000-0100-00006B000000}" name="KW 52 Tendenz" dataDxfId="556"/>
    <tableColumn id="108" xr3:uid="{00000000-0010-0000-0100-00006C000000}" name="2019" dataDxfId="555"/>
    <tableColumn id="109" xr3:uid="{00000000-0010-0000-0100-00006D000000}" name="2019 Tendenz" dataDxfId="554"/>
    <tableColumn id="110" xr3:uid="{00000000-0010-0000-0100-00006E000000}" name="2020" dataDxfId="553"/>
    <tableColumn id="111" xr3:uid="{00000000-0010-0000-0100-00006F000000}" name="2020 Tendenz" dataDxfId="552"/>
    <tableColumn id="112" xr3:uid="{00000000-0010-0000-0100-000070000000}" name="2021" dataDxfId="551"/>
    <tableColumn id="113" xr3:uid="{00000000-0010-0000-0100-000071000000}" name="2021 Tendenz" dataDxfId="550"/>
    <tableColumn id="114" xr3:uid="{00000000-0010-0000-0100-000072000000}" name="2022" dataDxfId="549"/>
    <tableColumn id="115" xr3:uid="{00000000-0010-0000-0100-000073000000}" name="2022 Tendenz" dataDxfId="548"/>
    <tableColumn id="116" xr3:uid="{00000000-0010-0000-0100-000074000000}" name="2023" dataDxfId="547"/>
    <tableColumn id="117" xr3:uid="{00000000-0010-0000-0100-000075000000}" name="2023 Tendenz_x000a_" dataDxfId="546"/>
    <tableColumn id="118" xr3:uid="{00000000-0010-0000-0100-000076000000}" name="2024" dataDxfId="545"/>
    <tableColumn id="119" xr3:uid="{00000000-0010-0000-0100-000077000000}" name="2024 Tendenz_x000a_" dataDxfId="544"/>
    <tableColumn id="120" xr3:uid="{00000000-0010-0000-0100-000078000000}" name="2025" dataDxfId="543"/>
    <tableColumn id="121" xr3:uid="{00000000-0010-0000-0100-000079000000}" name="2025 Tendenz_x000a_" dataDxfId="542"/>
    <tableColumn id="122" xr3:uid="{00000000-0010-0000-0100-00007A000000}" name="2026" dataDxfId="541"/>
    <tableColumn id="123" xr3:uid="{00000000-0010-0000-0100-00007B000000}" name="2026 Tendenz_x000a_" dataDxfId="540"/>
    <tableColumn id="124" xr3:uid="{00000000-0010-0000-0100-00007C000000}" name="Einfluss externe Faktoren" dataDxfId="539"/>
    <tableColumn id="125" xr3:uid="{00000000-0010-0000-0100-00007D000000}" name="Kommunikation" dataDxfId="538"/>
    <tableColumn id="126" xr3:uid="{00000000-0010-0000-0100-00007E000000}" name="Abhängigkeit Inhaltlich 1" dataDxfId="537"/>
    <tableColumn id="127" xr3:uid="{00000000-0010-0000-0100-00007F000000}" name="Abhängigkeit Inhaltlich 2" dataDxfId="536"/>
    <tableColumn id="128" xr3:uid="{00000000-0010-0000-0100-000080000000}" name="Abhängigkeit Inhaltlich 3" dataDxfId="535"/>
    <tableColumn id="129" xr3:uid="{00000000-0010-0000-0100-000081000000}" name="Abhängigkeit Inhaltlich 4" dataDxfId="534"/>
    <tableColumn id="130" xr3:uid="{00000000-0010-0000-0100-000082000000}" name="Abhängigkeit Inhaltlich 5" dataDxfId="533"/>
    <tableColumn id="131" xr3:uid="{00000000-0010-0000-0100-000083000000}" name="Abhängigkeit Zeitlich 1" dataDxfId="532"/>
    <tableColumn id="132" xr3:uid="{00000000-0010-0000-0100-000084000000}" name="Abhängigkeit Zeitlich 2" dataDxfId="531"/>
    <tableColumn id="133" xr3:uid="{00000000-0010-0000-0100-000085000000}" name="Abhängigkeit Zeitlich 3" dataDxfId="530"/>
    <tableColumn id="134" xr3:uid="{00000000-0010-0000-0100-000086000000}" name="Abhängigkeit Zeitlich 4" dataDxfId="529"/>
    <tableColumn id="135" xr3:uid="{00000000-0010-0000-0100-000087000000}" name="Abhängigkeit Zeitlich 5" dataDxfId="528"/>
    <tableColumn id="136" xr3:uid="{00000000-0010-0000-0100-000088000000}" name="Abhängigkeit Kapazitativ 1" dataDxfId="527"/>
    <tableColumn id="137" xr3:uid="{00000000-0010-0000-0100-000089000000}" name="Abhängigkeit Kapazitativ 2" dataDxfId="526"/>
    <tableColumn id="138" xr3:uid="{00000000-0010-0000-0100-00008A000000}" name="Abhängigkeit Kapazitativ 3" dataDxfId="525"/>
    <tableColumn id="139" xr3:uid="{00000000-0010-0000-0100-00008B000000}" name="Abhängigkeit Kapazitativ 4" dataDxfId="524"/>
    <tableColumn id="140" xr3:uid="{00000000-0010-0000-0100-00008C000000}" name="Abhängigkeit Kapazitativ 5" dataDxfId="523"/>
    <tableColumn id="141" xr3:uid="{00000000-0010-0000-0100-00008D000000}" name="Status Ist-Ausgaben 1. Quartal" dataDxfId="522"/>
    <tableColumn id="142" xr3:uid="{00000000-0010-0000-0100-00008E000000}" name="Status Ist-Ausgaben 2. Quartal" dataDxfId="521"/>
    <tableColumn id="143" xr3:uid="{00000000-0010-0000-0100-00008F000000}" name="Status Ist-Ausgaben 3. Quartal" dataDxfId="520"/>
    <tableColumn id="144" xr3:uid="{00000000-0010-0000-0100-000090000000}" name="Status Ist-Ausgaben 4. Quartal" dataDxfId="519"/>
    <tableColumn id="145" xr3:uid="{00000000-0010-0000-0100-000091000000}" name="Status Prognose 2018 1. Quartal" dataDxfId="518"/>
    <tableColumn id="146" xr3:uid="{00000000-0010-0000-0100-000092000000}" name="Status Prognose 2018 2. Quartal" dataDxfId="517"/>
    <tableColumn id="147" xr3:uid="{00000000-0010-0000-0100-000093000000}" name="Status Prognose 2018 3. Quartal" dataDxfId="516"/>
    <tableColumn id="148" xr3:uid="{00000000-0010-0000-0100-000094000000}" name="Status Prognose 2018 4. Quartal" dataDxfId="515"/>
    <tableColumn id="149" xr3:uid="{00000000-0010-0000-0100-000095000000}" name="Status Prognose 2019 1. Quartal" dataDxfId="514"/>
    <tableColumn id="150" xr3:uid="{00000000-0010-0000-0100-000096000000}" name="Status Prognose 2019 2. Quartal" dataDxfId="513"/>
    <tableColumn id="151" xr3:uid="{00000000-0010-0000-0100-000097000000}" name="Status Prognose 2019 3. Quartal" dataDxfId="512"/>
    <tableColumn id="152" xr3:uid="{00000000-0010-0000-0100-000098000000}" name="Status Prognose 2019 4. Quartal" dataDxfId="511"/>
    <tableColumn id="153" xr3:uid="{00000000-0010-0000-0100-000099000000}" name="Status Prognose 2020 1. Quartal" dataDxfId="510"/>
    <tableColumn id="154" xr3:uid="{00000000-0010-0000-0100-00009A000000}" name="Status Prognose 2020 2. Quartal" dataDxfId="509"/>
    <tableColumn id="155" xr3:uid="{00000000-0010-0000-0100-00009B000000}" name="Status Prognose 2020 3. Quartal" dataDxfId="508"/>
    <tableColumn id="156" xr3:uid="{00000000-0010-0000-0100-00009C000000}" name="Status Prognose 2020 4. Quartal" dataDxfId="507"/>
    <tableColumn id="157" xr3:uid="{00000000-0010-0000-0100-00009D000000}" name="Status Prognose 2021 1. Quartal" dataDxfId="506"/>
    <tableColumn id="158" xr3:uid="{00000000-0010-0000-0100-00009E000000}" name="Status Prognose 2021 2. Quartal" dataDxfId="505"/>
    <tableColumn id="159" xr3:uid="{00000000-0010-0000-0100-00009F000000}" name="Status Prognose 2021 3. Quartal" dataDxfId="504"/>
    <tableColumn id="160" xr3:uid="{00000000-0010-0000-0100-0000A0000000}" name="Status Prognose 2021 4. Quartal" dataDxfId="503"/>
    <tableColumn id="161" xr3:uid="{00000000-0010-0000-0100-0000A1000000}" name="Status Prognose 2022 1. Quartal" dataDxfId="502"/>
    <tableColumn id="162" xr3:uid="{00000000-0010-0000-0100-0000A2000000}" name="Status Prognose 2022 2. Quartal" dataDxfId="501"/>
    <tableColumn id="163" xr3:uid="{00000000-0010-0000-0100-0000A3000000}" name="Status Prognose 2022 3. Quartal" dataDxfId="500"/>
    <tableColumn id="164" xr3:uid="{00000000-0010-0000-0100-0000A4000000}" name="Status Prognose 2022 4. Quartal" dataDxfId="499"/>
    <tableColumn id="165" xr3:uid="{00000000-0010-0000-0100-0000A5000000}" name="Status Prognose 2023 1. Quartal" dataDxfId="498"/>
    <tableColumn id="166" xr3:uid="{00000000-0010-0000-0100-0000A6000000}" name="Status Prognose 2023 2. Quartal" dataDxfId="497"/>
    <tableColumn id="167" xr3:uid="{00000000-0010-0000-0100-0000A7000000}" name="Status Prognose 2023 3. Quartal" dataDxfId="496"/>
    <tableColumn id="168" xr3:uid="{00000000-0010-0000-0100-0000A8000000}" name="Status Prognose 2023 4. Quartal" dataDxfId="495"/>
    <tableColumn id="169" xr3:uid="{00000000-0010-0000-0100-0000A9000000}" name="Status Prognose 2024 1. Quartal" dataDxfId="494"/>
    <tableColumn id="170" xr3:uid="{00000000-0010-0000-0100-0000AA000000}" name="Status Prognose 2024 2. Quartal" dataDxfId="493"/>
    <tableColumn id="171" xr3:uid="{00000000-0010-0000-0100-0000AB000000}" name="Status Prognose 2024 3. Quartal" dataDxfId="492"/>
    <tableColumn id="172" xr3:uid="{00000000-0010-0000-0100-0000AC000000}" name="Status Prognose 2024 4. Quartal" dataDxfId="491"/>
    <tableColumn id="173" xr3:uid="{00000000-0010-0000-0100-0000AD000000}" name="Status Prognose 2025 1. Quartal" dataDxfId="490"/>
    <tableColumn id="174" xr3:uid="{00000000-0010-0000-0100-0000AE000000}" name="Status Prognose 2025 2. Quartal" dataDxfId="489"/>
    <tableColumn id="175" xr3:uid="{00000000-0010-0000-0100-0000AF000000}" name="Status Prognose 2025 3. Quartal" dataDxfId="488"/>
    <tableColumn id="176" xr3:uid="{00000000-0010-0000-0100-0000B0000000}" name="Status Prognose 2025 4. Quartal" dataDxfId="487"/>
    <tableColumn id="177" xr3:uid="{00000000-0010-0000-0100-0000B1000000}" name="Status Prognose 2026 1. Quartal" dataDxfId="486"/>
    <tableColumn id="178" xr3:uid="{00000000-0010-0000-0100-0000B2000000}" name="Status Prognose 2026 2. Quartal" dataDxfId="485"/>
    <tableColumn id="179" xr3:uid="{00000000-0010-0000-0100-0000B3000000}" name="Status Prognose 2026 3. Quartal" dataDxfId="484"/>
    <tableColumn id="180" xr3:uid="{00000000-0010-0000-0100-0000B4000000}" name="Status Prognose 2026 4. Quartal" dataDxfId="483"/>
    <tableColumn id="181" xr3:uid="{00000000-0010-0000-0100-0000B5000000}" name="Tendenz Ist-Ausgaben 1. Quartal" dataDxfId="482"/>
    <tableColumn id="182" xr3:uid="{00000000-0010-0000-0100-0000B6000000}" name="Tendenz Ist-Ausgaben 2. Quartal" dataDxfId="481"/>
    <tableColumn id="183" xr3:uid="{00000000-0010-0000-0100-0000B7000000}" name="Tendenz Ist-Ausgaben 3. Quartal" dataDxfId="480"/>
    <tableColumn id="184" xr3:uid="{00000000-0010-0000-0100-0000B8000000}" name="Tendenz Ist-Ausgaben 4. Quartal" dataDxfId="479"/>
    <tableColumn id="185" xr3:uid="{00000000-0010-0000-0100-0000B9000000}" name="Tendenz Prognose 2018 1. Quartal" dataDxfId="478"/>
    <tableColumn id="186" xr3:uid="{00000000-0010-0000-0100-0000BA000000}" name="Tendenz Prognose 2018 2. Quartal" dataDxfId="477"/>
    <tableColumn id="187" xr3:uid="{00000000-0010-0000-0100-0000BB000000}" name="Tendenz Prognose 2018 3. Quartal" dataDxfId="476"/>
    <tableColumn id="188" xr3:uid="{00000000-0010-0000-0100-0000BC000000}" name="Tendenz Prognose 2018 4. Quartal" dataDxfId="475"/>
    <tableColumn id="189" xr3:uid="{00000000-0010-0000-0100-0000BD000000}" name="Tendenz Prognose 2019 1. Quartal" dataDxfId="474"/>
    <tableColumn id="190" xr3:uid="{00000000-0010-0000-0100-0000BE000000}" name="Tendenz Prognose 2019 2. Quartal" dataDxfId="473"/>
    <tableColumn id="191" xr3:uid="{00000000-0010-0000-0100-0000BF000000}" name="Tendenz Prognose 2019 3. Quartal" dataDxfId="472"/>
    <tableColumn id="192" xr3:uid="{00000000-0010-0000-0100-0000C0000000}" name="Tendenz Prognose 2019 4. Quartal" dataDxfId="471"/>
    <tableColumn id="193" xr3:uid="{00000000-0010-0000-0100-0000C1000000}" name="Tendenz Prognose 2020 1. Quartal" dataDxfId="470"/>
    <tableColumn id="194" xr3:uid="{00000000-0010-0000-0100-0000C2000000}" name="Tendenz Prognose 2020 2. Quartal" dataDxfId="469"/>
    <tableColumn id="195" xr3:uid="{00000000-0010-0000-0100-0000C3000000}" name="Tendenz Prognose 2020 3. Quartal" dataDxfId="468"/>
    <tableColumn id="196" xr3:uid="{00000000-0010-0000-0100-0000C4000000}" name="Tendenz Prognose 2020 4. Quartal" dataDxfId="467"/>
    <tableColumn id="197" xr3:uid="{00000000-0010-0000-0100-0000C5000000}" name="Tendenz Prognose 2021 1. Quartal" dataDxfId="466"/>
    <tableColumn id="198" xr3:uid="{00000000-0010-0000-0100-0000C6000000}" name="Tendenz Prognose 2021 2. Quartal" dataDxfId="465"/>
    <tableColumn id="199" xr3:uid="{00000000-0010-0000-0100-0000C7000000}" name="Tendenz Prognose 2021 3. Quartal" dataDxfId="464"/>
    <tableColumn id="200" xr3:uid="{00000000-0010-0000-0100-0000C8000000}" name="Tendenz Prognose 2021 4. Quartal" dataDxfId="463"/>
    <tableColumn id="201" xr3:uid="{00000000-0010-0000-0100-0000C9000000}" name="Tendenz Prognose 2022 1. Quartal" dataDxfId="462"/>
    <tableColumn id="202" xr3:uid="{00000000-0010-0000-0100-0000CA000000}" name="Tendenz Prognose 2022 2. Quartal" dataDxfId="461"/>
    <tableColumn id="203" xr3:uid="{00000000-0010-0000-0100-0000CB000000}" name="Tendenz Prognose 2022 3. Quartal" dataDxfId="460"/>
    <tableColumn id="204" xr3:uid="{00000000-0010-0000-0100-0000CC000000}" name="Tendenz Prognose 2022 4. Quartal" dataDxfId="459"/>
    <tableColumn id="205" xr3:uid="{00000000-0010-0000-0100-0000CD000000}" name="Tendenz Prognose 2023 1. Quartal" dataDxfId="458"/>
    <tableColumn id="206" xr3:uid="{00000000-0010-0000-0100-0000CE000000}" name="Tendenz Prognose 2023 2. Quartal" dataDxfId="457"/>
    <tableColumn id="207" xr3:uid="{00000000-0010-0000-0100-0000CF000000}" name="Tendenz Prognose 2023 3. Quartal" dataDxfId="456"/>
    <tableColumn id="208" xr3:uid="{00000000-0010-0000-0100-0000D0000000}" name="Tendenz Prognose 2023 4. Quartal" dataDxfId="455"/>
    <tableColumn id="209" xr3:uid="{00000000-0010-0000-0100-0000D1000000}" name="Tendenz Prognose 2024 1. Quartal" dataDxfId="454"/>
    <tableColumn id="210" xr3:uid="{00000000-0010-0000-0100-0000D2000000}" name="Tendenz Prognose 2024 2. Quartal" dataDxfId="453"/>
    <tableColumn id="211" xr3:uid="{00000000-0010-0000-0100-0000D3000000}" name="Tendenz Prognose 2024 3. Quartal" dataDxfId="452"/>
    <tableColumn id="212" xr3:uid="{00000000-0010-0000-0100-0000D4000000}" name="Tendenz Prognose 2024 4. Quartal" dataDxfId="451"/>
    <tableColumn id="213" xr3:uid="{00000000-0010-0000-0100-0000D5000000}" name="Tendenz Prognose 2025 1. Quartal" dataDxfId="450"/>
    <tableColumn id="214" xr3:uid="{00000000-0010-0000-0100-0000D6000000}" name="Tendenz Prognose 2025 2. Quartal" dataDxfId="449"/>
    <tableColumn id="215" xr3:uid="{00000000-0010-0000-0100-0000D7000000}" name="Tendenz Prognose 2025 3. Quartal" dataDxfId="448"/>
    <tableColumn id="216" xr3:uid="{00000000-0010-0000-0100-0000D8000000}" name="Tendenz Prognose 2025 4. Quartal" dataDxfId="447"/>
    <tableColumn id="217" xr3:uid="{00000000-0010-0000-0100-0000D9000000}" name="Tendenz Prognose 2026 1. Quartal" dataDxfId="446"/>
    <tableColumn id="218" xr3:uid="{00000000-0010-0000-0100-0000DA000000}" name="Tendenz Prognose 2026 2. Quartal" dataDxfId="445"/>
    <tableColumn id="219" xr3:uid="{00000000-0010-0000-0100-0000DB000000}" name="Tendenz Prognose 2026 3. Quartal" dataDxfId="444"/>
    <tableColumn id="220" xr3:uid="{00000000-0010-0000-0100-0000DC000000}" name="Tendenz Prognose 2026 4. Quartal" dataDxfId="443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Tabelle2" displayName="Tabelle2" ref="A2:V56" totalsRowShown="0">
  <autoFilter ref="A2:V56" xr:uid="{00000000-0009-0000-0100-000002000000}"/>
  <sortState ref="A3:T99">
    <sortCondition ref="A6"/>
  </sortState>
  <tableColumns count="22">
    <tableColumn id="2" xr3:uid="{00000000-0010-0000-0300-000002000000}" name="Geschäft / Abwesenheit"/>
    <tableColumn id="23" xr3:uid="{00000000-0010-0000-0300-000017000000}" name="Offen"/>
    <tableColumn id="24" xr3:uid="{00000000-0010-0000-0300-000018000000}" name="Würsch Tobias"/>
    <tableColumn id="25" xr3:uid="{00000000-0010-0000-0300-000019000000}" name="Racine Claude"/>
    <tableColumn id="27" xr3:uid="{00000000-0010-0000-0300-00001B000000}" name="Steiner Michael"/>
    <tableColumn id="26" xr3:uid="{00000000-0010-0000-0300-00001A000000}" name="Tschäppeler Sabine"/>
    <tableColumn id="4" xr3:uid="{00000000-0010-0000-0300-000004000000}" name="Engler Joel"/>
    <tableColumn id="5" xr3:uid="{00000000-0010-0000-0300-000005000000}" name="Erard Laurent"/>
    <tableColumn id="6" xr3:uid="{00000000-0010-0000-0300-000006000000}" name="Flückiger Judith"/>
    <tableColumn id="7" xr3:uid="{00000000-0010-0000-0300-000007000000}" name="Früh Christian"/>
    <tableColumn id="8" xr3:uid="{00000000-0010-0000-0300-000008000000}" name="Gfeller Simon"/>
    <tableColumn id="9" xr3:uid="{00000000-0010-0000-0300-000009000000}" name="Hornbostel Ana Paula_x000a_(bis 31.03.2017"/>
    <tableColumn id="10" xr3:uid="{00000000-0010-0000-0300-00000A000000}" name="Hunziker Dieter"/>
    <tableColumn id="11" xr3:uid="{00000000-0010-0000-0300-00000B000000}" name="Indermühle Nicola"/>
    <tableColumn id="12" xr3:uid="{00000000-0010-0000-0300-00000C000000}" name="Kiener-Grossenbacher Rosmarie"/>
    <tableColumn id="13" xr3:uid="{00000000-0010-0000-0300-00000D000000}" name="Merlin Irene"/>
    <tableColumn id="14" xr3:uid="{00000000-0010-0000-0300-00000E000000}" name="Müller Katharina"/>
    <tableColumn id="15" xr3:uid="{00000000-0010-0000-0300-00000F000000}" name="Neuse Samira"/>
    <tableColumn id="19" xr3:uid="{00000000-0010-0000-0300-000013000000}" name="Weissmann Irene"/>
    <tableColumn id="21" xr3:uid="{00000000-0010-0000-0300-000015000000}" name="ZeichnerIn neu"/>
    <tableColumn id="3" xr3:uid="{00000000-0010-0000-0300-000003000000}" name="PraktikatIn N+Ö"/>
    <tableColumn id="22" xr3:uid="{00000000-0010-0000-0300-000016000000}" name="Total nach Geschäf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Blaugrün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58B6C0"/>
      </a:accent2>
      <a:accent3>
        <a:srgbClr val="75BDA7"/>
      </a:accent3>
      <a:accent4>
        <a:srgbClr val="7A8C8E"/>
      </a:accent4>
      <a:accent5>
        <a:srgbClr val="84ACB6"/>
      </a:accent5>
      <a:accent6>
        <a:srgbClr val="2683C6"/>
      </a:accent6>
      <a:hlink>
        <a:srgbClr val="6B9F25"/>
      </a:hlink>
      <a:folHlink>
        <a:srgbClr val="9F6715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M273"/>
  <sheetViews>
    <sheetView showGridLines="0" view="pageBreakPreview" zoomScale="69" zoomScaleNormal="55" zoomScaleSheetLayoutView="69" workbookViewId="0">
      <pane xSplit="1" ySplit="5" topLeftCell="O24" activePane="bottomRight" state="frozen"/>
      <selection pane="topRight" activeCell="B1" sqref="B1"/>
      <selection pane="bottomLeft" activeCell="A6" sqref="A6"/>
      <selection pane="bottomRight" activeCell="CR26" sqref="CR26"/>
    </sheetView>
  </sheetViews>
  <sheetFormatPr defaultColWidth="11.42578125" defaultRowHeight="15.75"/>
  <cols>
    <col min="1" max="1" width="54.140625" style="45" bestFit="1" customWidth="1"/>
    <col min="2" max="2" width="9.28515625" style="45" customWidth="1"/>
    <col min="3" max="3" width="13.5703125" style="200" customWidth="1"/>
    <col min="4" max="4" width="25" style="45" customWidth="1"/>
    <col min="5" max="5" width="31.5703125" style="45" customWidth="1"/>
    <col min="6" max="7" width="5.5703125" style="83" customWidth="1"/>
    <col min="8" max="8" width="5.42578125" style="79" customWidth="1"/>
    <col min="9" max="9" width="18.140625" style="45" customWidth="1"/>
    <col min="10" max="10" width="48.7109375" style="45" customWidth="1"/>
    <col min="11" max="11" width="11.42578125" customWidth="1"/>
    <col min="12" max="12" width="17.85546875" style="45" customWidth="1"/>
    <col min="13" max="13" width="11.42578125" customWidth="1"/>
    <col min="14" max="14" width="14.140625" style="45" customWidth="1"/>
    <col min="15" max="15" width="13.85546875" style="45" customWidth="1"/>
    <col min="16" max="17" width="3.5703125" style="45" customWidth="1"/>
    <col min="18" max="19" width="5.5703125" style="45" customWidth="1"/>
    <col min="20" max="20" width="38.140625" style="45" customWidth="1"/>
    <col min="21" max="21" width="35.28515625" style="45" customWidth="1"/>
    <col min="22" max="22" width="7.7109375" style="45" customWidth="1"/>
    <col min="23" max="23" width="7.42578125" style="52" customWidth="1"/>
    <col min="24" max="24" width="6.42578125" style="45" customWidth="1"/>
    <col min="25" max="26" width="8.140625" style="45" customWidth="1"/>
    <col min="27" max="30" width="8" style="45" customWidth="1"/>
    <col min="31" max="31" width="10" style="45" customWidth="1"/>
    <col min="32" max="32" width="22.7109375" style="45" customWidth="1"/>
    <col min="33" max="34" width="35.28515625" style="45" customWidth="1"/>
    <col min="35" max="35" width="35.28515625" style="53" customWidth="1"/>
    <col min="36" max="36" width="11.140625" style="53" customWidth="1"/>
    <col min="37" max="37" width="18.42578125" style="53" customWidth="1"/>
    <col min="38" max="38" width="17.28515625" style="45" customWidth="1"/>
    <col min="39" max="40" width="17.42578125" style="53" customWidth="1"/>
    <col min="41" max="41" width="17.140625" style="53" customWidth="1"/>
    <col min="42" max="42" width="15.28515625" style="308" customWidth="1"/>
    <col min="43" max="43" width="19.42578125" style="308" customWidth="1"/>
    <col min="44" max="45" width="17.140625" style="53" customWidth="1"/>
    <col min="46" max="46" width="15.85546875" style="308" customWidth="1"/>
    <col min="47" max="47" width="16.140625" style="53" customWidth="1"/>
    <col min="48" max="48" width="15.85546875" style="308" customWidth="1"/>
    <col min="49" max="49" width="16.140625" style="53" customWidth="1"/>
    <col min="50" max="50" width="16.140625" style="308" customWidth="1"/>
    <col min="51" max="51" width="16.140625" style="53" customWidth="1"/>
    <col min="52" max="52" width="16.140625" style="308" customWidth="1"/>
    <col min="53" max="53" width="16.140625" style="53" customWidth="1"/>
    <col min="54" max="54" width="16.140625" style="308" customWidth="1"/>
    <col min="55" max="55" width="16.140625" style="53" customWidth="1"/>
    <col min="56" max="56" width="16.140625" style="308" customWidth="1"/>
    <col min="57" max="57" width="16.140625" style="53" customWidth="1"/>
    <col min="58" max="58" width="16.140625" style="308" customWidth="1"/>
    <col min="59" max="59" width="16.140625" style="53" customWidth="1"/>
    <col min="60" max="60" width="16.140625" style="308" customWidth="1"/>
    <col min="61" max="61" width="16.140625" style="53" customWidth="1"/>
    <col min="62" max="62" width="5.5703125" style="53" customWidth="1"/>
    <col min="63" max="63" width="8" style="88" customWidth="1"/>
    <col min="64" max="70" width="5.28515625" style="87" customWidth="1"/>
    <col min="71" max="71" width="8.85546875" style="87" customWidth="1"/>
    <col min="72" max="72" width="9.5703125" style="88" bestFit="1" customWidth="1"/>
    <col min="73" max="80" width="5.28515625" style="87" customWidth="1"/>
    <col min="81" max="81" width="5.42578125" style="88" customWidth="1"/>
    <col min="82" max="89" width="5.28515625" style="87" customWidth="1"/>
    <col min="90" max="90" width="5.28515625" style="88" customWidth="1"/>
    <col min="91" max="97" width="5.28515625" style="87" customWidth="1"/>
    <col min="98" max="98" width="8.140625" style="87" customWidth="1"/>
    <col min="99" max="99" width="10.28515625" style="89" bestFit="1" customWidth="1"/>
    <col min="100" max="100" width="20.85546875" style="88" customWidth="1"/>
    <col min="101" max="101" width="6" style="120" customWidth="1"/>
    <col min="102" max="102" width="20.85546875" style="88" customWidth="1"/>
    <col min="103" max="103" width="6" style="120" customWidth="1"/>
    <col min="104" max="104" width="20.85546875" style="88" customWidth="1"/>
    <col min="105" max="105" width="6" style="120" customWidth="1"/>
    <col min="106" max="106" width="20.85546875" style="88" customWidth="1"/>
    <col min="107" max="107" width="6" style="120" customWidth="1"/>
    <col min="108" max="108" width="9.42578125" style="87" bestFit="1" customWidth="1"/>
    <col min="109" max="109" width="20.85546875" style="121" customWidth="1"/>
    <col min="110" max="110" width="5.5703125" style="120" customWidth="1"/>
    <col min="111" max="111" width="20.85546875" style="86" customWidth="1"/>
    <col min="112" max="112" width="5.5703125" style="86" customWidth="1"/>
    <col min="113" max="113" width="20.85546875" style="87" customWidth="1"/>
    <col min="114" max="114" width="5.5703125" style="86" customWidth="1"/>
    <col min="115" max="115" width="20.85546875" style="87" customWidth="1"/>
    <col min="116" max="116" width="5.5703125" style="86" customWidth="1"/>
    <col min="117" max="117" width="9.42578125" style="87" bestFit="1" customWidth="1"/>
    <col min="118" max="118" width="21.28515625" style="121" customWidth="1"/>
    <col min="119" max="119" width="5.5703125" style="120" customWidth="1"/>
    <col min="120" max="120" width="21.28515625" style="121" customWidth="1"/>
    <col min="121" max="121" width="5.5703125" style="86" customWidth="1"/>
    <col min="122" max="122" width="21.28515625" style="121" customWidth="1"/>
    <col min="123" max="123" width="5.5703125" style="86" customWidth="1"/>
    <col min="124" max="124" width="21.28515625" style="121" customWidth="1"/>
    <col min="125" max="125" width="5.5703125" style="86" customWidth="1"/>
    <col min="126" max="126" width="10.28515625" style="87" bestFit="1" customWidth="1"/>
    <col min="127" max="127" width="20.85546875" style="121" customWidth="1"/>
    <col min="128" max="128" width="10.28515625" style="120" bestFit="1" customWidth="1"/>
    <col min="129" max="129" width="20.85546875" style="87" customWidth="1"/>
    <col min="130" max="130" width="10.28515625" style="120" bestFit="1" customWidth="1"/>
    <col min="131" max="132" width="11.42578125" style="121" customWidth="1"/>
    <col min="133" max="133" width="9.5703125" style="54" customWidth="1"/>
    <col min="134" max="134" width="4.5703125" style="45" customWidth="1"/>
    <col min="135" max="142" width="11.42578125" style="45"/>
    <col min="143" max="143" width="11.42578125" style="47"/>
    <col min="144" max="16384" width="11.42578125" style="45"/>
  </cols>
  <sheetData>
    <row r="1" spans="1:143" ht="21" hidden="1">
      <c r="A1" s="61" t="s">
        <v>76</v>
      </c>
      <c r="B1" s="57"/>
      <c r="C1" s="79"/>
      <c r="D1" s="57"/>
      <c r="E1" s="57"/>
      <c r="F1" s="82"/>
      <c r="G1" s="82"/>
      <c r="H1" s="78"/>
      <c r="I1" s="58"/>
      <c r="J1" s="57"/>
      <c r="K1" s="58"/>
      <c r="L1" s="57"/>
      <c r="M1" s="57"/>
      <c r="N1" s="57"/>
      <c r="O1" s="57"/>
      <c r="P1" s="57"/>
      <c r="Q1" s="57"/>
      <c r="R1" s="57"/>
      <c r="S1" s="58"/>
      <c r="T1" s="52"/>
      <c r="U1" s="58"/>
      <c r="V1" s="58"/>
      <c r="W1" s="58"/>
      <c r="AC1" s="57"/>
      <c r="AF1" s="53"/>
      <c r="AG1" s="53"/>
      <c r="AH1" s="53"/>
      <c r="AI1" s="57"/>
      <c r="AL1" s="53"/>
      <c r="BJ1" s="86"/>
      <c r="BK1" s="87"/>
      <c r="BR1" s="89"/>
      <c r="BS1" s="86"/>
      <c r="BT1" s="87"/>
      <c r="CA1" s="89"/>
      <c r="CB1" s="86"/>
      <c r="CC1" s="87"/>
      <c r="CJ1" s="89"/>
      <c r="CK1" s="86"/>
      <c r="CL1" s="87"/>
      <c r="CS1" s="89"/>
      <c r="CT1" s="88"/>
      <c r="CU1" s="86"/>
      <c r="CV1" s="86"/>
      <c r="CW1" s="86"/>
      <c r="CX1" s="86"/>
      <c r="CY1" s="86"/>
      <c r="CZ1" s="86"/>
      <c r="DA1" s="86"/>
      <c r="DB1" s="86"/>
      <c r="DC1" s="88"/>
      <c r="DD1" s="86"/>
      <c r="DE1" s="86"/>
      <c r="DF1" s="87"/>
      <c r="DH1" s="87"/>
      <c r="DI1" s="86"/>
      <c r="DJ1" s="87"/>
      <c r="DK1" s="86"/>
      <c r="DL1" s="88"/>
      <c r="DM1" s="86"/>
      <c r="DN1" s="86"/>
      <c r="DO1" s="86"/>
      <c r="DP1" s="86"/>
      <c r="DR1" s="86"/>
      <c r="DT1" s="86"/>
      <c r="DU1" s="88"/>
      <c r="DV1" s="86"/>
      <c r="DW1" s="86"/>
      <c r="DX1" s="86"/>
      <c r="DY1" s="88"/>
      <c r="DZ1" s="90"/>
      <c r="EA1" s="90"/>
      <c r="EB1" s="45"/>
      <c r="EC1" s="45"/>
      <c r="EK1" s="47"/>
      <c r="EM1" s="45"/>
    </row>
    <row r="2" spans="1:143" hidden="1">
      <c r="A2" s="58">
        <f ca="1">TODAY()</f>
        <v>43224</v>
      </c>
      <c r="C2" s="79"/>
      <c r="K2" s="45"/>
      <c r="M2" s="45"/>
      <c r="T2" s="52"/>
      <c r="W2" s="45"/>
      <c r="AF2" s="53"/>
      <c r="AG2" s="53"/>
      <c r="AH2" s="53"/>
      <c r="AI2" s="45"/>
      <c r="AL2" s="53"/>
      <c r="BJ2" s="86"/>
      <c r="BK2" s="87"/>
      <c r="BR2" s="89"/>
      <c r="BS2" s="86"/>
      <c r="BT2" s="87"/>
      <c r="CA2" s="89"/>
      <c r="CB2" s="86"/>
      <c r="CC2" s="87"/>
      <c r="CJ2" s="89"/>
      <c r="CK2" s="86"/>
      <c r="CL2" s="87"/>
      <c r="CS2" s="89"/>
      <c r="CT2" s="88"/>
      <c r="CU2" s="86"/>
      <c r="CV2" s="86"/>
      <c r="CW2" s="86"/>
      <c r="CX2" s="86"/>
      <c r="CY2" s="86"/>
      <c r="CZ2" s="86"/>
      <c r="DA2" s="86"/>
      <c r="DB2" s="86"/>
      <c r="DC2" s="88"/>
      <c r="DD2" s="86"/>
      <c r="DE2" s="86"/>
      <c r="DF2" s="87"/>
      <c r="DH2" s="87"/>
      <c r="DI2" s="86"/>
      <c r="DJ2" s="87"/>
      <c r="DK2" s="86"/>
      <c r="DL2" s="88"/>
      <c r="DM2" s="86"/>
      <c r="DN2" s="86"/>
      <c r="DO2" s="86"/>
      <c r="DP2" s="86"/>
      <c r="DR2" s="86"/>
      <c r="DT2" s="86"/>
      <c r="DU2" s="88"/>
      <c r="DV2" s="86"/>
      <c r="DW2" s="86"/>
      <c r="DX2" s="86"/>
      <c r="DY2" s="88"/>
      <c r="DZ2" s="90"/>
      <c r="EA2" s="90"/>
      <c r="EB2" s="45"/>
      <c r="EC2" s="45"/>
      <c r="EK2" s="47"/>
      <c r="EM2" s="45"/>
    </row>
    <row r="3" spans="1:143">
      <c r="A3" s="60" t="s">
        <v>15</v>
      </c>
      <c r="B3" s="43"/>
      <c r="C3" s="80"/>
      <c r="D3" s="43"/>
      <c r="E3" s="43"/>
      <c r="F3" s="84"/>
      <c r="G3" s="84"/>
      <c r="H3" s="80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386" t="s">
        <v>627</v>
      </c>
      <c r="W3" s="386"/>
      <c r="X3" s="386"/>
      <c r="Y3" s="386"/>
      <c r="Z3" s="386"/>
      <c r="AA3" s="386"/>
      <c r="AB3" s="386"/>
      <c r="AC3" s="386"/>
      <c r="AD3" s="386"/>
      <c r="AE3" s="387" t="s">
        <v>107</v>
      </c>
      <c r="AF3" s="387"/>
      <c r="AG3" s="387"/>
      <c r="AH3" s="62" t="s">
        <v>23</v>
      </c>
      <c r="AI3" s="56"/>
      <c r="AJ3" s="55"/>
      <c r="AK3" s="55"/>
      <c r="AL3" s="55"/>
      <c r="AM3" s="55"/>
      <c r="AN3" s="55"/>
      <c r="AO3" s="55"/>
      <c r="AP3" s="309"/>
      <c r="AQ3" s="309"/>
      <c r="AR3" s="55"/>
      <c r="AS3" s="55"/>
      <c r="AT3" s="309"/>
      <c r="AU3" s="55"/>
      <c r="AV3" s="309"/>
      <c r="AW3" s="55"/>
      <c r="AX3" s="309"/>
      <c r="AY3" s="55"/>
      <c r="AZ3" s="309"/>
      <c r="BA3" s="55"/>
      <c r="BB3" s="309"/>
      <c r="BC3" s="55"/>
      <c r="BD3" s="309"/>
      <c r="BE3" s="55"/>
      <c r="BF3" s="309"/>
      <c r="BG3" s="55"/>
      <c r="BH3" s="309"/>
      <c r="BI3" s="55"/>
      <c r="BJ3" s="55"/>
      <c r="BK3" s="75"/>
      <c r="BL3" s="388" t="s">
        <v>64</v>
      </c>
      <c r="BM3" s="388"/>
      <c r="BN3" s="388"/>
      <c r="BO3" s="388"/>
      <c r="BP3" s="388"/>
      <c r="BQ3" s="388"/>
      <c r="BR3" s="388"/>
      <c r="BS3" s="388"/>
      <c r="BT3" s="388"/>
      <c r="BU3" s="204" t="s">
        <v>64</v>
      </c>
      <c r="BV3" s="92"/>
      <c r="BW3" s="92"/>
      <c r="BX3" s="92"/>
      <c r="BY3" s="92"/>
      <c r="BZ3" s="92"/>
      <c r="CA3" s="93"/>
      <c r="CB3" s="202"/>
      <c r="CC3" s="92"/>
      <c r="CD3" s="204" t="s">
        <v>64</v>
      </c>
      <c r="CE3" s="92"/>
      <c r="CF3" s="92"/>
      <c r="CG3" s="92"/>
      <c r="CH3" s="92"/>
      <c r="CI3" s="92"/>
      <c r="CJ3" s="93"/>
      <c r="CK3" s="202"/>
      <c r="CL3" s="92"/>
      <c r="CM3" s="204" t="s">
        <v>64</v>
      </c>
      <c r="CN3" s="92"/>
      <c r="CO3" s="92"/>
      <c r="CP3" s="92"/>
      <c r="CQ3" s="92"/>
      <c r="CR3" s="92"/>
      <c r="CS3" s="93"/>
      <c r="CT3" s="91"/>
      <c r="CU3" s="202"/>
      <c r="CV3" s="202"/>
      <c r="CW3" s="94" t="s">
        <v>737</v>
      </c>
      <c r="CX3" s="95"/>
      <c r="CY3" s="94"/>
      <c r="CZ3" s="95"/>
      <c r="DA3" s="94"/>
      <c r="DB3" s="95"/>
      <c r="DC3" s="94"/>
      <c r="DD3" s="94"/>
      <c r="DE3" s="94"/>
      <c r="DF3" s="202" t="s">
        <v>743</v>
      </c>
      <c r="DG3" s="92"/>
      <c r="DH3" s="92"/>
      <c r="DI3" s="92"/>
      <c r="DJ3" s="92"/>
      <c r="DK3" s="92"/>
      <c r="DL3" s="91"/>
      <c r="DM3" s="202"/>
      <c r="DN3" s="202"/>
      <c r="DO3" s="94" t="s">
        <v>765</v>
      </c>
      <c r="DP3" s="94"/>
      <c r="DQ3" s="94"/>
      <c r="DR3" s="94"/>
      <c r="DS3" s="94"/>
      <c r="DT3" s="94"/>
      <c r="DU3" s="94"/>
      <c r="DV3" s="94"/>
      <c r="DW3" s="94"/>
      <c r="DX3" s="202" t="s">
        <v>769</v>
      </c>
      <c r="DY3" s="92"/>
      <c r="DZ3" s="94" t="s">
        <v>768</v>
      </c>
      <c r="EA3" s="94"/>
      <c r="EB3" s="96"/>
      <c r="EC3" s="96"/>
      <c r="EK3" s="47"/>
      <c r="EM3" s="45"/>
    </row>
    <row r="4" spans="1:143">
      <c r="A4" s="43"/>
      <c r="B4" s="43"/>
      <c r="C4" s="80"/>
      <c r="D4" s="43"/>
      <c r="E4" s="43"/>
      <c r="F4" s="84"/>
      <c r="G4" s="84"/>
      <c r="H4" s="80"/>
      <c r="I4" s="43"/>
      <c r="J4" s="43"/>
      <c r="K4" s="43"/>
      <c r="L4" s="43"/>
      <c r="M4" s="43" t="s">
        <v>625</v>
      </c>
      <c r="N4" s="43"/>
      <c r="O4" s="43"/>
      <c r="P4" s="43"/>
      <c r="Q4" s="43"/>
      <c r="R4" s="43"/>
      <c r="S4" s="43"/>
      <c r="T4" s="43"/>
      <c r="U4" s="43"/>
      <c r="V4" s="44"/>
      <c r="W4" s="44"/>
      <c r="X4" s="44"/>
      <c r="Y4" s="44"/>
      <c r="Z4" s="44"/>
      <c r="AA4" s="44"/>
      <c r="AB4" s="44"/>
      <c r="AC4" s="44"/>
      <c r="AD4" s="44"/>
      <c r="AE4" s="63"/>
      <c r="AF4" s="63"/>
      <c r="AG4" s="63"/>
      <c r="AH4" s="55" t="s">
        <v>642</v>
      </c>
      <c r="AI4" s="56"/>
      <c r="AJ4" s="55"/>
      <c r="AK4" s="55"/>
      <c r="AL4" s="55"/>
      <c r="AM4" s="55"/>
      <c r="AN4" s="55"/>
      <c r="AO4" s="55"/>
      <c r="AP4" s="309"/>
      <c r="AQ4" s="309"/>
      <c r="AR4" s="55"/>
      <c r="AS4" s="55"/>
      <c r="AT4" s="309"/>
      <c r="AU4" s="55"/>
      <c r="AV4" s="309"/>
      <c r="AW4" s="55"/>
      <c r="AX4" s="309"/>
      <c r="AY4" s="55"/>
      <c r="AZ4" s="309"/>
      <c r="BA4" s="55"/>
      <c r="BB4" s="309"/>
      <c r="BC4" s="55"/>
      <c r="BD4" s="309"/>
      <c r="BE4" s="55"/>
      <c r="BF4" s="309"/>
      <c r="BG4" s="55"/>
      <c r="BH4" s="309"/>
      <c r="BI4" s="55"/>
      <c r="BJ4" s="55"/>
      <c r="BK4" s="75"/>
      <c r="BL4" s="93"/>
      <c r="BM4" s="93"/>
      <c r="BN4" s="93"/>
      <c r="BO4" s="93"/>
      <c r="BP4" s="93"/>
      <c r="BQ4" s="93"/>
      <c r="BR4" s="93"/>
      <c r="BS4" s="92"/>
      <c r="BT4" s="93"/>
      <c r="BU4" s="93"/>
      <c r="BV4" s="93"/>
      <c r="BW4" s="93"/>
      <c r="BX4" s="93"/>
      <c r="BY4" s="93"/>
      <c r="BZ4" s="93"/>
      <c r="CA4" s="93"/>
      <c r="CB4" s="92"/>
      <c r="CC4" s="93"/>
      <c r="CD4" s="93"/>
      <c r="CE4" s="93"/>
      <c r="CF4" s="93"/>
      <c r="CG4" s="93"/>
      <c r="CH4" s="93"/>
      <c r="CI4" s="93"/>
      <c r="CJ4" s="93"/>
      <c r="CK4" s="92"/>
      <c r="CL4" s="93"/>
      <c r="CM4" s="93"/>
      <c r="CN4" s="93"/>
      <c r="CO4" s="93"/>
      <c r="CP4" s="93"/>
      <c r="CQ4" s="93"/>
      <c r="CR4" s="93"/>
      <c r="CS4" s="93"/>
      <c r="CT4" s="91"/>
      <c r="CU4" s="202"/>
      <c r="CV4" s="202"/>
      <c r="CW4" s="95"/>
      <c r="CX4" s="95"/>
      <c r="CY4" s="95"/>
      <c r="CZ4" s="95"/>
      <c r="DA4" s="95"/>
      <c r="DB4" s="95"/>
      <c r="DC4" s="94"/>
      <c r="DD4" s="94"/>
      <c r="DE4" s="94"/>
      <c r="DF4" s="92"/>
      <c r="DG4" s="92"/>
      <c r="DH4" s="92"/>
      <c r="DI4" s="92"/>
      <c r="DJ4" s="92"/>
      <c r="DK4" s="92"/>
      <c r="DL4" s="91"/>
      <c r="DM4" s="202"/>
      <c r="DN4" s="202"/>
      <c r="DO4" s="94"/>
      <c r="DP4" s="94"/>
      <c r="DQ4" s="94"/>
      <c r="DR4" s="94"/>
      <c r="DS4" s="94"/>
      <c r="DT4" s="94"/>
      <c r="DU4" s="94"/>
      <c r="DV4" s="94"/>
      <c r="DW4" s="94"/>
      <c r="DX4" s="92"/>
      <c r="DY4" s="92"/>
      <c r="DZ4" s="95"/>
      <c r="EA4" s="94"/>
      <c r="EB4" s="96"/>
      <c r="EC4" s="96"/>
      <c r="EK4" s="47"/>
      <c r="EM4" s="45"/>
    </row>
    <row r="5" spans="1:143" s="73" customFormat="1" ht="126.75" customHeight="1">
      <c r="A5" s="67" t="s">
        <v>16</v>
      </c>
      <c r="B5" s="67" t="s">
        <v>624</v>
      </c>
      <c r="C5" s="67" t="s">
        <v>65</v>
      </c>
      <c r="D5" s="67" t="s">
        <v>92</v>
      </c>
      <c r="E5" s="67" t="s">
        <v>1121</v>
      </c>
      <c r="F5" s="67" t="s">
        <v>786</v>
      </c>
      <c r="G5" s="67" t="s">
        <v>787</v>
      </c>
      <c r="H5" s="67" t="s">
        <v>1078</v>
      </c>
      <c r="I5" s="67" t="s">
        <v>59</v>
      </c>
      <c r="J5" s="67" t="s">
        <v>1079</v>
      </c>
      <c r="K5" s="67" t="s">
        <v>88</v>
      </c>
      <c r="L5" s="67" t="s">
        <v>628</v>
      </c>
      <c r="M5" s="67" t="s">
        <v>775</v>
      </c>
      <c r="N5" s="67" t="s">
        <v>774</v>
      </c>
      <c r="O5" s="67" t="s">
        <v>90</v>
      </c>
      <c r="P5" s="67" t="s">
        <v>604</v>
      </c>
      <c r="Q5" s="67" t="s">
        <v>605</v>
      </c>
      <c r="R5" s="67" t="s">
        <v>606</v>
      </c>
      <c r="S5" s="67" t="s">
        <v>650</v>
      </c>
      <c r="T5" s="67" t="s">
        <v>657</v>
      </c>
      <c r="U5" s="67" t="s">
        <v>71</v>
      </c>
      <c r="V5" s="68" t="s">
        <v>626</v>
      </c>
      <c r="W5" s="68" t="s">
        <v>91</v>
      </c>
      <c r="X5" s="68" t="s">
        <v>653</v>
      </c>
      <c r="Y5" s="68" t="s">
        <v>654</v>
      </c>
      <c r="Z5" s="68" t="s">
        <v>700</v>
      </c>
      <c r="AA5" s="68" t="s">
        <v>638</v>
      </c>
      <c r="AB5" s="68" t="s">
        <v>864</v>
      </c>
      <c r="AC5" s="68" t="s">
        <v>99</v>
      </c>
      <c r="AD5" s="68" t="s">
        <v>50</v>
      </c>
      <c r="AE5" s="69" t="s">
        <v>698</v>
      </c>
      <c r="AF5" s="70" t="s">
        <v>109</v>
      </c>
      <c r="AG5" s="70" t="s">
        <v>110</v>
      </c>
      <c r="AH5" s="71" t="s">
        <v>805</v>
      </c>
      <c r="AI5" s="72" t="s">
        <v>72</v>
      </c>
      <c r="AJ5" s="72" t="s">
        <v>120</v>
      </c>
      <c r="AK5" s="71" t="s">
        <v>649</v>
      </c>
      <c r="AL5" s="72" t="s">
        <v>791</v>
      </c>
      <c r="AM5" s="72" t="s">
        <v>119</v>
      </c>
      <c r="AN5" s="72" t="s">
        <v>18</v>
      </c>
      <c r="AO5" s="72" t="s">
        <v>100</v>
      </c>
      <c r="AP5" s="72" t="s">
        <v>1005</v>
      </c>
      <c r="AQ5" s="72" t="s">
        <v>792</v>
      </c>
      <c r="AR5" s="72" t="s">
        <v>101</v>
      </c>
      <c r="AS5" s="72" t="s">
        <v>645</v>
      </c>
      <c r="AT5" s="72" t="s">
        <v>793</v>
      </c>
      <c r="AU5" s="72" t="s">
        <v>646</v>
      </c>
      <c r="AV5" s="72" t="s">
        <v>794</v>
      </c>
      <c r="AW5" s="72" t="s">
        <v>647</v>
      </c>
      <c r="AX5" s="72" t="s">
        <v>795</v>
      </c>
      <c r="AY5" s="72" t="s">
        <v>648</v>
      </c>
      <c r="AZ5" s="72" t="s">
        <v>796</v>
      </c>
      <c r="BA5" s="72" t="s">
        <v>102</v>
      </c>
      <c r="BB5" s="72" t="s">
        <v>821</v>
      </c>
      <c r="BC5" s="71" t="s">
        <v>822</v>
      </c>
      <c r="BD5" s="71" t="s">
        <v>823</v>
      </c>
      <c r="BE5" s="71" t="s">
        <v>826</v>
      </c>
      <c r="BF5" s="71" t="s">
        <v>824</v>
      </c>
      <c r="BG5" s="71" t="s">
        <v>827</v>
      </c>
      <c r="BH5" s="71" t="s">
        <v>825</v>
      </c>
      <c r="BI5" s="71" t="s">
        <v>828</v>
      </c>
      <c r="BJ5" s="72" t="s">
        <v>20</v>
      </c>
      <c r="BK5" s="76" t="s">
        <v>697</v>
      </c>
      <c r="BL5" s="98" t="s">
        <v>703</v>
      </c>
      <c r="BM5" s="97" t="s">
        <v>705</v>
      </c>
      <c r="BN5" s="97" t="s">
        <v>706</v>
      </c>
      <c r="BO5" s="97" t="s">
        <v>707</v>
      </c>
      <c r="BP5" s="97" t="s">
        <v>708</v>
      </c>
      <c r="BQ5" s="97" t="s">
        <v>709</v>
      </c>
      <c r="BR5" s="97" t="s">
        <v>710</v>
      </c>
      <c r="BS5" s="97" t="s">
        <v>603</v>
      </c>
      <c r="BT5" s="99" t="s">
        <v>701</v>
      </c>
      <c r="BU5" s="98" t="s">
        <v>702</v>
      </c>
      <c r="BV5" s="97" t="s">
        <v>711</v>
      </c>
      <c r="BW5" s="97" t="s">
        <v>712</v>
      </c>
      <c r="BX5" s="97" t="s">
        <v>713</v>
      </c>
      <c r="BY5" s="97" t="s">
        <v>714</v>
      </c>
      <c r="BZ5" s="97" t="s">
        <v>715</v>
      </c>
      <c r="CA5" s="97" t="s">
        <v>716</v>
      </c>
      <c r="CB5" s="97" t="s">
        <v>717</v>
      </c>
      <c r="CC5" s="99" t="s">
        <v>718</v>
      </c>
      <c r="CD5" s="98" t="s">
        <v>719</v>
      </c>
      <c r="CE5" s="97" t="s">
        <v>723</v>
      </c>
      <c r="CF5" s="97" t="s">
        <v>726</v>
      </c>
      <c r="CG5" s="97" t="s">
        <v>727</v>
      </c>
      <c r="CH5" s="97" t="s">
        <v>728</v>
      </c>
      <c r="CI5" s="97" t="s">
        <v>724</v>
      </c>
      <c r="CJ5" s="97" t="s">
        <v>729</v>
      </c>
      <c r="CK5" s="97" t="s">
        <v>730</v>
      </c>
      <c r="CL5" s="99" t="s">
        <v>720</v>
      </c>
      <c r="CM5" s="98" t="s">
        <v>721</v>
      </c>
      <c r="CN5" s="97" t="s">
        <v>725</v>
      </c>
      <c r="CO5" s="97" t="s">
        <v>731</v>
      </c>
      <c r="CP5" s="97" t="s">
        <v>732</v>
      </c>
      <c r="CQ5" s="97" t="s">
        <v>733</v>
      </c>
      <c r="CR5" s="97" t="s">
        <v>734</v>
      </c>
      <c r="CS5" s="97" t="s">
        <v>735</v>
      </c>
      <c r="CT5" s="97" t="s">
        <v>736</v>
      </c>
      <c r="CU5" s="99" t="s">
        <v>722</v>
      </c>
      <c r="CV5" s="100" t="s">
        <v>704</v>
      </c>
      <c r="CW5" s="101" t="s">
        <v>738</v>
      </c>
      <c r="CX5" s="101" t="s">
        <v>749</v>
      </c>
      <c r="CY5" s="101" t="s">
        <v>739</v>
      </c>
      <c r="CZ5" s="101" t="s">
        <v>748</v>
      </c>
      <c r="DA5" s="101" t="s">
        <v>740</v>
      </c>
      <c r="DB5" s="101" t="s">
        <v>750</v>
      </c>
      <c r="DC5" s="101" t="s">
        <v>741</v>
      </c>
      <c r="DD5" s="101" t="s">
        <v>751</v>
      </c>
      <c r="DE5" s="102" t="s">
        <v>742</v>
      </c>
      <c r="DF5" s="98" t="s">
        <v>744</v>
      </c>
      <c r="DG5" s="98" t="s">
        <v>752</v>
      </c>
      <c r="DH5" s="98" t="s">
        <v>745</v>
      </c>
      <c r="DI5" s="98" t="s">
        <v>753</v>
      </c>
      <c r="DJ5" s="98" t="s">
        <v>746</v>
      </c>
      <c r="DK5" s="98" t="s">
        <v>754</v>
      </c>
      <c r="DL5" s="98" t="s">
        <v>747</v>
      </c>
      <c r="DM5" s="98" t="s">
        <v>755</v>
      </c>
      <c r="DN5" s="100" t="s">
        <v>764</v>
      </c>
      <c r="DO5" s="101" t="s">
        <v>760</v>
      </c>
      <c r="DP5" s="101" t="s">
        <v>756</v>
      </c>
      <c r="DQ5" s="101" t="s">
        <v>761</v>
      </c>
      <c r="DR5" s="101" t="s">
        <v>757</v>
      </c>
      <c r="DS5" s="101" t="s">
        <v>762</v>
      </c>
      <c r="DT5" s="101" t="s">
        <v>758</v>
      </c>
      <c r="DU5" s="101" t="s">
        <v>763</v>
      </c>
      <c r="DV5" s="101" t="s">
        <v>759</v>
      </c>
      <c r="DW5" s="102" t="s">
        <v>766</v>
      </c>
      <c r="DX5" s="98" t="s">
        <v>771</v>
      </c>
      <c r="DY5" s="103" t="s">
        <v>770</v>
      </c>
      <c r="DZ5" s="101" t="s">
        <v>772</v>
      </c>
      <c r="EA5" s="102" t="s">
        <v>767</v>
      </c>
      <c r="EB5" s="104" t="s">
        <v>773</v>
      </c>
      <c r="EC5" s="104" t="s">
        <v>789</v>
      </c>
      <c r="EM5" s="74"/>
    </row>
    <row r="6" spans="1:143" s="126" customFormat="1">
      <c r="A6" s="237" t="s">
        <v>1220</v>
      </c>
      <c r="B6" s="238"/>
      <c r="C6" s="239"/>
      <c r="D6" s="238"/>
      <c r="E6" s="238"/>
      <c r="F6" s="240"/>
      <c r="G6" s="240"/>
      <c r="H6" s="240"/>
      <c r="I6" s="239"/>
      <c r="J6" s="239"/>
      <c r="K6" s="241"/>
      <c r="L6" s="241"/>
      <c r="M6" s="241"/>
      <c r="N6" s="241"/>
      <c r="O6" s="241"/>
      <c r="P6" s="242"/>
      <c r="Q6" s="242"/>
      <c r="R6" s="242"/>
      <c r="S6" s="243"/>
      <c r="T6" s="244"/>
      <c r="U6" s="241"/>
      <c r="V6" s="242"/>
      <c r="W6" s="241"/>
      <c r="X6" s="241"/>
      <c r="Y6" s="241"/>
      <c r="Z6" s="241"/>
      <c r="AA6" s="241"/>
      <c r="AB6" s="241"/>
      <c r="AC6" s="241"/>
      <c r="AD6" s="241"/>
      <c r="AE6" s="241"/>
      <c r="AF6" s="245"/>
      <c r="AG6" s="245"/>
      <c r="AH6" s="245"/>
      <c r="AI6" s="245"/>
      <c r="AJ6" s="245"/>
      <c r="AK6" s="241"/>
      <c r="AL6" s="246" t="e">
        <f>#REF!</f>
        <v>#REF!</v>
      </c>
      <c r="AM6" s="241"/>
      <c r="AN6" s="241"/>
      <c r="AO6" s="241"/>
      <c r="AP6" s="129"/>
      <c r="AQ6" s="128" t="e">
        <f>#REF!</f>
        <v>#REF!</v>
      </c>
      <c r="AR6" s="246" t="e">
        <f>Tabelle4[[#This Row],[Kreditrest per 1.1. aktuelles Jahr]]-Tabelle4[[#This Row],[Prognose 2018
(RADAR: Kosten 2018 S)]]</f>
        <v>#REF!</v>
      </c>
      <c r="AS6" s="241"/>
      <c r="AT6" s="128" t="e">
        <f>#REF!</f>
        <v>#REF!</v>
      </c>
      <c r="AU6" s="241"/>
      <c r="AV6" s="128" t="e">
        <f>#REF!</f>
        <v>#REF!</v>
      </c>
      <c r="AW6" s="241"/>
      <c r="AX6" s="128" t="e">
        <f>#REF!</f>
        <v>#REF!</v>
      </c>
      <c r="AY6" s="241"/>
      <c r="AZ6" s="128" t="e">
        <f>#REF!</f>
        <v>#REF!</v>
      </c>
      <c r="BA6" s="246"/>
      <c r="BB6" s="128"/>
      <c r="BC6" s="241"/>
      <c r="BD6" s="129"/>
      <c r="BE6" s="241"/>
      <c r="BF6" s="129"/>
      <c r="BG6" s="241"/>
      <c r="BH6" s="129"/>
      <c r="BI6" s="241"/>
      <c r="BJ6" s="241"/>
      <c r="BK6" s="247"/>
      <c r="BL6" s="241"/>
      <c r="BM6" s="241"/>
      <c r="BN6" s="241"/>
      <c r="BO6" s="241"/>
      <c r="BP6" s="241"/>
      <c r="BQ6" s="241"/>
      <c r="BR6" s="241"/>
      <c r="BS6" s="241"/>
      <c r="BT6" s="241"/>
      <c r="BU6" s="241"/>
      <c r="BV6" s="241"/>
      <c r="BW6" s="241"/>
      <c r="BX6" s="241"/>
      <c r="BY6" s="241"/>
      <c r="BZ6" s="241"/>
      <c r="CA6" s="241"/>
      <c r="CB6" s="241"/>
      <c r="CC6" s="241"/>
      <c r="CD6" s="241"/>
      <c r="CE6" s="241"/>
      <c r="CF6" s="241"/>
      <c r="CG6" s="241"/>
      <c r="CH6" s="241"/>
      <c r="CI6" s="241"/>
      <c r="CJ6" s="241"/>
      <c r="CK6" s="241"/>
      <c r="CL6" s="241"/>
      <c r="CM6" s="241"/>
      <c r="CN6" s="241"/>
      <c r="CO6" s="241"/>
      <c r="CP6" s="241"/>
      <c r="CQ6" s="241"/>
      <c r="CR6" s="241"/>
      <c r="CS6" s="241"/>
      <c r="CT6" s="241"/>
      <c r="CU6" s="241"/>
      <c r="CV6" s="123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6" s="241"/>
      <c r="CX6" s="241"/>
      <c r="CY6" s="241"/>
      <c r="CZ6" s="241"/>
      <c r="DA6" s="241"/>
      <c r="DB6" s="241"/>
      <c r="DC6" s="241"/>
      <c r="DD6" s="241"/>
      <c r="DE6" s="123">
        <f>SUM(Tabelle4[[#This Row],[Aufwand ]],Tabelle4[[#This Row],[Aufwand 2]],Tabelle4[[#This Row],[Aufwand 3]],Tabelle4[[#This Row],[Aufwand 4]])</f>
        <v>0</v>
      </c>
      <c r="DF6" s="241"/>
      <c r="DG6" s="241"/>
      <c r="DH6" s="241"/>
      <c r="DI6" s="241"/>
      <c r="DJ6" s="241"/>
      <c r="DK6" s="241"/>
      <c r="DL6" s="241"/>
      <c r="DM6" s="241"/>
      <c r="DN6" s="123">
        <f>SUM(Tabelle4[[#This Row],[Aufwand  ]],Tabelle4[[#This Row],[Aufwand  2]],Tabelle4[[#This Row],[Aufwand  3]],Tabelle4[[#This Row],[Aufwand  4]])</f>
        <v>0</v>
      </c>
      <c r="DO6" s="241"/>
      <c r="DP6" s="241"/>
      <c r="DQ6" s="241"/>
      <c r="DR6" s="241"/>
      <c r="DS6" s="241"/>
      <c r="DT6" s="241"/>
      <c r="DU6" s="241"/>
      <c r="DV6" s="241"/>
      <c r="DW6" s="123" t="e">
        <f>#REF!</f>
        <v>#REF!</v>
      </c>
      <c r="DX6" s="241"/>
      <c r="DY6" s="125" t="e">
        <f>#REF!</f>
        <v>#REF!</v>
      </c>
      <c r="DZ6" s="241"/>
      <c r="EA6" s="124" t="e">
        <f>#REF!</f>
        <v>#REF!</v>
      </c>
      <c r="EB6" s="123" t="e">
        <f>#REF!</f>
        <v>#REF!</v>
      </c>
      <c r="EC6" s="130" t="e">
        <f>Tabelle4[[#This Row],[Gesamaufwand]]/2000</f>
        <v>#REF!</v>
      </c>
      <c r="EM6" s="127"/>
    </row>
    <row r="7" spans="1:143" s="126" customFormat="1" ht="15.75" customHeight="1">
      <c r="A7" s="248" t="s">
        <v>846</v>
      </c>
      <c r="B7" s="249" t="s">
        <v>105</v>
      </c>
      <c r="C7" s="250" t="s">
        <v>804</v>
      </c>
      <c r="D7" s="251" t="s">
        <v>914</v>
      </c>
      <c r="E7" s="251" t="s">
        <v>859</v>
      </c>
      <c r="F7" s="252">
        <v>2</v>
      </c>
      <c r="G7" s="252">
        <v>1</v>
      </c>
      <c r="H7" s="253" t="s">
        <v>1140</v>
      </c>
      <c r="I7" s="254"/>
      <c r="J7" s="250"/>
      <c r="K7" s="110"/>
      <c r="L7" s="110"/>
      <c r="M7" s="77"/>
      <c r="N7" s="110"/>
      <c r="O7" s="255" t="s">
        <v>804</v>
      </c>
      <c r="P7" s="256"/>
      <c r="Q7" s="256"/>
      <c r="R7" s="256"/>
      <c r="S7" s="257"/>
      <c r="T7" s="258" t="s">
        <v>673</v>
      </c>
      <c r="U7" s="110"/>
      <c r="V7" s="259" t="s">
        <v>12</v>
      </c>
      <c r="W7" s="105" t="s">
        <v>8</v>
      </c>
      <c r="X7" s="105" t="s">
        <v>10</v>
      </c>
      <c r="Y7" s="110"/>
      <c r="Z7" s="105" t="s">
        <v>84</v>
      </c>
      <c r="AA7" s="110"/>
      <c r="AB7" s="110"/>
      <c r="AC7" s="110"/>
      <c r="AD7" s="105"/>
      <c r="AE7" s="110"/>
      <c r="AF7" s="110"/>
      <c r="AG7" s="110"/>
      <c r="AH7" s="115" t="s">
        <v>1092</v>
      </c>
      <c r="AI7" s="260"/>
      <c r="AJ7" s="260"/>
      <c r="AK7" s="110"/>
      <c r="AL7" s="260"/>
      <c r="AM7" s="260"/>
      <c r="AN7" s="260"/>
      <c r="AO7" s="260"/>
      <c r="AP7" s="310"/>
      <c r="AQ7" s="310">
        <v>15000</v>
      </c>
      <c r="AR7" s="260"/>
      <c r="AS7" s="260"/>
      <c r="AT7" s="310"/>
      <c r="AU7" s="260"/>
      <c r="AV7" s="310"/>
      <c r="AW7" s="260"/>
      <c r="AX7" s="310"/>
      <c r="AY7" s="260"/>
      <c r="AZ7" s="310"/>
      <c r="BA7" s="260"/>
      <c r="BB7" s="310"/>
      <c r="BC7" s="260"/>
      <c r="BD7" s="310"/>
      <c r="BE7" s="260"/>
      <c r="BF7" s="310"/>
      <c r="BG7" s="260"/>
      <c r="BH7" s="310"/>
      <c r="BI7" s="260"/>
      <c r="BJ7" s="260"/>
      <c r="BK7" s="260"/>
      <c r="BL7" s="105"/>
      <c r="BM7" s="111"/>
      <c r="BN7" s="111"/>
      <c r="BO7" s="111"/>
      <c r="BP7" s="111"/>
      <c r="BQ7" s="111"/>
      <c r="BR7" s="111"/>
      <c r="BS7" s="111"/>
      <c r="BT7" s="113">
        <f>SUM(Tabelle4[[#This Row],[Projektverantwortung
(Lenkungsausschuss) ]:[Kommunikation ]])</f>
        <v>0</v>
      </c>
      <c r="BU7" s="113"/>
      <c r="BV7" s="106"/>
      <c r="BW7" s="106"/>
      <c r="BX7" s="106"/>
      <c r="BY7" s="106"/>
      <c r="BZ7" s="106"/>
      <c r="CA7" s="106"/>
      <c r="CB7" s="106"/>
      <c r="CC7" s="113">
        <f>SUM(Tabelle4[[#This Row],[Projektverantwortung
(Lenkungsausschuss)   ]:[Kommunikation   ]])</f>
        <v>0</v>
      </c>
      <c r="CD7" s="113"/>
      <c r="CE7" s="114"/>
      <c r="CF7" s="114"/>
      <c r="CG7" s="114"/>
      <c r="CH7" s="114"/>
      <c r="CI7" s="114"/>
      <c r="CJ7" s="114"/>
      <c r="CK7" s="114"/>
      <c r="CL7" s="113">
        <f>SUM(Tabelle4[[#This Row],[Projektverantwortung
(Lenkungsausschuss).]:[Kommunikation    ]])</f>
        <v>0</v>
      </c>
      <c r="CM7" s="113"/>
      <c r="CN7" s="114"/>
      <c r="CO7" s="114"/>
      <c r="CP7" s="114"/>
      <c r="CQ7" s="114"/>
      <c r="CR7" s="114"/>
      <c r="CS7" s="114"/>
      <c r="CT7" s="114"/>
      <c r="CU7" s="113">
        <f>SUM(Tabelle4[[#This Row],[Projektverantwortung
(Lenkungsausschuss)    ]:[Kommunikation     ]])</f>
        <v>0</v>
      </c>
      <c r="CV7" s="112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7" s="105"/>
      <c r="CX7" s="105"/>
      <c r="CY7" s="105"/>
      <c r="CZ7" s="105"/>
      <c r="DA7" s="105"/>
      <c r="DB7" s="105"/>
      <c r="DC7" s="105"/>
      <c r="DD7" s="105"/>
      <c r="DE7" s="112">
        <f>SUM(Tabelle4[[#This Row],[Aufwand ]],Tabelle4[[#This Row],[Aufwand 2]],Tabelle4[[#This Row],[Aufwand 3]],Tabelle4[[#This Row],[Aufwand 4]])</f>
        <v>0</v>
      </c>
      <c r="DF7" s="142"/>
      <c r="DG7" s="110"/>
      <c r="DH7" s="110"/>
      <c r="DI7" s="142"/>
      <c r="DJ7" s="110"/>
      <c r="DK7" s="142"/>
      <c r="DL7" s="110"/>
      <c r="DM7" s="142"/>
      <c r="DN7" s="112">
        <f>SUM(Tabelle4[[#This Row],[Aufwand  ]],Tabelle4[[#This Row],[Aufwand  2]],Tabelle4[[#This Row],[Aufwand  3]],Tabelle4[[#This Row],[Aufwand  4]])</f>
        <v>0</v>
      </c>
      <c r="DO7" s="142"/>
      <c r="DP7" s="110"/>
      <c r="DQ7" s="110"/>
      <c r="DR7" s="142"/>
      <c r="DS7" s="110"/>
      <c r="DT7" s="142"/>
      <c r="DU7" s="110"/>
      <c r="DV7" s="142"/>
      <c r="DW7" s="107">
        <f>SUM(Tabelle4[[#This Row],[Aufwand   ]],Tabelle4[[#This Row],[Aufwand   2]],Tabelle4[[#This Row],[Aufwand   3]],Tabelle4[[#This Row],[Aufwand   4]])</f>
        <v>0</v>
      </c>
      <c r="DX7" s="142"/>
      <c r="DY7" s="143"/>
      <c r="DZ7" s="105"/>
      <c r="EA7" s="105"/>
      <c r="EB7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7" s="122">
        <f>Tabelle4[[#This Row],[Gesamaufwand]]/2000</f>
        <v>0</v>
      </c>
      <c r="EM7" s="127"/>
    </row>
    <row r="8" spans="1:143" s="126" customFormat="1">
      <c r="A8" s="255" t="s">
        <v>428</v>
      </c>
      <c r="B8" s="251" t="s">
        <v>105</v>
      </c>
      <c r="C8" s="254" t="s">
        <v>75</v>
      </c>
      <c r="D8" s="251" t="s">
        <v>913</v>
      </c>
      <c r="E8" s="251" t="s">
        <v>635</v>
      </c>
      <c r="F8" s="253">
        <v>3</v>
      </c>
      <c r="G8" s="253">
        <v>2</v>
      </c>
      <c r="H8" s="253"/>
      <c r="I8" s="254" t="s">
        <v>95</v>
      </c>
      <c r="J8" s="254" t="s">
        <v>1144</v>
      </c>
      <c r="K8" s="105" t="s">
        <v>89</v>
      </c>
      <c r="L8" s="105"/>
      <c r="M8" s="48"/>
      <c r="N8" s="105"/>
      <c r="O8" s="255" t="s">
        <v>429</v>
      </c>
      <c r="P8" s="261">
        <v>2</v>
      </c>
      <c r="Q8" s="261">
        <v>0</v>
      </c>
      <c r="R8" s="261">
        <v>0</v>
      </c>
      <c r="S8" s="262" t="s">
        <v>138</v>
      </c>
      <c r="T8" s="263" t="s">
        <v>75</v>
      </c>
      <c r="U8" s="105"/>
      <c r="V8" s="259" t="s">
        <v>610</v>
      </c>
      <c r="W8" s="105" t="s">
        <v>8</v>
      </c>
      <c r="X8" s="105" t="s">
        <v>10</v>
      </c>
      <c r="Y8" s="105" t="s">
        <v>690</v>
      </c>
      <c r="Z8" s="105" t="s">
        <v>10</v>
      </c>
      <c r="AA8" s="105" t="s">
        <v>9</v>
      </c>
      <c r="AB8" s="105" t="s">
        <v>639</v>
      </c>
      <c r="AC8" s="105" t="s">
        <v>75</v>
      </c>
      <c r="AD8" s="105" t="s">
        <v>639</v>
      </c>
      <c r="AE8" s="105"/>
      <c r="AF8" s="105"/>
      <c r="AG8" s="105"/>
      <c r="AH8" s="115" t="s">
        <v>621</v>
      </c>
      <c r="AI8" s="115" t="s">
        <v>690</v>
      </c>
      <c r="AJ8" s="115" t="s">
        <v>690</v>
      </c>
      <c r="AK8" s="105"/>
      <c r="AL8" s="115"/>
      <c r="AM8" s="115"/>
      <c r="AN8" s="115"/>
      <c r="AO8" s="115"/>
      <c r="AP8" s="311"/>
      <c r="AQ8" s="311"/>
      <c r="AR8" s="115">
        <f>Tabelle4[[#This Row],[Kreditrest per 1.1. aktuelles Jahr]]-Tabelle4[[#This Row],[Prognose 2018
(RADAR: Kosten 2018 S)]]</f>
        <v>0</v>
      </c>
      <c r="AS8" s="115"/>
      <c r="AT8" s="311"/>
      <c r="AU8" s="115"/>
      <c r="AV8" s="311"/>
      <c r="AW8" s="115"/>
      <c r="AX8" s="311"/>
      <c r="AY8" s="115"/>
      <c r="AZ8" s="311"/>
      <c r="BA8" s="115"/>
      <c r="BB8" s="311"/>
      <c r="BC8" s="115"/>
      <c r="BD8" s="311"/>
      <c r="BE8" s="115"/>
      <c r="BF8" s="311"/>
      <c r="BG8" s="115"/>
      <c r="BH8" s="311"/>
      <c r="BI8" s="115"/>
      <c r="BJ8" s="115"/>
      <c r="BK8" s="264"/>
      <c r="BL8" s="105"/>
      <c r="BM8" s="106"/>
      <c r="BN8" s="106"/>
      <c r="BO8" s="106"/>
      <c r="BP8" s="106">
        <v>8</v>
      </c>
      <c r="BQ8" s="106"/>
      <c r="BR8" s="106"/>
      <c r="BS8" s="106"/>
      <c r="BT8" s="108">
        <f>SUM(Tabelle4[[#This Row],[Projektverantwortung
(Lenkungsausschuss) ]:[Kommunikation ]])</f>
        <v>8</v>
      </c>
      <c r="BU8" s="105"/>
      <c r="BV8" s="106"/>
      <c r="BW8" s="106"/>
      <c r="BX8" s="106"/>
      <c r="BY8" s="106"/>
      <c r="BZ8" s="106"/>
      <c r="CA8" s="106"/>
      <c r="CB8" s="106"/>
      <c r="CC8" s="108">
        <f>SUM(Tabelle4[[#This Row],[Projektverantwortung
(Lenkungsausschuss)   ]:[Kommunikation   ]])</f>
        <v>0</v>
      </c>
      <c r="CD8" s="105"/>
      <c r="CE8" s="106"/>
      <c r="CF8" s="106"/>
      <c r="CG8" s="106"/>
      <c r="CH8" s="106"/>
      <c r="CI8" s="106"/>
      <c r="CJ8" s="106"/>
      <c r="CK8" s="106"/>
      <c r="CL8" s="108">
        <f>SUM(Tabelle4[[#This Row],[Projektverantwortung
(Lenkungsausschuss).]:[Kommunikation    ]])</f>
        <v>0</v>
      </c>
      <c r="CM8" s="105"/>
      <c r="CN8" s="106"/>
      <c r="CO8" s="106"/>
      <c r="CP8" s="106"/>
      <c r="CQ8" s="106"/>
      <c r="CR8" s="106"/>
      <c r="CS8" s="106"/>
      <c r="CT8" s="106"/>
      <c r="CU8" s="108">
        <f>SUM(Tabelle4[[#This Row],[Projektverantwortung
(Lenkungsausschuss)    ]:[Kommunikation     ]])</f>
        <v>0</v>
      </c>
      <c r="CV8" s="107">
        <f>SUM(Tabelle4[[#This Row],[Total Aufwand
1. Quartal 2018]],Tabelle4[[#This Row],[Total Aufwand
2. Quartal 2018]],Tabelle4[[#This Row],[Total Aufwand
3. Quartal 2018]],Tabelle4[[#This Row],[Total Aufwand
4. Quartal 2018]])</f>
        <v>8</v>
      </c>
      <c r="CW8" s="105"/>
      <c r="CX8" s="105"/>
      <c r="CY8" s="105"/>
      <c r="CZ8" s="105"/>
      <c r="DA8" s="105"/>
      <c r="DB8" s="105"/>
      <c r="DC8" s="105"/>
      <c r="DD8" s="105"/>
      <c r="DE8" s="107">
        <f>SUM(Tabelle4[[#This Row],[Aufwand ]],Tabelle4[[#This Row],[Aufwand 2]],Tabelle4[[#This Row],[Aufwand 3]],Tabelle4[[#This Row],[Aufwand 4]])</f>
        <v>0</v>
      </c>
      <c r="DF8" s="105"/>
      <c r="DG8" s="105"/>
      <c r="DH8" s="105"/>
      <c r="DI8" s="105" t="s">
        <v>75</v>
      </c>
      <c r="DJ8" s="105"/>
      <c r="DK8" s="105" t="s">
        <v>75</v>
      </c>
      <c r="DL8" s="105"/>
      <c r="DM8" s="105"/>
      <c r="DN8" s="107">
        <f>SUM(Tabelle4[[#This Row],[Aufwand  ]],Tabelle4[[#This Row],[Aufwand  2]],Tabelle4[[#This Row],[Aufwand  3]],Tabelle4[[#This Row],[Aufwand  4]])</f>
        <v>0</v>
      </c>
      <c r="DO8" s="105"/>
      <c r="DP8" s="105" t="s">
        <v>75</v>
      </c>
      <c r="DQ8" s="105"/>
      <c r="DR8" s="105" t="s">
        <v>75</v>
      </c>
      <c r="DS8" s="105"/>
      <c r="DT8" s="105" t="s">
        <v>75</v>
      </c>
      <c r="DU8" s="105"/>
      <c r="DV8" s="105" t="s">
        <v>75</v>
      </c>
      <c r="DW8" s="107">
        <f>SUM(Tabelle4[[#This Row],[Aufwand   ]],Tabelle4[[#This Row],[Aufwand   2]],Tabelle4[[#This Row],[Aufwand   3]],Tabelle4[[#This Row],[Aufwand   4]])</f>
        <v>0</v>
      </c>
      <c r="DX8" s="105"/>
      <c r="DY8" s="105" t="s">
        <v>75</v>
      </c>
      <c r="DZ8" s="105"/>
      <c r="EA8" s="105"/>
      <c r="EB8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8</v>
      </c>
      <c r="EC8" s="122">
        <f>Tabelle4[[#This Row],[Gesamaufwand]]/2000</f>
        <v>4.0000000000000001E-3</v>
      </c>
      <c r="EM8" s="127"/>
    </row>
    <row r="9" spans="1:143" s="59" customFormat="1">
      <c r="A9" s="255" t="s">
        <v>272</v>
      </c>
      <c r="B9" s="251" t="s">
        <v>105</v>
      </c>
      <c r="C9" s="254" t="s">
        <v>67</v>
      </c>
      <c r="D9" s="251" t="s">
        <v>780</v>
      </c>
      <c r="E9" s="251" t="s">
        <v>779</v>
      </c>
      <c r="F9" s="253">
        <v>4</v>
      </c>
      <c r="G9" s="253">
        <v>2</v>
      </c>
      <c r="H9" s="253"/>
      <c r="I9" s="254" t="s">
        <v>95</v>
      </c>
      <c r="J9" s="254"/>
      <c r="K9" s="105"/>
      <c r="L9" s="105"/>
      <c r="M9" s="48"/>
      <c r="N9" s="105" t="s">
        <v>3</v>
      </c>
      <c r="O9" s="255" t="s">
        <v>273</v>
      </c>
      <c r="P9" s="261">
        <v>1</v>
      </c>
      <c r="Q9" s="261">
        <v>0</v>
      </c>
      <c r="R9" s="261">
        <v>0</v>
      </c>
      <c r="S9" s="262" t="s">
        <v>138</v>
      </c>
      <c r="T9" s="263" t="s">
        <v>659</v>
      </c>
      <c r="U9" s="105"/>
      <c r="V9" s="259" t="s">
        <v>12</v>
      </c>
      <c r="W9" s="105" t="s">
        <v>7</v>
      </c>
      <c r="X9" s="105" t="s">
        <v>75</v>
      </c>
      <c r="Y9" s="105" t="s">
        <v>690</v>
      </c>
      <c r="Z9" s="105"/>
      <c r="AA9" s="105"/>
      <c r="AB9" s="105"/>
      <c r="AC9" s="105" t="s">
        <v>634</v>
      </c>
      <c r="AD9" s="105" t="s">
        <v>639</v>
      </c>
      <c r="AE9" s="105"/>
      <c r="AF9" s="105"/>
      <c r="AG9" s="105"/>
      <c r="AH9" s="115" t="s">
        <v>75</v>
      </c>
      <c r="AI9" s="115" t="s">
        <v>75</v>
      </c>
      <c r="AJ9" s="115" t="s">
        <v>620</v>
      </c>
      <c r="AK9" s="105" t="s">
        <v>829</v>
      </c>
      <c r="AL9" s="115">
        <v>250000</v>
      </c>
      <c r="AM9" s="115"/>
      <c r="AN9" s="115"/>
      <c r="AO9" s="260">
        <f>Tabelle4[[#This Row],[Kredit-  / Budgetsumme
(RADAR: Gesamtkosten S)]]-Tabelle4[[#This Row],[Netto-Ausgaben Vorjahre ]]</f>
        <v>250000</v>
      </c>
      <c r="AP9" s="310"/>
      <c r="AQ9" s="311"/>
      <c r="AR9" s="115">
        <f>Tabelle4[[#This Row],[Kreditrest per 1.1. aktuelles Jahr]]-Tabelle4[[#This Row],[Prognose 2018
(RADAR: Kosten 2018 S)]]</f>
        <v>250000</v>
      </c>
      <c r="AS9" s="115"/>
      <c r="AT9" s="311"/>
      <c r="AU9" s="115"/>
      <c r="AV9" s="311"/>
      <c r="AW9" s="115"/>
      <c r="AX9" s="311"/>
      <c r="AY9" s="115"/>
      <c r="AZ9" s="311"/>
      <c r="BA9" s="115"/>
      <c r="BB9" s="311"/>
      <c r="BC9" s="115"/>
      <c r="BD9" s="311"/>
      <c r="BE9" s="115"/>
      <c r="BF9" s="311"/>
      <c r="BG9" s="115"/>
      <c r="BH9" s="311"/>
      <c r="BI9" s="115"/>
      <c r="BJ9" s="115"/>
      <c r="BK9" s="264"/>
      <c r="BL9" s="105"/>
      <c r="BM9" s="106">
        <v>0</v>
      </c>
      <c r="BN9" s="106">
        <v>0</v>
      </c>
      <c r="BO9" s="106">
        <v>0</v>
      </c>
      <c r="BP9" s="106">
        <v>0</v>
      </c>
      <c r="BQ9" s="106">
        <v>0</v>
      </c>
      <c r="BR9" s="106">
        <v>0</v>
      </c>
      <c r="BS9" s="106">
        <v>0</v>
      </c>
      <c r="BT9" s="108">
        <f>SUM(Tabelle4[[#This Row],[Projektverantwortung
(Lenkungsausschuss) ]:[Kommunikation ]])</f>
        <v>0</v>
      </c>
      <c r="BU9" s="105"/>
      <c r="BV9" s="106">
        <v>0</v>
      </c>
      <c r="BW9" s="106"/>
      <c r="BX9" s="106"/>
      <c r="BY9" s="106"/>
      <c r="BZ9" s="106"/>
      <c r="CA9" s="106"/>
      <c r="CB9" s="106"/>
      <c r="CC9" s="108">
        <f>SUM(Tabelle4[[#This Row],[Projektverantwortung
(Lenkungsausschuss)   ]:[Kommunikation   ]])</f>
        <v>0</v>
      </c>
      <c r="CD9" s="105"/>
      <c r="CE9" s="106">
        <v>0</v>
      </c>
      <c r="CF9" s="106"/>
      <c r="CG9" s="106"/>
      <c r="CH9" s="106"/>
      <c r="CI9" s="106"/>
      <c r="CJ9" s="106"/>
      <c r="CK9" s="106"/>
      <c r="CL9" s="108">
        <f>SUM(Tabelle4[[#This Row],[Projektverantwortung
(Lenkungsausschuss).]:[Kommunikation    ]])</f>
        <v>0</v>
      </c>
      <c r="CM9" s="105"/>
      <c r="CN9" s="106">
        <v>0</v>
      </c>
      <c r="CO9" s="106"/>
      <c r="CP9" s="106"/>
      <c r="CQ9" s="106"/>
      <c r="CR9" s="106"/>
      <c r="CS9" s="106"/>
      <c r="CT9" s="106"/>
      <c r="CU9" s="108">
        <f>SUM(Tabelle4[[#This Row],[Projektverantwortung
(Lenkungsausschuss)    ]:[Kommunikation     ]])</f>
        <v>0</v>
      </c>
      <c r="CV9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9" s="105"/>
      <c r="CX9" s="105"/>
      <c r="CY9" s="105"/>
      <c r="CZ9" s="105"/>
      <c r="DA9" s="105"/>
      <c r="DB9" s="105"/>
      <c r="DC9" s="105"/>
      <c r="DD9" s="105"/>
      <c r="DE9" s="107">
        <f>SUM(Tabelle4[[#This Row],[Aufwand ]],Tabelle4[[#This Row],[Aufwand 2]],Tabelle4[[#This Row],[Aufwand 3]],Tabelle4[[#This Row],[Aufwand 4]])</f>
        <v>0</v>
      </c>
      <c r="DF9" s="105"/>
      <c r="DG9" s="105"/>
      <c r="DH9" s="105"/>
      <c r="DI9" s="105"/>
      <c r="DJ9" s="105"/>
      <c r="DK9" s="105"/>
      <c r="DL9" s="105"/>
      <c r="DM9" s="105"/>
      <c r="DN9" s="107">
        <f>SUM(Tabelle4[[#This Row],[Aufwand  ]],Tabelle4[[#This Row],[Aufwand  2]],Tabelle4[[#This Row],[Aufwand  3]],Tabelle4[[#This Row],[Aufwand  4]])</f>
        <v>0</v>
      </c>
      <c r="DO9" s="105"/>
      <c r="DP9" s="105"/>
      <c r="DQ9" s="105"/>
      <c r="DR9" s="105"/>
      <c r="DS9" s="105"/>
      <c r="DT9" s="105"/>
      <c r="DU9" s="105"/>
      <c r="DV9" s="105"/>
      <c r="DW9" s="107">
        <f>SUM(Tabelle4[[#This Row],[Aufwand   ]],Tabelle4[[#This Row],[Aufwand   2]],Tabelle4[[#This Row],[Aufwand   3]],Tabelle4[[#This Row],[Aufwand   4]])</f>
        <v>0</v>
      </c>
      <c r="DX9" s="105"/>
      <c r="DY9" s="105"/>
      <c r="DZ9" s="105"/>
      <c r="EA9" s="105"/>
      <c r="EB9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9" s="122">
        <f>Tabelle4[[#This Row],[Gesamaufwand]]/2000</f>
        <v>0</v>
      </c>
      <c r="ED9" s="47"/>
      <c r="EE9" s="47"/>
      <c r="EF9" s="47"/>
      <c r="EG9" s="47"/>
      <c r="EH9" s="47"/>
      <c r="EI9" s="48"/>
      <c r="EJ9" s="48"/>
      <c r="EK9" s="48"/>
      <c r="EL9" s="48"/>
      <c r="EM9" s="48"/>
    </row>
    <row r="10" spans="1:143" s="59" customFormat="1">
      <c r="A10" s="265" t="s">
        <v>337</v>
      </c>
      <c r="B10" s="251" t="s">
        <v>106</v>
      </c>
      <c r="C10" s="254" t="s">
        <v>67</v>
      </c>
      <c r="D10" s="251" t="s">
        <v>782</v>
      </c>
      <c r="E10" s="251" t="s">
        <v>778</v>
      </c>
      <c r="F10" s="253" t="s">
        <v>690</v>
      </c>
      <c r="G10" s="253" t="s">
        <v>690</v>
      </c>
      <c r="H10" s="253"/>
      <c r="I10" s="254" t="s">
        <v>96</v>
      </c>
      <c r="J10" s="254"/>
      <c r="K10" s="105"/>
      <c r="L10" s="105"/>
      <c r="M10" s="48"/>
      <c r="N10" s="105"/>
      <c r="O10" s="255" t="s">
        <v>338</v>
      </c>
      <c r="P10" s="261">
        <v>1</v>
      </c>
      <c r="Q10" s="261">
        <v>0</v>
      </c>
      <c r="R10" s="261">
        <v>0</v>
      </c>
      <c r="S10" s="262" t="s">
        <v>123</v>
      </c>
      <c r="T10" s="263" t="s">
        <v>106</v>
      </c>
      <c r="U10" s="105"/>
      <c r="V10" s="259" t="s">
        <v>12</v>
      </c>
      <c r="W10" s="105" t="s">
        <v>6</v>
      </c>
      <c r="X10" s="105" t="s">
        <v>86</v>
      </c>
      <c r="Y10" s="105" t="s">
        <v>690</v>
      </c>
      <c r="Z10" s="105" t="s">
        <v>83</v>
      </c>
      <c r="AA10" s="105" t="s">
        <v>83</v>
      </c>
      <c r="AB10" s="105" t="s">
        <v>690</v>
      </c>
      <c r="AC10" s="105" t="s">
        <v>690</v>
      </c>
      <c r="AD10" s="105" t="s">
        <v>690</v>
      </c>
      <c r="AE10" s="105"/>
      <c r="AF10" s="105"/>
      <c r="AG10" s="105"/>
      <c r="AH10" s="115" t="s">
        <v>21</v>
      </c>
      <c r="AI10" s="115" t="s">
        <v>73</v>
      </c>
      <c r="AJ10" s="115" t="s">
        <v>74</v>
      </c>
      <c r="AK10" s="105" t="s">
        <v>815</v>
      </c>
      <c r="AL10" s="115">
        <v>120000</v>
      </c>
      <c r="AM10" s="115"/>
      <c r="AN10" s="115"/>
      <c r="AO10" s="260">
        <f>Tabelle4[[#This Row],[Kredit-  / Budgetsumme
(RADAR: Gesamtkosten S)]]-Tabelle4[[#This Row],[Netto-Ausgaben Vorjahre ]]</f>
        <v>120000</v>
      </c>
      <c r="AP10" s="310"/>
      <c r="AQ10" s="311"/>
      <c r="AR10" s="115">
        <f>Tabelle4[[#This Row],[Kreditrest per 1.1. aktuelles Jahr]]-Tabelle4[[#This Row],[Prognose 2018
(RADAR: Kosten 2018 S)]]</f>
        <v>120000</v>
      </c>
      <c r="AS10" s="115"/>
      <c r="AT10" s="311"/>
      <c r="AU10" s="115"/>
      <c r="AV10" s="311"/>
      <c r="AW10" s="115"/>
      <c r="AX10" s="311"/>
      <c r="AY10" s="115"/>
      <c r="AZ10" s="311"/>
      <c r="BA10" s="115"/>
      <c r="BB10" s="311"/>
      <c r="BC10" s="115"/>
      <c r="BD10" s="311"/>
      <c r="BE10" s="115"/>
      <c r="BF10" s="311"/>
      <c r="BG10" s="115"/>
      <c r="BH10" s="311"/>
      <c r="BI10" s="115"/>
      <c r="BJ10" s="115"/>
      <c r="BK10" s="264"/>
      <c r="BL10" s="105"/>
      <c r="BM10" s="106"/>
      <c r="BN10" s="106"/>
      <c r="BO10" s="106"/>
      <c r="BP10" s="106"/>
      <c r="BQ10" s="106"/>
      <c r="BR10" s="106"/>
      <c r="BS10" s="106"/>
      <c r="BT10" s="108">
        <f>SUM(Tabelle4[[#This Row],[Projektverantwortung
(Lenkungsausschuss) ]:[Kommunikation ]])</f>
        <v>0</v>
      </c>
      <c r="BU10" s="105"/>
      <c r="BV10" s="106"/>
      <c r="BW10" s="106"/>
      <c r="BX10" s="106"/>
      <c r="BY10" s="106"/>
      <c r="BZ10" s="106"/>
      <c r="CA10" s="106"/>
      <c r="CB10" s="106"/>
      <c r="CC10" s="108">
        <f>SUM(Tabelle4[[#This Row],[Projektverantwortung
(Lenkungsausschuss)   ]:[Kommunikation   ]])</f>
        <v>0</v>
      </c>
      <c r="CD10" s="105"/>
      <c r="CE10" s="106"/>
      <c r="CF10" s="106"/>
      <c r="CG10" s="106"/>
      <c r="CH10" s="106"/>
      <c r="CI10" s="106"/>
      <c r="CJ10" s="106"/>
      <c r="CK10" s="106"/>
      <c r="CL10" s="108">
        <f>SUM(Tabelle4[[#This Row],[Projektverantwortung
(Lenkungsausschuss).]:[Kommunikation    ]])</f>
        <v>0</v>
      </c>
      <c r="CM10" s="105"/>
      <c r="CN10" s="106"/>
      <c r="CO10" s="106"/>
      <c r="CP10" s="106"/>
      <c r="CQ10" s="106"/>
      <c r="CR10" s="106"/>
      <c r="CS10" s="106"/>
      <c r="CT10" s="106"/>
      <c r="CU10" s="108">
        <f>SUM(Tabelle4[[#This Row],[Projektverantwortung
(Lenkungsausschuss)    ]:[Kommunikation     ]])</f>
        <v>0</v>
      </c>
      <c r="CV10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10" s="105"/>
      <c r="CX10" s="105"/>
      <c r="CY10" s="105"/>
      <c r="CZ10" s="105"/>
      <c r="DA10" s="105"/>
      <c r="DB10" s="105"/>
      <c r="DC10" s="105"/>
      <c r="DD10" s="105"/>
      <c r="DE10" s="107">
        <f>SUM(Tabelle4[[#This Row],[Aufwand ]],Tabelle4[[#This Row],[Aufwand 2]],Tabelle4[[#This Row],[Aufwand 3]],Tabelle4[[#This Row],[Aufwand 4]])</f>
        <v>0</v>
      </c>
      <c r="DF10" s="105"/>
      <c r="DG10" s="105"/>
      <c r="DH10" s="105"/>
      <c r="DI10" s="105"/>
      <c r="DJ10" s="105"/>
      <c r="DK10" s="105"/>
      <c r="DL10" s="105"/>
      <c r="DM10" s="105"/>
      <c r="DN10" s="107">
        <f>SUM(Tabelle4[[#This Row],[Aufwand  ]],Tabelle4[[#This Row],[Aufwand  2]],Tabelle4[[#This Row],[Aufwand  3]],Tabelle4[[#This Row],[Aufwand  4]])</f>
        <v>0</v>
      </c>
      <c r="DO10" s="105"/>
      <c r="DP10" s="105"/>
      <c r="DQ10" s="105"/>
      <c r="DR10" s="105"/>
      <c r="DS10" s="105"/>
      <c r="DT10" s="105"/>
      <c r="DU10" s="105"/>
      <c r="DV10" s="105"/>
      <c r="DW10" s="107">
        <f>SUM(Tabelle4[[#This Row],[Aufwand   ]],Tabelle4[[#This Row],[Aufwand   2]],Tabelle4[[#This Row],[Aufwand   3]],Tabelle4[[#This Row],[Aufwand   4]])</f>
        <v>0</v>
      </c>
      <c r="DX10" s="105"/>
      <c r="DY10" s="105"/>
      <c r="DZ10" s="105"/>
      <c r="EA10" s="105"/>
      <c r="EB10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10" s="122">
        <f>Tabelle4[[#This Row],[Gesamaufwand]]/2000</f>
        <v>0</v>
      </c>
      <c r="ED10" s="47"/>
      <c r="EE10" s="47"/>
      <c r="EF10" s="47"/>
      <c r="EG10" s="47"/>
      <c r="EH10" s="47"/>
      <c r="EI10" s="48"/>
      <c r="EJ10" s="48"/>
      <c r="EK10" s="48"/>
      <c r="EL10" s="48"/>
      <c r="EM10" s="48"/>
    </row>
    <row r="11" spans="1:143" s="59" customFormat="1">
      <c r="A11" s="248" t="s">
        <v>835</v>
      </c>
      <c r="B11" s="251" t="s">
        <v>105</v>
      </c>
      <c r="C11" s="254" t="s">
        <v>66</v>
      </c>
      <c r="D11" s="249"/>
      <c r="E11" s="249" t="s">
        <v>115</v>
      </c>
      <c r="F11" s="252"/>
      <c r="G11" s="252"/>
      <c r="H11" s="252"/>
      <c r="I11" s="250"/>
      <c r="J11" s="250"/>
      <c r="K11" s="110"/>
      <c r="L11" s="110"/>
      <c r="M11" s="77"/>
      <c r="N11" s="110"/>
      <c r="O11" s="248"/>
      <c r="P11" s="256"/>
      <c r="Q11" s="256"/>
      <c r="R11" s="256"/>
      <c r="S11" s="257"/>
      <c r="T11" s="258" t="s">
        <v>658</v>
      </c>
      <c r="U11" s="110"/>
      <c r="V11" s="266"/>
      <c r="W11" s="105" t="s">
        <v>6</v>
      </c>
      <c r="X11" s="110" t="s">
        <v>86</v>
      </c>
      <c r="Y11" s="105" t="s">
        <v>690</v>
      </c>
      <c r="Z11" s="110"/>
      <c r="AA11" s="110" t="s">
        <v>13</v>
      </c>
      <c r="AB11" s="105" t="s">
        <v>13</v>
      </c>
      <c r="AC11" s="105" t="s">
        <v>634</v>
      </c>
      <c r="AD11" s="105" t="s">
        <v>12</v>
      </c>
      <c r="AE11" s="110"/>
      <c r="AF11" s="110"/>
      <c r="AG11" s="110"/>
      <c r="AH11" s="260" t="s">
        <v>802</v>
      </c>
      <c r="AI11" s="260"/>
      <c r="AJ11" s="260" t="s">
        <v>75</v>
      </c>
      <c r="AK11" s="110" t="s">
        <v>836</v>
      </c>
      <c r="AL11" s="115"/>
      <c r="AM11" s="260"/>
      <c r="AN11" s="260"/>
      <c r="AO11" s="260">
        <f>Tabelle4[[#This Row],[Kredit-  / Budgetsumme
(RADAR: Gesamtkosten S)]]-Tabelle4[[#This Row],[Netto-Ausgaben Vorjahre ]]</f>
        <v>0</v>
      </c>
      <c r="AP11" s="310"/>
      <c r="AQ11" s="310"/>
      <c r="AR11" s="260">
        <f>Tabelle4[[#This Row],[Kreditrest per 1.1. aktuelles Jahr]]-Tabelle4[[#This Row],[Prognose 2018
(RADAR: Kosten 2018 S)]]</f>
        <v>0</v>
      </c>
      <c r="AS11" s="260"/>
      <c r="AT11" s="310"/>
      <c r="AU11" s="260"/>
      <c r="AV11" s="310"/>
      <c r="AW11" s="260"/>
      <c r="AX11" s="310"/>
      <c r="AY11" s="260"/>
      <c r="AZ11" s="310"/>
      <c r="BA11" s="260"/>
      <c r="BB11" s="310"/>
      <c r="BC11" s="260"/>
      <c r="BD11" s="310"/>
      <c r="BE11" s="260"/>
      <c r="BF11" s="310"/>
      <c r="BG11" s="260"/>
      <c r="BH11" s="310"/>
      <c r="BI11" s="260"/>
      <c r="BJ11" s="260"/>
      <c r="BK11" s="260"/>
      <c r="BL11" s="105"/>
      <c r="BM11" s="111">
        <v>20</v>
      </c>
      <c r="BN11" s="111"/>
      <c r="BO11" s="111">
        <v>20</v>
      </c>
      <c r="BP11" s="111"/>
      <c r="BQ11" s="111"/>
      <c r="BR11" s="111"/>
      <c r="BS11" s="111"/>
      <c r="BT11" s="113">
        <f>SUM(Tabelle4[[#This Row],[Projektverantwortung
(Lenkungsausschuss) ]:[Kommunikation ]])</f>
        <v>40</v>
      </c>
      <c r="BU11" s="113"/>
      <c r="BV11" s="106"/>
      <c r="BW11" s="106"/>
      <c r="BX11" s="106">
        <v>20</v>
      </c>
      <c r="BY11" s="106"/>
      <c r="BZ11" s="106">
        <v>20</v>
      </c>
      <c r="CA11" s="106"/>
      <c r="CB11" s="106"/>
      <c r="CC11" s="113">
        <f>SUM(Tabelle4[[#This Row],[Projektverantwortung
(Lenkungsausschuss)   ]:[Kommunikation   ]])</f>
        <v>40</v>
      </c>
      <c r="CD11" s="113"/>
      <c r="CE11" s="114"/>
      <c r="CF11" s="114"/>
      <c r="CG11" s="114"/>
      <c r="CH11" s="114"/>
      <c r="CI11" s="114">
        <v>20</v>
      </c>
      <c r="CJ11" s="114">
        <v>20</v>
      </c>
      <c r="CK11" s="114"/>
      <c r="CL11" s="113">
        <f>SUM(Tabelle4[[#This Row],[Projektverantwortung
(Lenkungsausschuss).]:[Kommunikation    ]])</f>
        <v>40</v>
      </c>
      <c r="CM11" s="113"/>
      <c r="CN11" s="114"/>
      <c r="CO11" s="114"/>
      <c r="CP11" s="114"/>
      <c r="CQ11" s="114"/>
      <c r="CR11" s="114">
        <v>40</v>
      </c>
      <c r="CS11" s="114"/>
      <c r="CT11" s="114"/>
      <c r="CU11" s="113">
        <f>SUM(Tabelle4[[#This Row],[Projektverantwortung
(Lenkungsausschuss)    ]:[Kommunikation     ]])</f>
        <v>40</v>
      </c>
      <c r="CV11" s="112">
        <f>SUM(Tabelle4[[#This Row],[Total Aufwand
1. Quartal 2018]],Tabelle4[[#This Row],[Total Aufwand
2. Quartal 2018]],Tabelle4[[#This Row],[Total Aufwand
3. Quartal 2018]],Tabelle4[[#This Row],[Total Aufwand
4. Quartal 2018]])</f>
        <v>160</v>
      </c>
      <c r="CW11" s="105"/>
      <c r="CX11" s="105"/>
      <c r="CY11" s="105"/>
      <c r="CZ11" s="105"/>
      <c r="DA11" s="105"/>
      <c r="DB11" s="105"/>
      <c r="DC11" s="105"/>
      <c r="DD11" s="105"/>
      <c r="DE11" s="112">
        <f>SUM(Tabelle4[[#This Row],[Aufwand ]],Tabelle4[[#This Row],[Aufwand 2]],Tabelle4[[#This Row],[Aufwand 3]],Tabelle4[[#This Row],[Aufwand 4]])</f>
        <v>0</v>
      </c>
      <c r="DF11" s="142"/>
      <c r="DG11" s="110"/>
      <c r="DH11" s="110"/>
      <c r="DI11" s="142"/>
      <c r="DJ11" s="110"/>
      <c r="DK11" s="142"/>
      <c r="DL11" s="110"/>
      <c r="DM11" s="142"/>
      <c r="DN11" s="112">
        <f>SUM(Tabelle4[[#This Row],[Aufwand  ]],Tabelle4[[#This Row],[Aufwand  2]],Tabelle4[[#This Row],[Aufwand  3]],Tabelle4[[#This Row],[Aufwand  4]])</f>
        <v>0</v>
      </c>
      <c r="DO11" s="142"/>
      <c r="DP11" s="110"/>
      <c r="DQ11" s="110"/>
      <c r="DR11" s="142"/>
      <c r="DS11" s="110"/>
      <c r="DT11" s="142"/>
      <c r="DU11" s="110"/>
      <c r="DV11" s="142"/>
      <c r="DW11" s="107">
        <f>SUM(Tabelle4[[#This Row],[Aufwand   ]],Tabelle4[[#This Row],[Aufwand   2]],Tabelle4[[#This Row],[Aufwand   3]],Tabelle4[[#This Row],[Aufwand   4]])</f>
        <v>0</v>
      </c>
      <c r="DX11" s="142"/>
      <c r="DY11" s="143"/>
      <c r="DZ11" s="105"/>
      <c r="EA11" s="105"/>
      <c r="EB11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160</v>
      </c>
      <c r="EC11" s="122">
        <f>Tabelle4[[#This Row],[Gesamaufwand]]/2000</f>
        <v>0.08</v>
      </c>
      <c r="ED11" s="47"/>
      <c r="EE11" s="47"/>
      <c r="EF11" s="47"/>
      <c r="EG11" s="47"/>
      <c r="EH11" s="47"/>
      <c r="EI11" s="48"/>
      <c r="EJ11" s="48"/>
      <c r="EK11" s="48"/>
      <c r="EL11" s="48"/>
      <c r="EM11" s="48"/>
    </row>
    <row r="12" spans="1:143" s="59" customFormat="1">
      <c r="A12" s="248" t="s">
        <v>834</v>
      </c>
      <c r="B12" s="251" t="s">
        <v>105</v>
      </c>
      <c r="C12" s="254" t="s">
        <v>66</v>
      </c>
      <c r="D12" s="249"/>
      <c r="E12" s="249" t="s">
        <v>115</v>
      </c>
      <c r="F12" s="252"/>
      <c r="G12" s="252"/>
      <c r="H12" s="252"/>
      <c r="I12" s="250"/>
      <c r="J12" s="250"/>
      <c r="K12" s="110"/>
      <c r="L12" s="110"/>
      <c r="M12" s="77"/>
      <c r="N12" s="110"/>
      <c r="O12" s="248"/>
      <c r="P12" s="256"/>
      <c r="Q12" s="256"/>
      <c r="R12" s="256"/>
      <c r="S12" s="257"/>
      <c r="T12" s="258" t="s">
        <v>670</v>
      </c>
      <c r="U12" s="110"/>
      <c r="V12" s="266"/>
      <c r="W12" s="105" t="s">
        <v>6</v>
      </c>
      <c r="X12" s="110" t="s">
        <v>86</v>
      </c>
      <c r="Y12" s="105" t="s">
        <v>690</v>
      </c>
      <c r="Z12" s="110" t="s">
        <v>690</v>
      </c>
      <c r="AA12" s="110" t="s">
        <v>13</v>
      </c>
      <c r="AB12" s="105" t="s">
        <v>75</v>
      </c>
      <c r="AC12" s="105" t="s">
        <v>75</v>
      </c>
      <c r="AD12" s="105" t="s">
        <v>12</v>
      </c>
      <c r="AE12" s="110"/>
      <c r="AF12" s="110"/>
      <c r="AG12" s="110"/>
      <c r="AH12" s="260" t="s">
        <v>1093</v>
      </c>
      <c r="AI12" s="260"/>
      <c r="AJ12" s="115"/>
      <c r="AK12" s="110"/>
      <c r="AL12" s="260"/>
      <c r="AM12" s="260"/>
      <c r="AN12" s="260"/>
      <c r="AO12" s="260"/>
      <c r="AP12" s="310"/>
      <c r="AQ12" s="310">
        <v>10000</v>
      </c>
      <c r="AR12" s="115"/>
      <c r="AS12" s="260"/>
      <c r="AT12" s="310"/>
      <c r="AU12" s="260"/>
      <c r="AV12" s="310"/>
      <c r="AW12" s="260"/>
      <c r="AX12" s="310"/>
      <c r="AY12" s="260"/>
      <c r="AZ12" s="310"/>
      <c r="BA12" s="260"/>
      <c r="BB12" s="310"/>
      <c r="BC12" s="260"/>
      <c r="BD12" s="310"/>
      <c r="BE12" s="260"/>
      <c r="BF12" s="310"/>
      <c r="BG12" s="260"/>
      <c r="BH12" s="310"/>
      <c r="BI12" s="260"/>
      <c r="BJ12" s="260"/>
      <c r="BK12" s="260"/>
      <c r="BL12" s="105"/>
      <c r="BM12" s="111">
        <v>8</v>
      </c>
      <c r="BN12" s="111">
        <v>0</v>
      </c>
      <c r="BO12" s="111">
        <v>0</v>
      </c>
      <c r="BP12" s="111">
        <v>20</v>
      </c>
      <c r="BQ12" s="111">
        <v>0</v>
      </c>
      <c r="BR12" s="111">
        <v>0</v>
      </c>
      <c r="BS12" s="111">
        <v>0</v>
      </c>
      <c r="BT12" s="113">
        <f>SUM(Tabelle4[[#This Row],[Projektverantwortung
(Lenkungsausschuss) ]:[Kommunikation ]])</f>
        <v>28</v>
      </c>
      <c r="BU12" s="113"/>
      <c r="BV12" s="106"/>
      <c r="BW12" s="106"/>
      <c r="BX12" s="106"/>
      <c r="BY12" s="106"/>
      <c r="BZ12" s="106"/>
      <c r="CA12" s="106"/>
      <c r="CB12" s="106"/>
      <c r="CC12" s="113">
        <f>SUM(Tabelle4[[#This Row],[Projektverantwortung
(Lenkungsausschuss)   ]:[Kommunikation   ]])</f>
        <v>0</v>
      </c>
      <c r="CD12" s="113"/>
      <c r="CE12" s="114"/>
      <c r="CF12" s="114"/>
      <c r="CG12" s="114"/>
      <c r="CH12" s="114"/>
      <c r="CI12" s="114"/>
      <c r="CJ12" s="114"/>
      <c r="CK12" s="114"/>
      <c r="CL12" s="113">
        <f>SUM(Tabelle4[[#This Row],[Projektverantwortung
(Lenkungsausschuss).]:[Kommunikation    ]])</f>
        <v>0</v>
      </c>
      <c r="CM12" s="113"/>
      <c r="CN12" s="114"/>
      <c r="CO12" s="114"/>
      <c r="CP12" s="114"/>
      <c r="CQ12" s="114"/>
      <c r="CR12" s="114"/>
      <c r="CS12" s="114"/>
      <c r="CT12" s="114"/>
      <c r="CU12" s="113">
        <f>SUM(Tabelle4[[#This Row],[Projektverantwortung
(Lenkungsausschuss)    ]:[Kommunikation     ]])</f>
        <v>0</v>
      </c>
      <c r="CV12" s="112">
        <f>SUM(Tabelle4[[#This Row],[Total Aufwand
1. Quartal 2018]],Tabelle4[[#This Row],[Total Aufwand
2. Quartal 2018]],Tabelle4[[#This Row],[Total Aufwand
3. Quartal 2018]],Tabelle4[[#This Row],[Total Aufwand
4. Quartal 2018]])</f>
        <v>28</v>
      </c>
      <c r="CW12" s="105"/>
      <c r="CX12" s="105"/>
      <c r="CY12" s="105"/>
      <c r="CZ12" s="105"/>
      <c r="DA12" s="105"/>
      <c r="DB12" s="105"/>
      <c r="DC12" s="105"/>
      <c r="DD12" s="105"/>
      <c r="DE12" s="112">
        <f>SUM(Tabelle4[[#This Row],[Aufwand ]],Tabelle4[[#This Row],[Aufwand 2]],Tabelle4[[#This Row],[Aufwand 3]],Tabelle4[[#This Row],[Aufwand 4]])</f>
        <v>0</v>
      </c>
      <c r="DF12" s="142"/>
      <c r="DG12" s="110"/>
      <c r="DH12" s="110"/>
      <c r="DI12" s="142"/>
      <c r="DJ12" s="110"/>
      <c r="DK12" s="142"/>
      <c r="DL12" s="110"/>
      <c r="DM12" s="142"/>
      <c r="DN12" s="112">
        <f>SUM(Tabelle4[[#This Row],[Aufwand  ]],Tabelle4[[#This Row],[Aufwand  2]],Tabelle4[[#This Row],[Aufwand  3]],Tabelle4[[#This Row],[Aufwand  4]])</f>
        <v>0</v>
      </c>
      <c r="DO12" s="142"/>
      <c r="DP12" s="110"/>
      <c r="DQ12" s="110"/>
      <c r="DR12" s="142"/>
      <c r="DS12" s="110"/>
      <c r="DT12" s="142"/>
      <c r="DU12" s="110"/>
      <c r="DV12" s="142"/>
      <c r="DW12" s="107">
        <f>SUM(Tabelle4[[#This Row],[Aufwand   ]],Tabelle4[[#This Row],[Aufwand   2]],Tabelle4[[#This Row],[Aufwand   3]],Tabelle4[[#This Row],[Aufwand   4]])</f>
        <v>0</v>
      </c>
      <c r="DX12" s="142"/>
      <c r="DY12" s="143"/>
      <c r="DZ12" s="105"/>
      <c r="EA12" s="105"/>
      <c r="EB12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28</v>
      </c>
      <c r="EC12" s="122">
        <f>Tabelle4[[#This Row],[Gesamaufwand]]/2000</f>
        <v>1.4E-2</v>
      </c>
      <c r="ED12" s="47"/>
      <c r="EE12" s="47"/>
      <c r="EF12" s="47"/>
      <c r="EG12" s="47"/>
      <c r="EH12" s="47"/>
      <c r="EI12" s="48"/>
      <c r="EJ12" s="48"/>
      <c r="EK12" s="48"/>
      <c r="EL12" s="48"/>
      <c r="EM12" s="48"/>
    </row>
    <row r="13" spans="1:143" s="59" customFormat="1">
      <c r="A13" s="255" t="s">
        <v>308</v>
      </c>
      <c r="B13" s="251" t="s">
        <v>105</v>
      </c>
      <c r="C13" s="254" t="s">
        <v>67</v>
      </c>
      <c r="D13" s="251" t="s">
        <v>914</v>
      </c>
      <c r="E13" s="251" t="s">
        <v>776</v>
      </c>
      <c r="F13" s="253">
        <v>1</v>
      </c>
      <c r="G13" s="253">
        <v>1</v>
      </c>
      <c r="H13" s="253" t="s">
        <v>1140</v>
      </c>
      <c r="I13" s="254" t="s">
        <v>24</v>
      </c>
      <c r="J13" s="254"/>
      <c r="K13" s="105"/>
      <c r="L13" s="105"/>
      <c r="M13" s="48"/>
      <c r="N13" s="105"/>
      <c r="O13" s="255" t="s">
        <v>309</v>
      </c>
      <c r="P13" s="261">
        <v>1</v>
      </c>
      <c r="Q13" s="261">
        <v>0</v>
      </c>
      <c r="R13" s="261">
        <v>0</v>
      </c>
      <c r="S13" s="262" t="s">
        <v>310</v>
      </c>
      <c r="T13" s="263" t="s">
        <v>662</v>
      </c>
      <c r="U13" s="105"/>
      <c r="V13" s="259" t="s">
        <v>12</v>
      </c>
      <c r="W13" s="105" t="s">
        <v>6</v>
      </c>
      <c r="X13" s="105" t="s">
        <v>86</v>
      </c>
      <c r="Y13" s="105" t="s">
        <v>690</v>
      </c>
      <c r="Z13" s="105" t="s">
        <v>81</v>
      </c>
      <c r="AA13" s="110" t="s">
        <v>639</v>
      </c>
      <c r="AB13" s="105" t="s">
        <v>639</v>
      </c>
      <c r="AC13" s="105" t="s">
        <v>639</v>
      </c>
      <c r="AD13" s="105" t="s">
        <v>12</v>
      </c>
      <c r="AE13" s="105"/>
      <c r="AF13" s="105"/>
      <c r="AG13" s="105"/>
      <c r="AH13" s="115" t="s">
        <v>809</v>
      </c>
      <c r="AI13" s="115" t="s">
        <v>73</v>
      </c>
      <c r="AJ13" s="115" t="s">
        <v>74</v>
      </c>
      <c r="AK13" s="105" t="s">
        <v>1106</v>
      </c>
      <c r="AL13" s="115">
        <v>160000</v>
      </c>
      <c r="AM13" s="115"/>
      <c r="AN13" s="115"/>
      <c r="AO13" s="260">
        <f>Tabelle4[[#This Row],[Kredit-  / Budgetsumme
(RADAR: Gesamtkosten S)]]-Tabelle4[[#This Row],[Netto-Ausgaben Vorjahre ]]</f>
        <v>160000</v>
      </c>
      <c r="AP13" s="310"/>
      <c r="AQ13" s="311">
        <v>140000</v>
      </c>
      <c r="AR13" s="115">
        <f>Tabelle4[[#This Row],[Kreditrest per 1.1. aktuelles Jahr]]-Tabelle4[[#This Row],[Prognose 2018
(RADAR: Kosten 2018 S)]]</f>
        <v>20000</v>
      </c>
      <c r="AS13" s="115"/>
      <c r="AT13" s="311">
        <v>20000</v>
      </c>
      <c r="AU13" s="115"/>
      <c r="AV13" s="311"/>
      <c r="AW13" s="115"/>
      <c r="AX13" s="311"/>
      <c r="AY13" s="115"/>
      <c r="AZ13" s="311"/>
      <c r="BA13" s="115"/>
      <c r="BB13" s="311"/>
      <c r="BC13" s="115"/>
      <c r="BD13" s="311"/>
      <c r="BE13" s="115"/>
      <c r="BF13" s="311"/>
      <c r="BG13" s="115"/>
      <c r="BH13" s="311"/>
      <c r="BI13" s="115"/>
      <c r="BJ13" s="115"/>
      <c r="BK13" s="264"/>
      <c r="BL13" s="105"/>
      <c r="BM13" s="106">
        <v>20</v>
      </c>
      <c r="BN13" s="106">
        <v>0</v>
      </c>
      <c r="BO13" s="106">
        <v>8</v>
      </c>
      <c r="BP13" s="106">
        <v>0</v>
      </c>
      <c r="BQ13" s="106">
        <v>0</v>
      </c>
      <c r="BR13" s="106">
        <v>0</v>
      </c>
      <c r="BS13" s="106">
        <v>0</v>
      </c>
      <c r="BT13" s="108">
        <f>SUM(Tabelle4[[#This Row],[Projektverantwortung
(Lenkungsausschuss) ]:[Kommunikation ]])</f>
        <v>28</v>
      </c>
      <c r="BU13" s="105"/>
      <c r="BV13" s="106">
        <v>8</v>
      </c>
      <c r="BW13" s="106"/>
      <c r="BX13" s="106">
        <v>40</v>
      </c>
      <c r="BY13" s="106"/>
      <c r="BZ13" s="106"/>
      <c r="CA13" s="106"/>
      <c r="CB13" s="106"/>
      <c r="CC13" s="108">
        <f>SUM(Tabelle4[[#This Row],[Projektverantwortung
(Lenkungsausschuss)   ]:[Kommunikation   ]])</f>
        <v>48</v>
      </c>
      <c r="CD13" s="105"/>
      <c r="CE13" s="106">
        <v>8</v>
      </c>
      <c r="CF13" s="106"/>
      <c r="CG13" s="106">
        <v>20</v>
      </c>
      <c r="CH13" s="106"/>
      <c r="CI13" s="106"/>
      <c r="CJ13" s="106"/>
      <c r="CK13" s="106"/>
      <c r="CL13" s="108">
        <f>SUM(Tabelle4[[#This Row],[Projektverantwortung
(Lenkungsausschuss).]:[Kommunikation    ]])</f>
        <v>28</v>
      </c>
      <c r="CM13" s="105"/>
      <c r="CN13" s="106">
        <v>8</v>
      </c>
      <c r="CO13" s="106"/>
      <c r="CP13" s="106">
        <v>8</v>
      </c>
      <c r="CQ13" s="106"/>
      <c r="CR13" s="106"/>
      <c r="CS13" s="106"/>
      <c r="CT13" s="106"/>
      <c r="CU13" s="108">
        <f>SUM(Tabelle4[[#This Row],[Projektverantwortung
(Lenkungsausschuss)    ]:[Kommunikation     ]])</f>
        <v>16</v>
      </c>
      <c r="CV13" s="107">
        <f>SUM(Tabelle4[[#This Row],[Total Aufwand
1. Quartal 2018]],Tabelle4[[#This Row],[Total Aufwand
2. Quartal 2018]],Tabelle4[[#This Row],[Total Aufwand
3. Quartal 2018]],Tabelle4[[#This Row],[Total Aufwand
4. Quartal 2018]])</f>
        <v>120</v>
      </c>
      <c r="CW13" s="105"/>
      <c r="CX13" s="105"/>
      <c r="CY13" s="105"/>
      <c r="CZ13" s="105"/>
      <c r="DA13" s="105"/>
      <c r="DB13" s="105"/>
      <c r="DC13" s="105"/>
      <c r="DD13" s="105"/>
      <c r="DE13" s="107">
        <f>SUM(Tabelle4[[#This Row],[Aufwand ]],Tabelle4[[#This Row],[Aufwand 2]],Tabelle4[[#This Row],[Aufwand 3]],Tabelle4[[#This Row],[Aufwand 4]])</f>
        <v>0</v>
      </c>
      <c r="DF13" s="105"/>
      <c r="DG13" s="105"/>
      <c r="DH13" s="105"/>
      <c r="DI13" s="105"/>
      <c r="DJ13" s="105"/>
      <c r="DK13" s="105"/>
      <c r="DL13" s="105"/>
      <c r="DM13" s="105"/>
      <c r="DN13" s="107">
        <f>SUM(Tabelle4[[#This Row],[Aufwand  ]],Tabelle4[[#This Row],[Aufwand  2]],Tabelle4[[#This Row],[Aufwand  3]],Tabelle4[[#This Row],[Aufwand  4]])</f>
        <v>0</v>
      </c>
      <c r="DO13" s="105"/>
      <c r="DP13" s="105"/>
      <c r="DQ13" s="105"/>
      <c r="DR13" s="105"/>
      <c r="DS13" s="105"/>
      <c r="DT13" s="105"/>
      <c r="DU13" s="105"/>
      <c r="DV13" s="105"/>
      <c r="DW13" s="107">
        <f>SUM(Tabelle4[[#This Row],[Aufwand   ]],Tabelle4[[#This Row],[Aufwand   2]],Tabelle4[[#This Row],[Aufwand   3]],Tabelle4[[#This Row],[Aufwand   4]])</f>
        <v>0</v>
      </c>
      <c r="DX13" s="105"/>
      <c r="DY13" s="105"/>
      <c r="DZ13" s="105"/>
      <c r="EA13" s="105"/>
      <c r="EB13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120</v>
      </c>
      <c r="EC13" s="122">
        <f>Tabelle4[[#This Row],[Gesamaufwand]]/2000</f>
        <v>0.06</v>
      </c>
      <c r="ED13" s="47"/>
      <c r="EE13" s="47"/>
      <c r="EF13" s="47"/>
      <c r="EG13" s="47"/>
      <c r="EH13" s="47"/>
      <c r="EI13" s="48"/>
      <c r="EJ13" s="48"/>
      <c r="EK13" s="48"/>
      <c r="EL13" s="48"/>
      <c r="EM13" s="48"/>
    </row>
    <row r="14" spans="1:143" s="59" customFormat="1">
      <c r="A14" s="255" t="s">
        <v>1229</v>
      </c>
      <c r="B14" s="251"/>
      <c r="C14" s="254"/>
      <c r="D14" s="251"/>
      <c r="E14" s="251"/>
      <c r="F14" s="253"/>
      <c r="G14" s="253"/>
      <c r="H14" s="253"/>
      <c r="I14" s="254"/>
      <c r="J14" s="254"/>
      <c r="K14" s="105"/>
      <c r="L14" s="105"/>
      <c r="M14" s="48"/>
      <c r="N14" s="105"/>
      <c r="O14" s="255"/>
      <c r="P14" s="261"/>
      <c r="Q14" s="261"/>
      <c r="R14" s="261"/>
      <c r="S14" s="262"/>
      <c r="T14" s="263"/>
      <c r="U14" s="105"/>
      <c r="V14" s="259"/>
      <c r="W14" s="105"/>
      <c r="X14" s="105"/>
      <c r="Y14" s="105"/>
      <c r="Z14" s="105"/>
      <c r="AA14" s="105"/>
      <c r="AB14" s="105"/>
      <c r="AC14" s="105"/>
      <c r="AD14" s="105"/>
      <c r="AE14" s="105"/>
      <c r="AF14" s="105"/>
      <c r="AG14" s="105"/>
      <c r="AH14" s="115" t="s">
        <v>1087</v>
      </c>
      <c r="AI14" s="115"/>
      <c r="AJ14" s="115"/>
      <c r="AK14" s="105"/>
      <c r="AL14" s="115"/>
      <c r="AM14" s="115"/>
      <c r="AN14" s="115"/>
      <c r="AO14" s="115"/>
      <c r="AP14" s="311"/>
      <c r="AQ14" s="311">
        <v>19000</v>
      </c>
      <c r="AR14" s="115"/>
      <c r="AS14" s="115"/>
      <c r="AT14" s="311"/>
      <c r="AU14" s="115"/>
      <c r="AV14" s="311"/>
      <c r="AW14" s="115"/>
      <c r="AX14" s="311"/>
      <c r="AY14" s="115"/>
      <c r="AZ14" s="311"/>
      <c r="BA14" s="115"/>
      <c r="BB14" s="311"/>
      <c r="BC14" s="115"/>
      <c r="BD14" s="311"/>
      <c r="BE14" s="115"/>
      <c r="BF14" s="311"/>
      <c r="BG14" s="115"/>
      <c r="BH14" s="311"/>
      <c r="BI14" s="115"/>
      <c r="BJ14" s="115"/>
      <c r="BK14" s="115"/>
      <c r="BL14" s="105"/>
      <c r="BM14" s="106"/>
      <c r="BN14" s="106"/>
      <c r="BO14" s="106"/>
      <c r="BP14" s="106"/>
      <c r="BQ14" s="106"/>
      <c r="BR14" s="106"/>
      <c r="BS14" s="106"/>
      <c r="BT14" s="108">
        <f>SUM(Tabelle4[[#This Row],[Projektverantwortung
(Lenkungsausschuss) ]:[Kommunikation ]])</f>
        <v>0</v>
      </c>
      <c r="BU14" s="108"/>
      <c r="BV14" s="151"/>
      <c r="BW14" s="151"/>
      <c r="BX14" s="151"/>
      <c r="BY14" s="151"/>
      <c r="BZ14" s="151"/>
      <c r="CA14" s="151"/>
      <c r="CB14" s="151"/>
      <c r="CC14" s="108">
        <f>SUM(Tabelle4[[#This Row],[Projektverantwortung
(Lenkungsausschuss)   ]:[Kommunikation   ]])</f>
        <v>0</v>
      </c>
      <c r="CD14" s="108"/>
      <c r="CE14" s="151"/>
      <c r="CF14" s="151"/>
      <c r="CG14" s="151"/>
      <c r="CH14" s="151"/>
      <c r="CI14" s="151"/>
      <c r="CJ14" s="151"/>
      <c r="CK14" s="151"/>
      <c r="CL14" s="108">
        <f>SUM(Tabelle4[[#This Row],[Projektverantwortung
(Lenkungsausschuss).]:[Kommunikation    ]])</f>
        <v>0</v>
      </c>
      <c r="CM14" s="108"/>
      <c r="CN14" s="151"/>
      <c r="CO14" s="151"/>
      <c r="CP14" s="151"/>
      <c r="CQ14" s="151"/>
      <c r="CR14" s="151"/>
      <c r="CS14" s="151"/>
      <c r="CT14" s="151"/>
      <c r="CU14" s="108">
        <f>SUM(Tabelle4[[#This Row],[Projektverantwortung
(Lenkungsausschuss)    ]:[Kommunikation     ]])</f>
        <v>0</v>
      </c>
      <c r="CV14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14" s="105"/>
      <c r="CX14" s="105"/>
      <c r="CY14" s="116"/>
      <c r="CZ14" s="105"/>
      <c r="DA14" s="116"/>
      <c r="DB14" s="105"/>
      <c r="DC14" s="116"/>
      <c r="DD14" s="105"/>
      <c r="DE14" s="107">
        <f>SUM(Tabelle4[[#This Row],[Aufwand ]],Tabelle4[[#This Row],[Aufwand 2]],Tabelle4[[#This Row],[Aufwand 3]],Tabelle4[[#This Row],[Aufwand 4]])</f>
        <v>0</v>
      </c>
      <c r="DF14" s="116"/>
      <c r="DG14" s="105"/>
      <c r="DH14" s="105"/>
      <c r="DI14" s="116"/>
      <c r="DJ14" s="105"/>
      <c r="DK14" s="116"/>
      <c r="DL14" s="105"/>
      <c r="DM14" s="116"/>
      <c r="DN14" s="107">
        <f>SUM(Tabelle4[[#This Row],[Aufwand  ]],Tabelle4[[#This Row],[Aufwand  2]],Tabelle4[[#This Row],[Aufwand  3]],Tabelle4[[#This Row],[Aufwand  4]])</f>
        <v>0</v>
      </c>
      <c r="DO14" s="116"/>
      <c r="DP14" s="116"/>
      <c r="DQ14" s="116"/>
      <c r="DR14" s="105"/>
      <c r="DS14" s="105"/>
      <c r="DT14" s="116"/>
      <c r="DU14" s="105"/>
      <c r="DV14" s="116"/>
      <c r="DW14" s="107" t="e">
        <f>#REF!</f>
        <v>#REF!</v>
      </c>
      <c r="DX14" s="116"/>
      <c r="DY14" s="152"/>
      <c r="DZ14" s="105"/>
      <c r="EA14" s="180"/>
      <c r="EB14" s="181" t="e">
        <f>#REF!</f>
        <v>#REF!</v>
      </c>
      <c r="EC14" s="109"/>
      <c r="ED14" s="47"/>
      <c r="EE14" s="47"/>
      <c r="EF14" s="47"/>
      <c r="EG14" s="47"/>
      <c r="EH14" s="47"/>
      <c r="EI14" s="48"/>
      <c r="EJ14" s="48"/>
      <c r="EK14" s="48"/>
      <c r="EL14" s="48"/>
      <c r="EM14" s="48"/>
    </row>
    <row r="15" spans="1:143" s="59" customFormat="1">
      <c r="A15" s="255" t="s">
        <v>838</v>
      </c>
      <c r="B15" s="249"/>
      <c r="C15" s="250"/>
      <c r="D15" s="249"/>
      <c r="E15" s="249"/>
      <c r="F15" s="252"/>
      <c r="G15" s="252"/>
      <c r="H15" s="252"/>
      <c r="I15" s="250"/>
      <c r="J15" s="250"/>
      <c r="K15" s="110"/>
      <c r="L15" s="110"/>
      <c r="M15" s="77"/>
      <c r="N15" s="110"/>
      <c r="O15" s="248"/>
      <c r="P15" s="256"/>
      <c r="Q15" s="256"/>
      <c r="R15" s="256"/>
      <c r="S15" s="257"/>
      <c r="T15" s="258" t="s">
        <v>658</v>
      </c>
      <c r="U15" s="110"/>
      <c r="V15" s="266"/>
      <c r="W15" s="110" t="s">
        <v>7</v>
      </c>
      <c r="X15" s="110" t="s">
        <v>11</v>
      </c>
      <c r="Y15" s="105" t="s">
        <v>22</v>
      </c>
      <c r="Z15" s="105" t="s">
        <v>75</v>
      </c>
      <c r="AA15" s="110" t="s">
        <v>639</v>
      </c>
      <c r="AB15" s="105" t="s">
        <v>639</v>
      </c>
      <c r="AC15" s="105" t="s">
        <v>639</v>
      </c>
      <c r="AD15" s="105" t="s">
        <v>12</v>
      </c>
      <c r="AE15" s="110"/>
      <c r="AF15" s="110"/>
      <c r="AG15" s="110"/>
      <c r="AH15" s="260" t="s">
        <v>21</v>
      </c>
      <c r="AI15" s="115" t="s">
        <v>73</v>
      </c>
      <c r="AJ15" s="260" t="s">
        <v>75</v>
      </c>
      <c r="AK15" s="110" t="s">
        <v>839</v>
      </c>
      <c r="AL15" s="260">
        <v>3200000</v>
      </c>
      <c r="AM15" s="260"/>
      <c r="AN15" s="260"/>
      <c r="AO15" s="260">
        <f>Tabelle4[[#This Row],[Kredit-  / Budgetsumme
(RADAR: Gesamtkosten S)]]-Tabelle4[[#This Row],[Netto-Ausgaben Vorjahre ]]</f>
        <v>3200000</v>
      </c>
      <c r="AP15" s="310"/>
      <c r="AQ15" s="310"/>
      <c r="AR15" s="260">
        <f>Tabelle4[[#This Row],[Kreditrest per 1.1. aktuelles Jahr]]-Tabelle4[[#This Row],[Prognose 2018
(RADAR: Kosten 2018 S)]]</f>
        <v>3200000</v>
      </c>
      <c r="AS15" s="260"/>
      <c r="AT15" s="310">
        <v>250000</v>
      </c>
      <c r="AU15" s="260"/>
      <c r="AV15" s="310">
        <v>1200000</v>
      </c>
      <c r="AW15" s="260"/>
      <c r="AX15" s="310">
        <v>1500000</v>
      </c>
      <c r="AY15" s="260"/>
      <c r="AZ15" s="310">
        <v>250000</v>
      </c>
      <c r="BA15" s="260"/>
      <c r="BB15" s="310"/>
      <c r="BC15" s="260"/>
      <c r="BD15" s="310"/>
      <c r="BE15" s="260"/>
      <c r="BF15" s="310"/>
      <c r="BG15" s="260"/>
      <c r="BH15" s="310"/>
      <c r="BI15" s="260"/>
      <c r="BJ15" s="260"/>
      <c r="BK15" s="260"/>
      <c r="BL15" s="105"/>
      <c r="BM15" s="111"/>
      <c r="BN15" s="111"/>
      <c r="BO15" s="111"/>
      <c r="BP15" s="111"/>
      <c r="BQ15" s="111"/>
      <c r="BR15" s="111"/>
      <c r="BS15" s="111"/>
      <c r="BT15" s="113">
        <f>SUM(Tabelle4[[#This Row],[Projektverantwortung
(Lenkungsausschuss) ]:[Kommunikation ]])</f>
        <v>0</v>
      </c>
      <c r="BU15" s="113"/>
      <c r="BV15" s="106"/>
      <c r="BW15" s="106"/>
      <c r="BX15" s="106"/>
      <c r="BY15" s="106"/>
      <c r="BZ15" s="106"/>
      <c r="CA15" s="106"/>
      <c r="CB15" s="106"/>
      <c r="CC15" s="113">
        <f>SUM(Tabelle4[[#This Row],[Projektverantwortung
(Lenkungsausschuss)   ]:[Kommunikation   ]])</f>
        <v>0</v>
      </c>
      <c r="CD15" s="113"/>
      <c r="CE15" s="114"/>
      <c r="CF15" s="114"/>
      <c r="CG15" s="114"/>
      <c r="CH15" s="114"/>
      <c r="CI15" s="114"/>
      <c r="CJ15" s="114"/>
      <c r="CK15" s="114"/>
      <c r="CL15" s="113">
        <f>SUM(Tabelle4[[#This Row],[Projektverantwortung
(Lenkungsausschuss).]:[Kommunikation    ]])</f>
        <v>0</v>
      </c>
      <c r="CM15" s="113"/>
      <c r="CN15" s="114"/>
      <c r="CO15" s="114"/>
      <c r="CP15" s="114"/>
      <c r="CQ15" s="114"/>
      <c r="CR15" s="114"/>
      <c r="CS15" s="114"/>
      <c r="CT15" s="114"/>
      <c r="CU15" s="113">
        <f>SUM(Tabelle4[[#This Row],[Projektverantwortung
(Lenkungsausschuss)    ]:[Kommunikation     ]])</f>
        <v>0</v>
      </c>
      <c r="CV15" s="112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15" s="105"/>
      <c r="CX15" s="105"/>
      <c r="CY15" s="105"/>
      <c r="CZ15" s="105"/>
      <c r="DA15" s="105"/>
      <c r="DB15" s="105"/>
      <c r="DC15" s="105"/>
      <c r="DD15" s="105"/>
      <c r="DE15" s="112">
        <f>SUM(Tabelle4[[#This Row],[Aufwand ]],Tabelle4[[#This Row],[Aufwand 2]],Tabelle4[[#This Row],[Aufwand 3]],Tabelle4[[#This Row],[Aufwand 4]])</f>
        <v>0</v>
      </c>
      <c r="DF15" s="142"/>
      <c r="DG15" s="110"/>
      <c r="DH15" s="110"/>
      <c r="DI15" s="142"/>
      <c r="DJ15" s="110"/>
      <c r="DK15" s="142"/>
      <c r="DL15" s="110"/>
      <c r="DM15" s="142"/>
      <c r="DN15" s="112">
        <f>SUM(Tabelle4[[#This Row],[Aufwand  ]],Tabelle4[[#This Row],[Aufwand  2]],Tabelle4[[#This Row],[Aufwand  3]],Tabelle4[[#This Row],[Aufwand  4]])</f>
        <v>0</v>
      </c>
      <c r="DO15" s="142"/>
      <c r="DP15" s="110"/>
      <c r="DQ15" s="110"/>
      <c r="DR15" s="142"/>
      <c r="DS15" s="110"/>
      <c r="DT15" s="142"/>
      <c r="DU15" s="110"/>
      <c r="DV15" s="142"/>
      <c r="DW15" s="107">
        <f>SUM(Tabelle4[[#This Row],[Aufwand   ]],Tabelle4[[#This Row],[Aufwand   2]],Tabelle4[[#This Row],[Aufwand   3]],Tabelle4[[#This Row],[Aufwand   4]])</f>
        <v>0</v>
      </c>
      <c r="DX15" s="142"/>
      <c r="DY15" s="143"/>
      <c r="DZ15" s="105"/>
      <c r="EA15" s="105"/>
      <c r="EB15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15" s="122">
        <f>Tabelle4[[#This Row],[Gesamaufwand]]/2000</f>
        <v>0</v>
      </c>
      <c r="ED15" s="47"/>
      <c r="EE15" s="47"/>
      <c r="EF15" s="47"/>
      <c r="EG15" s="47"/>
      <c r="EH15" s="47"/>
      <c r="EI15" s="48"/>
      <c r="EJ15" s="48"/>
      <c r="EK15" s="48"/>
      <c r="EL15" s="48"/>
      <c r="EM15" s="48"/>
    </row>
    <row r="16" spans="1:143" s="59" customFormat="1">
      <c r="A16" s="255" t="s">
        <v>1159</v>
      </c>
      <c r="B16" s="251" t="s">
        <v>105</v>
      </c>
      <c r="C16" s="254" t="s">
        <v>68</v>
      </c>
      <c r="D16" s="251" t="s">
        <v>914</v>
      </c>
      <c r="E16" s="251" t="s">
        <v>112</v>
      </c>
      <c r="F16" s="253">
        <v>1</v>
      </c>
      <c r="G16" s="253">
        <v>1</v>
      </c>
      <c r="H16" s="253"/>
      <c r="I16" s="254" t="s">
        <v>94</v>
      </c>
      <c r="J16" s="254"/>
      <c r="K16" s="105"/>
      <c r="L16" s="105"/>
      <c r="M16" s="48"/>
      <c r="N16" s="105"/>
      <c r="O16" s="255" t="s">
        <v>275</v>
      </c>
      <c r="P16" s="261">
        <v>1</v>
      </c>
      <c r="Q16" s="261">
        <v>0</v>
      </c>
      <c r="R16" s="261">
        <v>0</v>
      </c>
      <c r="S16" s="262" t="s">
        <v>129</v>
      </c>
      <c r="T16" s="263" t="s">
        <v>75</v>
      </c>
      <c r="U16" s="105"/>
      <c r="V16" s="259" t="s">
        <v>12</v>
      </c>
      <c r="W16" s="105" t="s">
        <v>656</v>
      </c>
      <c r="X16" s="105" t="s">
        <v>11</v>
      </c>
      <c r="Y16" s="105" t="s">
        <v>22</v>
      </c>
      <c r="Z16" s="105" t="s">
        <v>860</v>
      </c>
      <c r="AA16" s="110" t="s">
        <v>639</v>
      </c>
      <c r="AB16" s="105" t="s">
        <v>639</v>
      </c>
      <c r="AC16" s="105" t="s">
        <v>639</v>
      </c>
      <c r="AD16" s="105" t="s">
        <v>12</v>
      </c>
      <c r="AE16" s="105"/>
      <c r="AF16" s="105"/>
      <c r="AG16" s="105"/>
      <c r="AH16" s="115" t="s">
        <v>21</v>
      </c>
      <c r="AI16" s="115"/>
      <c r="AJ16" s="115"/>
      <c r="AK16" s="105"/>
      <c r="AL16" s="115">
        <v>58000</v>
      </c>
      <c r="AM16" s="115"/>
      <c r="AN16" s="115"/>
      <c r="AO16" s="260">
        <f>Tabelle4[[#This Row],[Kredit-  / Budgetsumme
(RADAR: Gesamtkosten S)]]-Tabelle4[[#This Row],[Netto-Ausgaben Vorjahre ]]</f>
        <v>58000</v>
      </c>
      <c r="AP16" s="310"/>
      <c r="AQ16" s="311">
        <v>58000</v>
      </c>
      <c r="AR16" s="115"/>
      <c r="AS16" s="115"/>
      <c r="AT16" s="311"/>
      <c r="AU16" s="115"/>
      <c r="AV16" s="311"/>
      <c r="AW16" s="115"/>
      <c r="AX16" s="311"/>
      <c r="AY16" s="115"/>
      <c r="AZ16" s="311"/>
      <c r="BA16" s="115"/>
      <c r="BB16" s="311"/>
      <c r="BC16" s="115"/>
      <c r="BD16" s="311"/>
      <c r="BE16" s="115"/>
      <c r="BF16" s="311"/>
      <c r="BG16" s="115"/>
      <c r="BH16" s="311"/>
      <c r="BI16" s="115"/>
      <c r="BJ16" s="115"/>
      <c r="BK16" s="264"/>
      <c r="BL16" s="105"/>
      <c r="BM16" s="106">
        <v>20</v>
      </c>
      <c r="BN16" s="106">
        <v>20</v>
      </c>
      <c r="BO16" s="106">
        <v>40</v>
      </c>
      <c r="BP16" s="106"/>
      <c r="BQ16" s="106"/>
      <c r="BR16" s="106"/>
      <c r="BS16" s="106"/>
      <c r="BT16" s="108">
        <f>SUM(Tabelle4[[#This Row],[Projektverantwortung
(Lenkungsausschuss) ]:[Kommunikation ]])</f>
        <v>80</v>
      </c>
      <c r="BU16" s="105"/>
      <c r="BV16" s="106"/>
      <c r="BW16" s="106"/>
      <c r="BX16" s="106"/>
      <c r="BY16" s="106"/>
      <c r="BZ16" s="106"/>
      <c r="CA16" s="106"/>
      <c r="CB16" s="106"/>
      <c r="CC16" s="108">
        <f>SUM(Tabelle4[[#This Row],[Projektverantwortung
(Lenkungsausschuss)   ]:[Kommunikation   ]])</f>
        <v>0</v>
      </c>
      <c r="CD16" s="105"/>
      <c r="CE16" s="106"/>
      <c r="CF16" s="106"/>
      <c r="CG16" s="106"/>
      <c r="CH16" s="106"/>
      <c r="CI16" s="106"/>
      <c r="CJ16" s="106"/>
      <c r="CK16" s="106"/>
      <c r="CL16" s="108">
        <f>SUM(Tabelle4[[#This Row],[Projektverantwortung
(Lenkungsausschuss).]:[Kommunikation    ]])</f>
        <v>0</v>
      </c>
      <c r="CM16" s="105"/>
      <c r="CN16" s="106"/>
      <c r="CO16" s="106"/>
      <c r="CP16" s="106"/>
      <c r="CQ16" s="106"/>
      <c r="CR16" s="106"/>
      <c r="CS16" s="106"/>
      <c r="CT16" s="106"/>
      <c r="CU16" s="108">
        <f>SUM(Tabelle4[[#This Row],[Projektverantwortung
(Lenkungsausschuss)    ]:[Kommunikation     ]])</f>
        <v>0</v>
      </c>
      <c r="CV16" s="107">
        <f>SUM(Tabelle4[[#This Row],[Total Aufwand
1. Quartal 2018]],Tabelle4[[#This Row],[Total Aufwand
2. Quartal 2018]],Tabelle4[[#This Row],[Total Aufwand
3. Quartal 2018]],Tabelle4[[#This Row],[Total Aufwand
4. Quartal 2018]])</f>
        <v>80</v>
      </c>
      <c r="CW16" s="105"/>
      <c r="CX16" s="105"/>
      <c r="CY16" s="105"/>
      <c r="CZ16" s="105"/>
      <c r="DA16" s="105"/>
      <c r="DB16" s="105"/>
      <c r="DC16" s="105"/>
      <c r="DD16" s="105"/>
      <c r="DE16" s="107">
        <f>SUM(Tabelle4[[#This Row],[Aufwand ]],Tabelle4[[#This Row],[Aufwand 2]],Tabelle4[[#This Row],[Aufwand 3]],Tabelle4[[#This Row],[Aufwand 4]])</f>
        <v>0</v>
      </c>
      <c r="DF16" s="105"/>
      <c r="DG16" s="105"/>
      <c r="DH16" s="105"/>
      <c r="DI16" s="105"/>
      <c r="DJ16" s="105"/>
      <c r="DK16" s="105"/>
      <c r="DL16" s="105"/>
      <c r="DM16" s="105"/>
      <c r="DN16" s="107">
        <f>SUM(Tabelle4[[#This Row],[Aufwand  ]],Tabelle4[[#This Row],[Aufwand  2]],Tabelle4[[#This Row],[Aufwand  3]],Tabelle4[[#This Row],[Aufwand  4]])</f>
        <v>0</v>
      </c>
      <c r="DO16" s="105"/>
      <c r="DP16" s="105"/>
      <c r="DQ16" s="105"/>
      <c r="DR16" s="105"/>
      <c r="DS16" s="105"/>
      <c r="DT16" s="105"/>
      <c r="DU16" s="105"/>
      <c r="DV16" s="105"/>
      <c r="DW16" s="107">
        <f>SUM(Tabelle4[[#This Row],[Aufwand   ]],Tabelle4[[#This Row],[Aufwand   2]],Tabelle4[[#This Row],[Aufwand   3]],Tabelle4[[#This Row],[Aufwand   4]])</f>
        <v>0</v>
      </c>
      <c r="DX16" s="105"/>
      <c r="DY16" s="105"/>
      <c r="DZ16" s="105"/>
      <c r="EA16" s="105"/>
      <c r="EB16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80</v>
      </c>
      <c r="EC16" s="122">
        <f>Tabelle4[[#This Row],[Gesamaufwand]]/2000</f>
        <v>0.04</v>
      </c>
      <c r="ED16" s="47"/>
      <c r="EE16" s="47"/>
      <c r="EF16" s="47"/>
      <c r="EG16" s="47"/>
      <c r="EH16" s="47"/>
      <c r="EI16" s="48"/>
      <c r="EJ16" s="48"/>
      <c r="EK16" s="48"/>
      <c r="EL16" s="48"/>
      <c r="EM16" s="48"/>
    </row>
    <row r="17" spans="1:143" s="59" customFormat="1">
      <c r="A17" s="255" t="s">
        <v>391</v>
      </c>
      <c r="B17" s="251" t="s">
        <v>105</v>
      </c>
      <c r="C17" s="254" t="s">
        <v>67</v>
      </c>
      <c r="D17" s="251" t="s">
        <v>914</v>
      </c>
      <c r="E17" s="251" t="s">
        <v>112</v>
      </c>
      <c r="F17" s="253">
        <v>2</v>
      </c>
      <c r="G17" s="253">
        <v>2</v>
      </c>
      <c r="H17" s="253"/>
      <c r="I17" s="254" t="s">
        <v>95</v>
      </c>
      <c r="J17" s="254"/>
      <c r="K17" s="105"/>
      <c r="L17" s="105"/>
      <c r="M17" s="48"/>
      <c r="N17" s="105"/>
      <c r="O17" s="255" t="s">
        <v>392</v>
      </c>
      <c r="P17" s="261">
        <v>1</v>
      </c>
      <c r="Q17" s="261">
        <v>0</v>
      </c>
      <c r="R17" s="261">
        <v>0</v>
      </c>
      <c r="S17" s="262" t="s">
        <v>146</v>
      </c>
      <c r="T17" s="263" t="s">
        <v>672</v>
      </c>
      <c r="U17" s="105"/>
      <c r="V17" s="259" t="s">
        <v>12</v>
      </c>
      <c r="W17" s="105" t="s">
        <v>6</v>
      </c>
      <c r="X17" s="105" t="s">
        <v>86</v>
      </c>
      <c r="Y17" s="105" t="s">
        <v>690</v>
      </c>
      <c r="Z17" s="105" t="s">
        <v>83</v>
      </c>
      <c r="AA17" s="110" t="s">
        <v>83</v>
      </c>
      <c r="AB17" s="105" t="s">
        <v>13</v>
      </c>
      <c r="AC17" s="105" t="s">
        <v>634</v>
      </c>
      <c r="AD17" s="105" t="s">
        <v>12</v>
      </c>
      <c r="AE17" s="105"/>
      <c r="AF17" s="105"/>
      <c r="AG17" s="105"/>
      <c r="AH17" s="115" t="s">
        <v>799</v>
      </c>
      <c r="AI17" s="115" t="s">
        <v>73</v>
      </c>
      <c r="AJ17" s="115" t="s">
        <v>74</v>
      </c>
      <c r="AK17" s="105"/>
      <c r="AL17" s="115">
        <v>2000000</v>
      </c>
      <c r="AM17" s="115"/>
      <c r="AN17" s="115"/>
      <c r="AO17" s="260">
        <f>Tabelle4[[#This Row],[Kredit-  / Budgetsumme
(RADAR: Gesamtkosten S)]]-Tabelle4[[#This Row],[Netto-Ausgaben Vorjahre ]]</f>
        <v>2000000</v>
      </c>
      <c r="AP17" s="310"/>
      <c r="AQ17" s="311"/>
      <c r="AR17" s="115">
        <f>Tabelle4[[#This Row],[Kreditrest per 1.1. aktuelles Jahr]]-Tabelle4[[#This Row],[Prognose 2018
(RADAR: Kosten 2018 S)]]</f>
        <v>2000000</v>
      </c>
      <c r="AS17" s="115"/>
      <c r="AT17" s="311"/>
      <c r="AU17" s="115"/>
      <c r="AV17" s="311"/>
      <c r="AW17" s="115"/>
      <c r="AX17" s="311"/>
      <c r="AY17" s="115"/>
      <c r="AZ17" s="311"/>
      <c r="BA17" s="115"/>
      <c r="BB17" s="311"/>
      <c r="BC17" s="115"/>
      <c r="BD17" s="311"/>
      <c r="BE17" s="115"/>
      <c r="BF17" s="311"/>
      <c r="BG17" s="115"/>
      <c r="BH17" s="311"/>
      <c r="BI17" s="115"/>
      <c r="BJ17" s="115"/>
      <c r="BK17" s="264"/>
      <c r="BL17" s="105"/>
      <c r="BM17" s="106"/>
      <c r="BN17" s="106"/>
      <c r="BO17" s="106">
        <v>0</v>
      </c>
      <c r="BP17" s="106"/>
      <c r="BQ17" s="106"/>
      <c r="BR17" s="106">
        <v>20</v>
      </c>
      <c r="BS17" s="106"/>
      <c r="BT17" s="108">
        <f>SUM(Tabelle4[[#This Row],[Projektverantwortung
(Lenkungsausschuss) ]:[Kommunikation ]])</f>
        <v>20</v>
      </c>
      <c r="BU17" s="105"/>
      <c r="BV17" s="106"/>
      <c r="BW17" s="106"/>
      <c r="BX17" s="106"/>
      <c r="BY17" s="106"/>
      <c r="BZ17" s="106">
        <v>20</v>
      </c>
      <c r="CA17" s="106">
        <v>20</v>
      </c>
      <c r="CB17" s="106"/>
      <c r="CC17" s="108">
        <f>SUM(Tabelle4[[#This Row],[Projektverantwortung
(Lenkungsausschuss)   ]:[Kommunikation   ]])</f>
        <v>40</v>
      </c>
      <c r="CD17" s="105"/>
      <c r="CE17" s="106"/>
      <c r="CF17" s="106"/>
      <c r="CG17" s="106"/>
      <c r="CH17" s="106"/>
      <c r="CI17" s="106"/>
      <c r="CJ17" s="106"/>
      <c r="CK17" s="106"/>
      <c r="CL17" s="108">
        <f>SUM(Tabelle4[[#This Row],[Projektverantwortung
(Lenkungsausschuss).]:[Kommunikation    ]])</f>
        <v>0</v>
      </c>
      <c r="CM17" s="105"/>
      <c r="CN17" s="106"/>
      <c r="CO17" s="106"/>
      <c r="CP17" s="106"/>
      <c r="CQ17" s="106"/>
      <c r="CR17" s="106"/>
      <c r="CS17" s="106"/>
      <c r="CT17" s="106"/>
      <c r="CU17" s="108">
        <f>SUM(Tabelle4[[#This Row],[Projektverantwortung
(Lenkungsausschuss)    ]:[Kommunikation     ]])</f>
        <v>0</v>
      </c>
      <c r="CV17" s="107">
        <f>SUM(Tabelle4[[#This Row],[Total Aufwand
1. Quartal 2018]],Tabelle4[[#This Row],[Total Aufwand
2. Quartal 2018]],Tabelle4[[#This Row],[Total Aufwand
3. Quartal 2018]],Tabelle4[[#This Row],[Total Aufwand
4. Quartal 2018]])</f>
        <v>60</v>
      </c>
      <c r="CW17" s="105"/>
      <c r="CX17" s="105"/>
      <c r="CY17" s="105"/>
      <c r="CZ17" s="105"/>
      <c r="DA17" s="105"/>
      <c r="DB17" s="105"/>
      <c r="DC17" s="105"/>
      <c r="DD17" s="105"/>
      <c r="DE17" s="107">
        <f>SUM(Tabelle4[[#This Row],[Aufwand ]],Tabelle4[[#This Row],[Aufwand 2]],Tabelle4[[#This Row],[Aufwand 3]],Tabelle4[[#This Row],[Aufwand 4]])</f>
        <v>0</v>
      </c>
      <c r="DF17" s="105"/>
      <c r="DG17" s="105"/>
      <c r="DH17" s="105"/>
      <c r="DI17" s="105"/>
      <c r="DJ17" s="105"/>
      <c r="DK17" s="105"/>
      <c r="DL17" s="105"/>
      <c r="DM17" s="105"/>
      <c r="DN17" s="107">
        <f>SUM(Tabelle4[[#This Row],[Aufwand  ]],Tabelle4[[#This Row],[Aufwand  2]],Tabelle4[[#This Row],[Aufwand  3]],Tabelle4[[#This Row],[Aufwand  4]])</f>
        <v>0</v>
      </c>
      <c r="DO17" s="105"/>
      <c r="DP17" s="105"/>
      <c r="DQ17" s="105"/>
      <c r="DR17" s="105"/>
      <c r="DS17" s="105"/>
      <c r="DT17" s="105"/>
      <c r="DU17" s="105"/>
      <c r="DV17" s="105"/>
      <c r="DW17" s="107">
        <f>SUM(Tabelle4[[#This Row],[Aufwand   ]],Tabelle4[[#This Row],[Aufwand   2]],Tabelle4[[#This Row],[Aufwand   3]],Tabelle4[[#This Row],[Aufwand   4]])</f>
        <v>0</v>
      </c>
      <c r="DX17" s="105"/>
      <c r="DY17" s="105"/>
      <c r="DZ17" s="105"/>
      <c r="EA17" s="105"/>
      <c r="EB17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60</v>
      </c>
      <c r="EC17" s="122">
        <f>Tabelle4[[#This Row],[Gesamaufwand]]/2000</f>
        <v>0.03</v>
      </c>
      <c r="ED17" s="47"/>
      <c r="EE17" s="47"/>
      <c r="EF17" s="47"/>
      <c r="EG17" s="47"/>
      <c r="EH17" s="47"/>
      <c r="EI17" s="48"/>
      <c r="EJ17" s="48"/>
      <c r="EK17" s="48"/>
      <c r="EL17" s="48"/>
      <c r="EM17" s="48"/>
    </row>
    <row r="18" spans="1:143" s="59" customFormat="1">
      <c r="A18" s="255" t="s">
        <v>430</v>
      </c>
      <c r="B18" s="251" t="s">
        <v>105</v>
      </c>
      <c r="C18" s="254" t="s">
        <v>68</v>
      </c>
      <c r="D18" s="251" t="s">
        <v>913</v>
      </c>
      <c r="E18" s="251" t="s">
        <v>635</v>
      </c>
      <c r="F18" s="253">
        <v>2</v>
      </c>
      <c r="G18" s="253">
        <v>2</v>
      </c>
      <c r="H18" s="253"/>
      <c r="I18" s="254" t="s">
        <v>95</v>
      </c>
      <c r="J18" s="254"/>
      <c r="K18" s="105"/>
      <c r="L18" s="105"/>
      <c r="M18" s="48"/>
      <c r="N18" s="105"/>
      <c r="O18" s="255" t="s">
        <v>431</v>
      </c>
      <c r="P18" s="261">
        <v>2</v>
      </c>
      <c r="Q18" s="261">
        <v>0</v>
      </c>
      <c r="R18" s="261">
        <v>0</v>
      </c>
      <c r="S18" s="262" t="s">
        <v>123</v>
      </c>
      <c r="T18" s="263" t="s">
        <v>659</v>
      </c>
      <c r="U18" s="105"/>
      <c r="V18" s="259" t="s">
        <v>609</v>
      </c>
      <c r="W18" s="105" t="s">
        <v>656</v>
      </c>
      <c r="X18" s="105" t="s">
        <v>22</v>
      </c>
      <c r="Y18" s="105" t="s">
        <v>84</v>
      </c>
      <c r="Z18" s="105" t="s">
        <v>81</v>
      </c>
      <c r="AA18" s="105" t="s">
        <v>75</v>
      </c>
      <c r="AB18" s="105" t="s">
        <v>75</v>
      </c>
      <c r="AC18" s="105" t="s">
        <v>75</v>
      </c>
      <c r="AD18" s="105" t="s">
        <v>639</v>
      </c>
      <c r="AE18" s="105"/>
      <c r="AF18" s="105"/>
      <c r="AG18" s="105"/>
      <c r="AH18" s="115" t="s">
        <v>621</v>
      </c>
      <c r="AI18" s="115"/>
      <c r="AJ18" s="115"/>
      <c r="AK18" s="105"/>
      <c r="AL18" s="115"/>
      <c r="AM18" s="115"/>
      <c r="AN18" s="115"/>
      <c r="AO18" s="260">
        <f>Tabelle4[[#This Row],[Kredit-  / Budgetsumme
(RADAR: Gesamtkosten S)]]-Tabelle4[[#This Row],[Netto-Ausgaben Vorjahre ]]</f>
        <v>0</v>
      </c>
      <c r="AP18" s="310"/>
      <c r="AQ18" s="311"/>
      <c r="AR18" s="115">
        <f>Tabelle4[[#This Row],[Kreditrest per 1.1. aktuelles Jahr]]-Tabelle4[[#This Row],[Prognose 2018
(RADAR: Kosten 2018 S)]]</f>
        <v>0</v>
      </c>
      <c r="AS18" s="115"/>
      <c r="AT18" s="311"/>
      <c r="AU18" s="115"/>
      <c r="AV18" s="311"/>
      <c r="AW18" s="115"/>
      <c r="AX18" s="311"/>
      <c r="AY18" s="115"/>
      <c r="AZ18" s="311"/>
      <c r="BA18" s="115"/>
      <c r="BB18" s="311"/>
      <c r="BC18" s="115"/>
      <c r="BD18" s="311"/>
      <c r="BE18" s="115"/>
      <c r="BF18" s="311"/>
      <c r="BG18" s="115"/>
      <c r="BH18" s="311"/>
      <c r="BI18" s="115"/>
      <c r="BJ18" s="115"/>
      <c r="BK18" s="264"/>
      <c r="BL18" s="105"/>
      <c r="BM18" s="106">
        <v>8</v>
      </c>
      <c r="BN18" s="106">
        <v>8</v>
      </c>
      <c r="BO18" s="106">
        <v>8</v>
      </c>
      <c r="BP18" s="106"/>
      <c r="BQ18" s="106"/>
      <c r="BR18" s="106"/>
      <c r="BS18" s="106"/>
      <c r="BT18" s="108">
        <f>SUM(Tabelle4[[#This Row],[Projektverantwortung
(Lenkungsausschuss) ]:[Kommunikation ]])</f>
        <v>24</v>
      </c>
      <c r="BU18" s="105"/>
      <c r="BV18" s="106">
        <v>8</v>
      </c>
      <c r="BW18" s="106">
        <v>8</v>
      </c>
      <c r="BX18" s="106">
        <v>8</v>
      </c>
      <c r="BY18" s="106"/>
      <c r="BZ18" s="106"/>
      <c r="CA18" s="106"/>
      <c r="CB18" s="106"/>
      <c r="CC18" s="108">
        <f>SUM(Tabelle4[[#This Row],[Projektverantwortung
(Lenkungsausschuss)   ]:[Kommunikation   ]])</f>
        <v>24</v>
      </c>
      <c r="CD18" s="105"/>
      <c r="CE18" s="106">
        <v>8</v>
      </c>
      <c r="CF18" s="106">
        <v>8</v>
      </c>
      <c r="CG18" s="106">
        <v>8</v>
      </c>
      <c r="CH18" s="106"/>
      <c r="CI18" s="106"/>
      <c r="CJ18" s="106"/>
      <c r="CK18" s="106"/>
      <c r="CL18" s="108">
        <f>SUM(Tabelle4[[#This Row],[Projektverantwortung
(Lenkungsausschuss).]:[Kommunikation    ]])</f>
        <v>24</v>
      </c>
      <c r="CM18" s="105"/>
      <c r="CN18" s="106">
        <v>8</v>
      </c>
      <c r="CO18" s="106">
        <v>8</v>
      </c>
      <c r="CP18" s="106">
        <v>8</v>
      </c>
      <c r="CQ18" s="106"/>
      <c r="CR18" s="106"/>
      <c r="CS18" s="106"/>
      <c r="CT18" s="106"/>
      <c r="CU18" s="108">
        <f>SUM(Tabelle4[[#This Row],[Projektverantwortung
(Lenkungsausschuss)    ]:[Kommunikation     ]])</f>
        <v>24</v>
      </c>
      <c r="CV18" s="107">
        <f>SUM(Tabelle4[[#This Row],[Total Aufwand
1. Quartal 2018]],Tabelle4[[#This Row],[Total Aufwand
2. Quartal 2018]],Tabelle4[[#This Row],[Total Aufwand
3. Quartal 2018]],Tabelle4[[#This Row],[Total Aufwand
4. Quartal 2018]])</f>
        <v>96</v>
      </c>
      <c r="CW18" s="105"/>
      <c r="CX18" s="105"/>
      <c r="CY18" s="105"/>
      <c r="CZ18" s="105"/>
      <c r="DA18" s="105"/>
      <c r="DB18" s="105"/>
      <c r="DC18" s="105"/>
      <c r="DD18" s="105"/>
      <c r="DE18" s="107">
        <f>SUM(Tabelle4[[#This Row],[Aufwand ]],Tabelle4[[#This Row],[Aufwand 2]],Tabelle4[[#This Row],[Aufwand 3]],Tabelle4[[#This Row],[Aufwand 4]])</f>
        <v>0</v>
      </c>
      <c r="DF18" s="105"/>
      <c r="DG18" s="105"/>
      <c r="DH18" s="105"/>
      <c r="DI18" s="105"/>
      <c r="DJ18" s="105"/>
      <c r="DK18" s="105"/>
      <c r="DL18" s="105"/>
      <c r="DM18" s="105"/>
      <c r="DN18" s="107">
        <f>SUM(Tabelle4[[#This Row],[Aufwand  ]],Tabelle4[[#This Row],[Aufwand  2]],Tabelle4[[#This Row],[Aufwand  3]],Tabelle4[[#This Row],[Aufwand  4]])</f>
        <v>0</v>
      </c>
      <c r="DO18" s="105"/>
      <c r="DP18" s="105"/>
      <c r="DQ18" s="105"/>
      <c r="DR18" s="105"/>
      <c r="DS18" s="105"/>
      <c r="DT18" s="105"/>
      <c r="DU18" s="105"/>
      <c r="DV18" s="105"/>
      <c r="DW18" s="107">
        <f>SUM(Tabelle4[[#This Row],[Aufwand   ]],Tabelle4[[#This Row],[Aufwand   2]],Tabelle4[[#This Row],[Aufwand   3]],Tabelle4[[#This Row],[Aufwand   4]])</f>
        <v>0</v>
      </c>
      <c r="DX18" s="105"/>
      <c r="DY18" s="105"/>
      <c r="DZ18" s="105"/>
      <c r="EA18" s="105"/>
      <c r="EB18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96</v>
      </c>
      <c r="EC18" s="122">
        <f>Tabelle4[[#This Row],[Gesamaufwand]]/2000</f>
        <v>4.8000000000000001E-2</v>
      </c>
      <c r="ED18" s="47"/>
      <c r="EE18" s="47"/>
      <c r="EF18" s="47"/>
      <c r="EG18" s="47"/>
      <c r="EH18" s="47"/>
      <c r="EI18" s="48"/>
      <c r="EJ18" s="48"/>
      <c r="EK18" s="48"/>
      <c r="EL18" s="48"/>
      <c r="EM18" s="48"/>
    </row>
    <row r="19" spans="1:143" s="59" customFormat="1">
      <c r="A19" s="255" t="s">
        <v>432</v>
      </c>
      <c r="B19" s="251" t="s">
        <v>105</v>
      </c>
      <c r="C19" s="254" t="s">
        <v>68</v>
      </c>
      <c r="D19" s="251" t="s">
        <v>913</v>
      </c>
      <c r="E19" s="251" t="s">
        <v>97</v>
      </c>
      <c r="F19" s="253">
        <v>2</v>
      </c>
      <c r="G19" s="253">
        <v>2</v>
      </c>
      <c r="H19" s="253"/>
      <c r="I19" s="254" t="s">
        <v>95</v>
      </c>
      <c r="J19" s="254"/>
      <c r="K19" s="105"/>
      <c r="L19" s="105"/>
      <c r="M19" s="48"/>
      <c r="N19" s="105"/>
      <c r="O19" s="255" t="s">
        <v>433</v>
      </c>
      <c r="P19" s="261">
        <v>2</v>
      </c>
      <c r="Q19" s="261">
        <v>0</v>
      </c>
      <c r="R19" s="261">
        <v>0</v>
      </c>
      <c r="S19" s="262" t="s">
        <v>144</v>
      </c>
      <c r="T19" s="263" t="s">
        <v>672</v>
      </c>
      <c r="U19" s="105"/>
      <c r="V19" s="259" t="s">
        <v>613</v>
      </c>
      <c r="W19" s="105" t="s">
        <v>6</v>
      </c>
      <c r="X19" s="105" t="s">
        <v>11</v>
      </c>
      <c r="Y19" s="105" t="s">
        <v>86</v>
      </c>
      <c r="Z19" s="105" t="s">
        <v>80</v>
      </c>
      <c r="AA19" s="110" t="s">
        <v>639</v>
      </c>
      <c r="AB19" s="105" t="s">
        <v>639</v>
      </c>
      <c r="AC19" s="105" t="s">
        <v>639</v>
      </c>
      <c r="AD19" s="105" t="s">
        <v>639</v>
      </c>
      <c r="AE19" s="105"/>
      <c r="AF19" s="105"/>
      <c r="AG19" s="105"/>
      <c r="AH19" s="115" t="s">
        <v>621</v>
      </c>
      <c r="AI19" s="115"/>
      <c r="AJ19" s="115"/>
      <c r="AK19" s="105"/>
      <c r="AL19" s="115"/>
      <c r="AM19" s="115"/>
      <c r="AN19" s="115"/>
      <c r="AO19" s="260">
        <f>Tabelle4[[#This Row],[Kredit-  / Budgetsumme
(RADAR: Gesamtkosten S)]]-Tabelle4[[#This Row],[Netto-Ausgaben Vorjahre ]]</f>
        <v>0</v>
      </c>
      <c r="AP19" s="310"/>
      <c r="AQ19" s="311"/>
      <c r="AR19" s="115">
        <f>Tabelle4[[#This Row],[Kreditrest per 1.1. aktuelles Jahr]]-Tabelle4[[#This Row],[Prognose 2018
(RADAR: Kosten 2018 S)]]</f>
        <v>0</v>
      </c>
      <c r="AS19" s="115"/>
      <c r="AT19" s="311"/>
      <c r="AU19" s="115"/>
      <c r="AV19" s="311"/>
      <c r="AW19" s="115"/>
      <c r="AX19" s="311"/>
      <c r="AY19" s="115"/>
      <c r="AZ19" s="311"/>
      <c r="BA19" s="115"/>
      <c r="BB19" s="311"/>
      <c r="BC19" s="115"/>
      <c r="BD19" s="311"/>
      <c r="BE19" s="115"/>
      <c r="BF19" s="311"/>
      <c r="BG19" s="115"/>
      <c r="BH19" s="311"/>
      <c r="BI19" s="115"/>
      <c r="BJ19" s="115"/>
      <c r="BK19" s="264"/>
      <c r="BL19" s="105"/>
      <c r="BM19" s="106">
        <v>0</v>
      </c>
      <c r="BN19" s="106">
        <v>20</v>
      </c>
      <c r="BO19" s="106">
        <v>20</v>
      </c>
      <c r="BP19" s="106"/>
      <c r="BQ19" s="106"/>
      <c r="BR19" s="106"/>
      <c r="BS19" s="106"/>
      <c r="BT19" s="108">
        <f>SUM(Tabelle4[[#This Row],[Projektverantwortung
(Lenkungsausschuss) ]:[Kommunikation ]])</f>
        <v>40</v>
      </c>
      <c r="BU19" s="105"/>
      <c r="BV19" s="106">
        <v>0</v>
      </c>
      <c r="BW19" s="106">
        <v>20</v>
      </c>
      <c r="BX19" s="106">
        <v>40</v>
      </c>
      <c r="BY19" s="106"/>
      <c r="BZ19" s="106"/>
      <c r="CA19" s="106"/>
      <c r="CB19" s="106"/>
      <c r="CC19" s="108">
        <f>SUM(Tabelle4[[#This Row],[Projektverantwortung
(Lenkungsausschuss)   ]:[Kommunikation   ]])</f>
        <v>60</v>
      </c>
      <c r="CD19" s="105"/>
      <c r="CE19" s="106">
        <v>0</v>
      </c>
      <c r="CF19" s="106">
        <v>20</v>
      </c>
      <c r="CG19" s="106">
        <v>20</v>
      </c>
      <c r="CH19" s="106"/>
      <c r="CI19" s="106"/>
      <c r="CJ19" s="106"/>
      <c r="CK19" s="106"/>
      <c r="CL19" s="108">
        <f>SUM(Tabelle4[[#This Row],[Projektverantwortung
(Lenkungsausschuss).]:[Kommunikation    ]])</f>
        <v>40</v>
      </c>
      <c r="CM19" s="105"/>
      <c r="CN19" s="106">
        <v>0</v>
      </c>
      <c r="CO19" s="106">
        <v>20</v>
      </c>
      <c r="CP19" s="106">
        <v>20</v>
      </c>
      <c r="CQ19" s="106"/>
      <c r="CR19" s="106"/>
      <c r="CS19" s="106"/>
      <c r="CT19" s="106"/>
      <c r="CU19" s="108">
        <f>SUM(Tabelle4[[#This Row],[Projektverantwortung
(Lenkungsausschuss)    ]:[Kommunikation     ]])</f>
        <v>40</v>
      </c>
      <c r="CV19" s="107">
        <f>SUM(Tabelle4[[#This Row],[Total Aufwand
1. Quartal 2018]],Tabelle4[[#This Row],[Total Aufwand
2. Quartal 2018]],Tabelle4[[#This Row],[Total Aufwand
3. Quartal 2018]],Tabelle4[[#This Row],[Total Aufwand
4. Quartal 2018]])</f>
        <v>180</v>
      </c>
      <c r="CW19" s="105"/>
      <c r="CX19" s="105"/>
      <c r="CY19" s="105"/>
      <c r="CZ19" s="105"/>
      <c r="DA19" s="105"/>
      <c r="DB19" s="105"/>
      <c r="DC19" s="105"/>
      <c r="DD19" s="105"/>
      <c r="DE19" s="107">
        <f>SUM(Tabelle4[[#This Row],[Aufwand ]],Tabelle4[[#This Row],[Aufwand 2]],Tabelle4[[#This Row],[Aufwand 3]],Tabelle4[[#This Row],[Aufwand 4]])</f>
        <v>0</v>
      </c>
      <c r="DF19" s="105"/>
      <c r="DG19" s="105"/>
      <c r="DH19" s="105"/>
      <c r="DI19" s="105"/>
      <c r="DJ19" s="105"/>
      <c r="DK19" s="105"/>
      <c r="DL19" s="105"/>
      <c r="DM19" s="105"/>
      <c r="DN19" s="107">
        <f>SUM(Tabelle4[[#This Row],[Aufwand  ]],Tabelle4[[#This Row],[Aufwand  2]],Tabelle4[[#This Row],[Aufwand  3]],Tabelle4[[#This Row],[Aufwand  4]])</f>
        <v>0</v>
      </c>
      <c r="DO19" s="105"/>
      <c r="DP19" s="105"/>
      <c r="DQ19" s="105"/>
      <c r="DR19" s="105"/>
      <c r="DS19" s="105"/>
      <c r="DT19" s="105"/>
      <c r="DU19" s="105"/>
      <c r="DV19" s="105"/>
      <c r="DW19" s="107">
        <f>SUM(Tabelle4[[#This Row],[Aufwand   ]],Tabelle4[[#This Row],[Aufwand   2]],Tabelle4[[#This Row],[Aufwand   3]],Tabelle4[[#This Row],[Aufwand   4]])</f>
        <v>0</v>
      </c>
      <c r="DX19" s="105"/>
      <c r="DY19" s="105"/>
      <c r="DZ19" s="105"/>
      <c r="EA19" s="105"/>
      <c r="EB19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180</v>
      </c>
      <c r="EC19" s="122">
        <f>Tabelle4[[#This Row],[Gesamaufwand]]/2000</f>
        <v>0.09</v>
      </c>
      <c r="ED19" s="47"/>
      <c r="EE19" s="47"/>
      <c r="EF19" s="47"/>
      <c r="EG19" s="47"/>
      <c r="EH19" s="47"/>
      <c r="EI19" s="48"/>
      <c r="EJ19" s="48"/>
      <c r="EK19" s="48"/>
      <c r="EL19" s="48"/>
      <c r="EM19" s="48"/>
    </row>
    <row r="20" spans="1:143" s="59" customFormat="1">
      <c r="A20" s="255" t="s">
        <v>434</v>
      </c>
      <c r="B20" s="251" t="s">
        <v>105</v>
      </c>
      <c r="C20" s="254" t="s">
        <v>68</v>
      </c>
      <c r="D20" s="251" t="s">
        <v>913</v>
      </c>
      <c r="E20" s="251" t="s">
        <v>97</v>
      </c>
      <c r="F20" s="253">
        <v>2</v>
      </c>
      <c r="G20" s="253">
        <v>4</v>
      </c>
      <c r="H20" s="253"/>
      <c r="I20" s="254" t="s">
        <v>95</v>
      </c>
      <c r="J20" s="254" t="s">
        <v>1145</v>
      </c>
      <c r="K20" s="105" t="s">
        <v>89</v>
      </c>
      <c r="L20" s="105"/>
      <c r="M20" s="48"/>
      <c r="N20" s="105"/>
      <c r="O20" s="255" t="s">
        <v>435</v>
      </c>
      <c r="P20" s="261">
        <v>2</v>
      </c>
      <c r="Q20" s="261">
        <v>0</v>
      </c>
      <c r="R20" s="261">
        <v>0</v>
      </c>
      <c r="S20" s="262" t="s">
        <v>126</v>
      </c>
      <c r="T20" s="263" t="s">
        <v>660</v>
      </c>
      <c r="U20" s="105"/>
      <c r="V20" s="259" t="s">
        <v>610</v>
      </c>
      <c r="W20" s="105" t="s">
        <v>6</v>
      </c>
      <c r="X20" s="105" t="s">
        <v>11</v>
      </c>
      <c r="Y20" s="105" t="s">
        <v>690</v>
      </c>
      <c r="Z20" s="105" t="s">
        <v>86</v>
      </c>
      <c r="AA20" s="110" t="s">
        <v>639</v>
      </c>
      <c r="AB20" s="105" t="s">
        <v>639</v>
      </c>
      <c r="AC20" s="105" t="s">
        <v>639</v>
      </c>
      <c r="AD20" s="105" t="s">
        <v>639</v>
      </c>
      <c r="AE20" s="105"/>
      <c r="AF20" s="105"/>
      <c r="AG20" s="105"/>
      <c r="AH20" s="115" t="s">
        <v>621</v>
      </c>
      <c r="AI20" s="115"/>
      <c r="AJ20" s="115"/>
      <c r="AK20" s="105"/>
      <c r="AL20" s="115"/>
      <c r="AM20" s="115"/>
      <c r="AN20" s="115"/>
      <c r="AO20" s="260">
        <f>Tabelle4[[#This Row],[Kredit-  / Budgetsumme
(RADAR: Gesamtkosten S)]]-Tabelle4[[#This Row],[Netto-Ausgaben Vorjahre ]]</f>
        <v>0</v>
      </c>
      <c r="AP20" s="310"/>
      <c r="AQ20" s="311"/>
      <c r="AR20" s="115">
        <f>Tabelle4[[#This Row],[Kreditrest per 1.1. aktuelles Jahr]]-Tabelle4[[#This Row],[Prognose 2018
(RADAR: Kosten 2018 S)]]</f>
        <v>0</v>
      </c>
      <c r="AS20" s="115"/>
      <c r="AT20" s="311"/>
      <c r="AU20" s="115"/>
      <c r="AV20" s="311"/>
      <c r="AW20" s="115"/>
      <c r="AX20" s="311"/>
      <c r="AY20" s="115"/>
      <c r="AZ20" s="311"/>
      <c r="BA20" s="115"/>
      <c r="BB20" s="311"/>
      <c r="BC20" s="115"/>
      <c r="BD20" s="311"/>
      <c r="BE20" s="115"/>
      <c r="BF20" s="311"/>
      <c r="BG20" s="115"/>
      <c r="BH20" s="311"/>
      <c r="BI20" s="115"/>
      <c r="BJ20" s="115"/>
      <c r="BK20" s="264"/>
      <c r="BL20" s="105"/>
      <c r="BM20" s="106">
        <v>60</v>
      </c>
      <c r="BN20" s="106"/>
      <c r="BO20" s="106"/>
      <c r="BP20" s="106"/>
      <c r="BQ20" s="106"/>
      <c r="BR20" s="106"/>
      <c r="BS20" s="106"/>
      <c r="BT20" s="108">
        <f>SUM(Tabelle4[[#This Row],[Projektverantwortung
(Lenkungsausschuss) ]:[Kommunikation ]])</f>
        <v>60</v>
      </c>
      <c r="BU20" s="105"/>
      <c r="BV20" s="106"/>
      <c r="BW20" s="106"/>
      <c r="BX20" s="106"/>
      <c r="BY20" s="106"/>
      <c r="BZ20" s="106"/>
      <c r="CA20" s="106"/>
      <c r="CB20" s="106"/>
      <c r="CC20" s="108">
        <f>SUM(Tabelle4[[#This Row],[Projektverantwortung
(Lenkungsausschuss)   ]:[Kommunikation   ]])</f>
        <v>0</v>
      </c>
      <c r="CD20" s="105"/>
      <c r="CE20" s="106"/>
      <c r="CF20" s="106"/>
      <c r="CG20" s="106"/>
      <c r="CH20" s="106"/>
      <c r="CI20" s="106"/>
      <c r="CJ20" s="106"/>
      <c r="CK20" s="106"/>
      <c r="CL20" s="108">
        <f>SUM(Tabelle4[[#This Row],[Projektverantwortung
(Lenkungsausschuss).]:[Kommunikation    ]])</f>
        <v>0</v>
      </c>
      <c r="CM20" s="105"/>
      <c r="CN20" s="106"/>
      <c r="CO20" s="106"/>
      <c r="CP20" s="106"/>
      <c r="CQ20" s="106"/>
      <c r="CR20" s="106"/>
      <c r="CS20" s="106"/>
      <c r="CT20" s="106"/>
      <c r="CU20" s="108">
        <f>SUM(Tabelle4[[#This Row],[Projektverantwortung
(Lenkungsausschuss)    ]:[Kommunikation     ]])</f>
        <v>0</v>
      </c>
      <c r="CV20" s="107">
        <f>SUM(Tabelle4[[#This Row],[Total Aufwand
1. Quartal 2018]],Tabelle4[[#This Row],[Total Aufwand
2. Quartal 2018]],Tabelle4[[#This Row],[Total Aufwand
3. Quartal 2018]],Tabelle4[[#This Row],[Total Aufwand
4. Quartal 2018]])</f>
        <v>60</v>
      </c>
      <c r="CW20" s="105"/>
      <c r="CX20" s="105"/>
      <c r="CY20" s="105"/>
      <c r="CZ20" s="105"/>
      <c r="DA20" s="105"/>
      <c r="DB20" s="105"/>
      <c r="DC20" s="105"/>
      <c r="DD20" s="105"/>
      <c r="DE20" s="107">
        <f>SUM(Tabelle4[[#This Row],[Aufwand ]],Tabelle4[[#This Row],[Aufwand 2]],Tabelle4[[#This Row],[Aufwand 3]],Tabelle4[[#This Row],[Aufwand 4]])</f>
        <v>0</v>
      </c>
      <c r="DF20" s="105"/>
      <c r="DG20" s="105"/>
      <c r="DH20" s="105"/>
      <c r="DI20" s="105"/>
      <c r="DJ20" s="105"/>
      <c r="DK20" s="105"/>
      <c r="DL20" s="105"/>
      <c r="DM20" s="105"/>
      <c r="DN20" s="107">
        <f>SUM(Tabelle4[[#This Row],[Aufwand  ]],Tabelle4[[#This Row],[Aufwand  2]],Tabelle4[[#This Row],[Aufwand  3]],Tabelle4[[#This Row],[Aufwand  4]])</f>
        <v>0</v>
      </c>
      <c r="DO20" s="105"/>
      <c r="DP20" s="105"/>
      <c r="DQ20" s="105"/>
      <c r="DR20" s="105"/>
      <c r="DS20" s="105"/>
      <c r="DT20" s="105"/>
      <c r="DU20" s="105"/>
      <c r="DV20" s="105"/>
      <c r="DW20" s="107">
        <f>SUM(Tabelle4[[#This Row],[Aufwand   ]],Tabelle4[[#This Row],[Aufwand   2]],Tabelle4[[#This Row],[Aufwand   3]],Tabelle4[[#This Row],[Aufwand   4]])</f>
        <v>0</v>
      </c>
      <c r="DX20" s="105"/>
      <c r="DY20" s="105"/>
      <c r="DZ20" s="105"/>
      <c r="EA20" s="105"/>
      <c r="EB20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60</v>
      </c>
      <c r="EC20" s="122">
        <f>Tabelle4[[#This Row],[Gesamaufwand]]/2000</f>
        <v>0.03</v>
      </c>
      <c r="ED20" s="47"/>
      <c r="EE20" s="47"/>
      <c r="EF20" s="47"/>
      <c r="EG20" s="47"/>
      <c r="EH20" s="47"/>
      <c r="EI20" s="48"/>
      <c r="EJ20" s="48"/>
      <c r="EK20" s="48"/>
      <c r="EL20" s="48"/>
      <c r="EM20" s="48"/>
    </row>
    <row r="21" spans="1:143" s="59" customFormat="1">
      <c r="A21" s="265" t="s">
        <v>172</v>
      </c>
      <c r="B21" s="251" t="s">
        <v>1331</v>
      </c>
      <c r="C21" s="268" t="s">
        <v>690</v>
      </c>
      <c r="D21" s="267"/>
      <c r="E21" s="267"/>
      <c r="F21" s="269"/>
      <c r="G21" s="269"/>
      <c r="H21" s="269"/>
      <c r="I21" s="268"/>
      <c r="J21" s="254"/>
      <c r="K21" s="105"/>
      <c r="L21" s="105"/>
      <c r="M21" s="48"/>
      <c r="N21" s="105"/>
      <c r="O21" s="265" t="s">
        <v>173</v>
      </c>
      <c r="P21" s="270">
        <v>5</v>
      </c>
      <c r="Q21" s="270">
        <v>0</v>
      </c>
      <c r="R21" s="270">
        <v>0</v>
      </c>
      <c r="S21" s="271" t="s">
        <v>138</v>
      </c>
      <c r="T21" s="272" t="s">
        <v>75</v>
      </c>
      <c r="U21" s="182"/>
      <c r="V21" s="273" t="s">
        <v>75</v>
      </c>
      <c r="W21" s="182" t="s">
        <v>656</v>
      </c>
      <c r="X21" s="182" t="s">
        <v>22</v>
      </c>
      <c r="Y21" s="182" t="s">
        <v>690</v>
      </c>
      <c r="Z21" s="182" t="s">
        <v>75</v>
      </c>
      <c r="AA21" s="182" t="s">
        <v>639</v>
      </c>
      <c r="AB21" s="182" t="s">
        <v>639</v>
      </c>
      <c r="AC21" s="182" t="s">
        <v>639</v>
      </c>
      <c r="AD21" s="182" t="s">
        <v>639</v>
      </c>
      <c r="AE21" s="182"/>
      <c r="AF21" s="182"/>
      <c r="AG21" s="182"/>
      <c r="AH21" s="274" t="s">
        <v>690</v>
      </c>
      <c r="AI21" s="274"/>
      <c r="AJ21" s="274"/>
      <c r="AK21" s="182"/>
      <c r="AL21" s="274"/>
      <c r="AM21" s="274"/>
      <c r="AN21" s="274"/>
      <c r="AO21" s="274">
        <f>Tabelle4[[#This Row],[Kredit-  / Budgetsumme
(RADAR: Gesamtkosten S)]]-Tabelle4[[#This Row],[Netto-Ausgaben Vorjahre ]]</f>
        <v>0</v>
      </c>
      <c r="AP21" s="312"/>
      <c r="AQ21" s="312"/>
      <c r="AR21" s="274">
        <f>Tabelle4[[#This Row],[Kreditrest per 1.1. aktuelles Jahr]]-Tabelle4[[#This Row],[Prognose 2018
(RADAR: Kosten 2018 S)]]</f>
        <v>0</v>
      </c>
      <c r="AS21" s="274"/>
      <c r="AT21" s="312"/>
      <c r="AU21" s="274"/>
      <c r="AV21" s="312"/>
      <c r="AW21" s="274"/>
      <c r="AX21" s="312"/>
      <c r="AY21" s="274"/>
      <c r="AZ21" s="312"/>
      <c r="BA21" s="274"/>
      <c r="BB21" s="312"/>
      <c r="BC21" s="274"/>
      <c r="BD21" s="312"/>
      <c r="BE21" s="274"/>
      <c r="BF21" s="312"/>
      <c r="BG21" s="274"/>
      <c r="BH21" s="312"/>
      <c r="BI21" s="274"/>
      <c r="BJ21" s="274"/>
      <c r="BK21" s="275"/>
      <c r="BL21" s="182"/>
      <c r="BM21" s="183"/>
      <c r="BN21" s="183"/>
      <c r="BO21" s="183"/>
      <c r="BP21" s="183"/>
      <c r="BQ21" s="183"/>
      <c r="BR21" s="183"/>
      <c r="BS21" s="183"/>
      <c r="BT21" s="184">
        <f>SUM(Tabelle4[[#This Row],[Projektverantwortung
(Lenkungsausschuss) ]:[Kommunikation ]])</f>
        <v>0</v>
      </c>
      <c r="BU21" s="182"/>
      <c r="BV21" s="183"/>
      <c r="BW21" s="183"/>
      <c r="BX21" s="183"/>
      <c r="BY21" s="183"/>
      <c r="BZ21" s="183"/>
      <c r="CA21" s="183"/>
      <c r="CB21" s="183"/>
      <c r="CC21" s="184">
        <f>SUM(Tabelle4[[#This Row],[Projektverantwortung
(Lenkungsausschuss)   ]:[Kommunikation   ]])</f>
        <v>0</v>
      </c>
      <c r="CD21" s="182"/>
      <c r="CE21" s="183"/>
      <c r="CF21" s="183"/>
      <c r="CG21" s="183"/>
      <c r="CH21" s="183"/>
      <c r="CI21" s="183"/>
      <c r="CJ21" s="183"/>
      <c r="CK21" s="183"/>
      <c r="CL21" s="184">
        <f>SUM(Tabelle4[[#This Row],[Projektverantwortung
(Lenkungsausschuss).]:[Kommunikation    ]])</f>
        <v>0</v>
      </c>
      <c r="CM21" s="182"/>
      <c r="CN21" s="183"/>
      <c r="CO21" s="183"/>
      <c r="CP21" s="183"/>
      <c r="CQ21" s="183"/>
      <c r="CR21" s="183"/>
      <c r="CS21" s="183"/>
      <c r="CT21" s="183"/>
      <c r="CU21" s="184">
        <f>SUM(Tabelle4[[#This Row],[Projektverantwortung
(Lenkungsausschuss)    ]:[Kommunikation     ]])</f>
        <v>0</v>
      </c>
      <c r="CV21" s="185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21" s="182"/>
      <c r="CX21" s="182"/>
      <c r="CY21" s="182"/>
      <c r="CZ21" s="182"/>
      <c r="DA21" s="182"/>
      <c r="DB21" s="182"/>
      <c r="DC21" s="182"/>
      <c r="DD21" s="182"/>
      <c r="DE21" s="185">
        <f>SUM(Tabelle4[[#This Row],[Aufwand ]],Tabelle4[[#This Row],[Aufwand 2]],Tabelle4[[#This Row],[Aufwand 3]],Tabelle4[[#This Row],[Aufwand 4]])</f>
        <v>0</v>
      </c>
      <c r="DF21" s="182"/>
      <c r="DG21" s="182"/>
      <c r="DH21" s="182"/>
      <c r="DI21" s="182"/>
      <c r="DJ21" s="182"/>
      <c r="DK21" s="182"/>
      <c r="DL21" s="182"/>
      <c r="DM21" s="182"/>
      <c r="DN21" s="185">
        <f>SUM(Tabelle4[[#This Row],[Aufwand  ]],Tabelle4[[#This Row],[Aufwand  2]],Tabelle4[[#This Row],[Aufwand  3]],Tabelle4[[#This Row],[Aufwand  4]])</f>
        <v>0</v>
      </c>
      <c r="DO21" s="182"/>
      <c r="DP21" s="182"/>
      <c r="DQ21" s="182"/>
      <c r="DR21" s="182"/>
      <c r="DS21" s="182"/>
      <c r="DT21" s="182"/>
      <c r="DU21" s="182"/>
      <c r="DV21" s="182"/>
      <c r="DW21" s="185">
        <f>SUM(Tabelle4[[#This Row],[Aufwand   ]],Tabelle4[[#This Row],[Aufwand   2]],Tabelle4[[#This Row],[Aufwand   3]],Tabelle4[[#This Row],[Aufwand   4]])</f>
        <v>0</v>
      </c>
      <c r="DX21" s="182"/>
      <c r="DY21" s="182"/>
      <c r="DZ21" s="182"/>
      <c r="EA21" s="182"/>
      <c r="EB21" s="186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21" s="187">
        <f>Tabelle4[[#This Row],[Gesamaufwand]]/2000</f>
        <v>0</v>
      </c>
      <c r="ED21" s="47"/>
      <c r="EE21" s="47"/>
      <c r="EF21" s="47"/>
      <c r="EG21" s="47"/>
      <c r="EH21" s="47"/>
      <c r="EI21" s="48"/>
      <c r="EJ21" s="48"/>
      <c r="EK21" s="48"/>
      <c r="EL21" s="48"/>
      <c r="EM21" s="48"/>
    </row>
    <row r="22" spans="1:143" s="59" customFormat="1">
      <c r="A22" s="255" t="s">
        <v>1163</v>
      </c>
      <c r="B22" s="251"/>
      <c r="C22" s="254"/>
      <c r="D22" s="251"/>
      <c r="E22" s="251"/>
      <c r="F22" s="253"/>
      <c r="G22" s="253"/>
      <c r="H22" s="253"/>
      <c r="I22" s="254"/>
      <c r="J22" s="254"/>
      <c r="K22" s="105"/>
      <c r="L22" s="105"/>
      <c r="M22" s="48"/>
      <c r="N22" s="105"/>
      <c r="O22" s="255"/>
      <c r="P22" s="261"/>
      <c r="Q22" s="261"/>
      <c r="R22" s="261"/>
      <c r="S22" s="262"/>
      <c r="T22" s="263"/>
      <c r="U22" s="105"/>
      <c r="V22" s="259"/>
      <c r="W22" s="105" t="s">
        <v>690</v>
      </c>
      <c r="X22" s="105" t="s">
        <v>690</v>
      </c>
      <c r="Y22" s="105"/>
      <c r="Z22" s="105"/>
      <c r="AA22" s="105"/>
      <c r="AB22" s="105"/>
      <c r="AC22" s="105"/>
      <c r="AD22" s="105"/>
      <c r="AE22" s="105"/>
      <c r="AF22" s="105"/>
      <c r="AG22" s="105"/>
      <c r="AH22" s="115" t="s">
        <v>1087</v>
      </c>
      <c r="AI22" s="115"/>
      <c r="AJ22" s="115"/>
      <c r="AK22" s="105"/>
      <c r="AL22" s="115"/>
      <c r="AM22" s="115"/>
      <c r="AN22" s="115"/>
      <c r="AO22" s="115"/>
      <c r="AP22" s="311"/>
      <c r="AQ22" s="311">
        <v>8000</v>
      </c>
      <c r="AR22" s="115"/>
      <c r="AS22" s="115"/>
      <c r="AT22" s="311"/>
      <c r="AU22" s="115"/>
      <c r="AV22" s="311"/>
      <c r="AW22" s="115"/>
      <c r="AX22" s="311"/>
      <c r="AY22" s="115"/>
      <c r="AZ22" s="311"/>
      <c r="BA22" s="115"/>
      <c r="BB22" s="311"/>
      <c r="BC22" s="115"/>
      <c r="BD22" s="311"/>
      <c r="BE22" s="115"/>
      <c r="BF22" s="311"/>
      <c r="BG22" s="115"/>
      <c r="BH22" s="311"/>
      <c r="BI22" s="115"/>
      <c r="BJ22" s="115"/>
      <c r="BK22" s="115"/>
      <c r="BL22" s="105"/>
      <c r="BM22" s="106"/>
      <c r="BN22" s="106"/>
      <c r="BO22" s="106"/>
      <c r="BP22" s="106"/>
      <c r="BQ22" s="106"/>
      <c r="BR22" s="106"/>
      <c r="BS22" s="106"/>
      <c r="BT22" s="108">
        <f>SUM(Tabelle4[[#This Row],[Projektverantwortung
(Lenkungsausschuss) ]:[Kommunikation ]])</f>
        <v>0</v>
      </c>
      <c r="BU22" s="108"/>
      <c r="BV22" s="151"/>
      <c r="BW22" s="151"/>
      <c r="BX22" s="151"/>
      <c r="BY22" s="151"/>
      <c r="BZ22" s="151"/>
      <c r="CA22" s="151"/>
      <c r="CB22" s="151"/>
      <c r="CC22" s="108">
        <f>SUM(Tabelle4[[#This Row],[Projektverantwortung
(Lenkungsausschuss)   ]:[Kommunikation   ]])</f>
        <v>0</v>
      </c>
      <c r="CD22" s="108"/>
      <c r="CE22" s="151"/>
      <c r="CF22" s="151"/>
      <c r="CG22" s="151"/>
      <c r="CH22" s="151"/>
      <c r="CI22" s="151"/>
      <c r="CJ22" s="151"/>
      <c r="CK22" s="151"/>
      <c r="CL22" s="108">
        <f>SUM(Tabelle4[[#This Row],[Projektverantwortung
(Lenkungsausschuss).]:[Kommunikation    ]])</f>
        <v>0</v>
      </c>
      <c r="CM22" s="108"/>
      <c r="CN22" s="151"/>
      <c r="CO22" s="151"/>
      <c r="CP22" s="151"/>
      <c r="CQ22" s="151"/>
      <c r="CR22" s="151"/>
      <c r="CS22" s="151"/>
      <c r="CT22" s="151"/>
      <c r="CU22" s="108">
        <f>SUM(Tabelle4[[#This Row],[Projektverantwortung
(Lenkungsausschuss)    ]:[Kommunikation     ]])</f>
        <v>0</v>
      </c>
      <c r="CV22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22" s="105"/>
      <c r="CX22" s="105"/>
      <c r="CY22" s="116"/>
      <c r="CZ22" s="105"/>
      <c r="DA22" s="116"/>
      <c r="DB22" s="105"/>
      <c r="DC22" s="116"/>
      <c r="DD22" s="105"/>
      <c r="DE22" s="107">
        <f>SUM(Tabelle4[[#This Row],[Aufwand ]],Tabelle4[[#This Row],[Aufwand 2]],Tabelle4[[#This Row],[Aufwand 3]],Tabelle4[[#This Row],[Aufwand 4]])</f>
        <v>0</v>
      </c>
      <c r="DF22" s="116"/>
      <c r="DG22" s="105"/>
      <c r="DH22" s="105"/>
      <c r="DI22" s="116"/>
      <c r="DJ22" s="105"/>
      <c r="DK22" s="116"/>
      <c r="DL22" s="105"/>
      <c r="DM22" s="116"/>
      <c r="DN22" s="107">
        <f>SUM(Tabelle4[[#This Row],[Aufwand  ]],Tabelle4[[#This Row],[Aufwand  2]],Tabelle4[[#This Row],[Aufwand  3]],Tabelle4[[#This Row],[Aufwand  4]])</f>
        <v>0</v>
      </c>
      <c r="DO22" s="116"/>
      <c r="DP22" s="116"/>
      <c r="DQ22" s="116"/>
      <c r="DR22" s="105"/>
      <c r="DS22" s="105"/>
      <c r="DT22" s="116"/>
      <c r="DU22" s="105"/>
      <c r="DV22" s="116"/>
      <c r="DW22" s="107" t="e">
        <f>#REF!</f>
        <v>#REF!</v>
      </c>
      <c r="DX22" s="116"/>
      <c r="DY22" s="152"/>
      <c r="DZ22" s="105"/>
      <c r="EA22" s="180"/>
      <c r="EB22" s="181" t="e">
        <f>#REF!</f>
        <v>#REF!</v>
      </c>
      <c r="EC22" s="109"/>
      <c r="ED22" s="47"/>
      <c r="EE22" s="47"/>
      <c r="EF22" s="47"/>
      <c r="EG22" s="47"/>
      <c r="EH22" s="47"/>
      <c r="EI22" s="48"/>
      <c r="EJ22" s="48"/>
      <c r="EK22" s="48"/>
      <c r="EL22" s="48"/>
      <c r="EM22" s="48"/>
    </row>
    <row r="23" spans="1:143" s="199" customFormat="1">
      <c r="A23" s="265" t="s">
        <v>174</v>
      </c>
      <c r="B23" s="267" t="s">
        <v>75</v>
      </c>
      <c r="C23" s="268" t="s">
        <v>75</v>
      </c>
      <c r="D23" s="267"/>
      <c r="E23" s="267"/>
      <c r="F23" s="269"/>
      <c r="G23" s="269"/>
      <c r="H23" s="269"/>
      <c r="I23" s="268"/>
      <c r="J23" s="254"/>
      <c r="K23" s="105"/>
      <c r="L23" s="105"/>
      <c r="M23" s="48"/>
      <c r="N23" s="105"/>
      <c r="O23" s="265" t="s">
        <v>175</v>
      </c>
      <c r="P23" s="270">
        <v>5</v>
      </c>
      <c r="Q23" s="270">
        <v>0</v>
      </c>
      <c r="R23" s="270">
        <v>0</v>
      </c>
      <c r="S23" s="271" t="s">
        <v>123</v>
      </c>
      <c r="T23" s="272" t="s">
        <v>75</v>
      </c>
      <c r="U23" s="182"/>
      <c r="V23" s="273" t="s">
        <v>75</v>
      </c>
      <c r="W23" s="182" t="s">
        <v>75</v>
      </c>
      <c r="X23" s="182" t="s">
        <v>75</v>
      </c>
      <c r="Y23" s="182" t="s">
        <v>75</v>
      </c>
      <c r="Z23" s="182" t="s">
        <v>75</v>
      </c>
      <c r="AA23" s="182" t="s">
        <v>75</v>
      </c>
      <c r="AB23" s="182" t="s">
        <v>75</v>
      </c>
      <c r="AC23" s="182" t="s">
        <v>75</v>
      </c>
      <c r="AD23" s="182" t="s">
        <v>75</v>
      </c>
      <c r="AE23" s="182"/>
      <c r="AF23" s="182"/>
      <c r="AG23" s="182"/>
      <c r="AH23" s="274" t="s">
        <v>75</v>
      </c>
      <c r="AI23" s="274"/>
      <c r="AJ23" s="274"/>
      <c r="AK23" s="182"/>
      <c r="AL23" s="274"/>
      <c r="AM23" s="274"/>
      <c r="AN23" s="274"/>
      <c r="AO23" s="274">
        <f>Tabelle4[[#This Row],[Kredit-  / Budgetsumme
(RADAR: Gesamtkosten S)]]-Tabelle4[[#This Row],[Netto-Ausgaben Vorjahre ]]</f>
        <v>0</v>
      </c>
      <c r="AP23" s="312"/>
      <c r="AQ23" s="312"/>
      <c r="AR23" s="274">
        <f>Tabelle4[[#This Row],[Kreditrest per 1.1. aktuelles Jahr]]-Tabelle4[[#This Row],[Prognose 2018
(RADAR: Kosten 2018 S)]]</f>
        <v>0</v>
      </c>
      <c r="AS23" s="274"/>
      <c r="AT23" s="312"/>
      <c r="AU23" s="274"/>
      <c r="AV23" s="312"/>
      <c r="AW23" s="274"/>
      <c r="AX23" s="312"/>
      <c r="AY23" s="274"/>
      <c r="AZ23" s="312"/>
      <c r="BA23" s="274"/>
      <c r="BB23" s="312"/>
      <c r="BC23" s="274"/>
      <c r="BD23" s="312"/>
      <c r="BE23" s="274"/>
      <c r="BF23" s="312"/>
      <c r="BG23" s="274"/>
      <c r="BH23" s="312"/>
      <c r="BI23" s="274"/>
      <c r="BJ23" s="274"/>
      <c r="BK23" s="275"/>
      <c r="BL23" s="182"/>
      <c r="BM23" s="183"/>
      <c r="BN23" s="183"/>
      <c r="BO23" s="183"/>
      <c r="BP23" s="183"/>
      <c r="BQ23" s="183"/>
      <c r="BR23" s="183"/>
      <c r="BS23" s="183"/>
      <c r="BT23" s="184">
        <f>SUM(Tabelle4[[#This Row],[Projektverantwortung
(Lenkungsausschuss) ]:[Kommunikation ]])</f>
        <v>0</v>
      </c>
      <c r="BU23" s="182"/>
      <c r="BV23" s="183"/>
      <c r="BW23" s="183"/>
      <c r="BX23" s="183"/>
      <c r="BY23" s="183"/>
      <c r="BZ23" s="183"/>
      <c r="CA23" s="183"/>
      <c r="CB23" s="183"/>
      <c r="CC23" s="184">
        <f>SUM(Tabelle4[[#This Row],[Projektverantwortung
(Lenkungsausschuss)   ]:[Kommunikation   ]])</f>
        <v>0</v>
      </c>
      <c r="CD23" s="182"/>
      <c r="CE23" s="183"/>
      <c r="CF23" s="183"/>
      <c r="CG23" s="183"/>
      <c r="CH23" s="183"/>
      <c r="CI23" s="183"/>
      <c r="CJ23" s="183"/>
      <c r="CK23" s="183"/>
      <c r="CL23" s="184">
        <f>SUM(Tabelle4[[#This Row],[Projektverantwortung
(Lenkungsausschuss).]:[Kommunikation    ]])</f>
        <v>0</v>
      </c>
      <c r="CM23" s="182"/>
      <c r="CN23" s="183"/>
      <c r="CO23" s="183"/>
      <c r="CP23" s="183"/>
      <c r="CQ23" s="183"/>
      <c r="CR23" s="183"/>
      <c r="CS23" s="183"/>
      <c r="CT23" s="183"/>
      <c r="CU23" s="184">
        <f>SUM(Tabelle4[[#This Row],[Projektverantwortung
(Lenkungsausschuss)    ]:[Kommunikation     ]])</f>
        <v>0</v>
      </c>
      <c r="CV23" s="185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23" s="182"/>
      <c r="CX23" s="182"/>
      <c r="CY23" s="182"/>
      <c r="CZ23" s="182"/>
      <c r="DA23" s="182"/>
      <c r="DB23" s="182"/>
      <c r="DC23" s="182"/>
      <c r="DD23" s="182"/>
      <c r="DE23" s="185">
        <f>SUM(Tabelle4[[#This Row],[Aufwand ]],Tabelle4[[#This Row],[Aufwand 2]],Tabelle4[[#This Row],[Aufwand 3]],Tabelle4[[#This Row],[Aufwand 4]])</f>
        <v>0</v>
      </c>
      <c r="DF23" s="182"/>
      <c r="DG23" s="182"/>
      <c r="DH23" s="182"/>
      <c r="DI23" s="182"/>
      <c r="DJ23" s="182"/>
      <c r="DK23" s="182"/>
      <c r="DL23" s="182"/>
      <c r="DM23" s="182"/>
      <c r="DN23" s="185">
        <f>SUM(Tabelle4[[#This Row],[Aufwand  ]],Tabelle4[[#This Row],[Aufwand  2]],Tabelle4[[#This Row],[Aufwand  3]],Tabelle4[[#This Row],[Aufwand  4]])</f>
        <v>0</v>
      </c>
      <c r="DO23" s="182"/>
      <c r="DP23" s="182"/>
      <c r="DQ23" s="182"/>
      <c r="DR23" s="182"/>
      <c r="DS23" s="182"/>
      <c r="DT23" s="182"/>
      <c r="DU23" s="182"/>
      <c r="DV23" s="182"/>
      <c r="DW23" s="185">
        <f>SUM(Tabelle4[[#This Row],[Aufwand   ]],Tabelle4[[#This Row],[Aufwand   2]],Tabelle4[[#This Row],[Aufwand   3]],Tabelle4[[#This Row],[Aufwand   4]])</f>
        <v>0</v>
      </c>
      <c r="DX23" s="182"/>
      <c r="DY23" s="182"/>
      <c r="DZ23" s="182"/>
      <c r="EA23" s="182"/>
      <c r="EB23" s="186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23" s="187">
        <f>Tabelle4[[#This Row],[Gesamaufwand]]/2000</f>
        <v>0</v>
      </c>
      <c r="ED23" s="198"/>
      <c r="EE23" s="198"/>
      <c r="EF23" s="198"/>
      <c r="EG23" s="198"/>
      <c r="EH23" s="198"/>
      <c r="EI23" s="198"/>
      <c r="EJ23" s="198"/>
      <c r="EK23" s="198"/>
      <c r="EL23" s="198"/>
      <c r="EM23" s="198"/>
    </row>
    <row r="24" spans="1:143" s="199" customFormat="1">
      <c r="A24" s="255" t="s">
        <v>436</v>
      </c>
      <c r="B24" s="251" t="s">
        <v>75</v>
      </c>
      <c r="C24" s="254" t="s">
        <v>75</v>
      </c>
      <c r="D24" s="251"/>
      <c r="E24" s="251"/>
      <c r="F24" s="253"/>
      <c r="G24" s="253"/>
      <c r="H24" s="253"/>
      <c r="I24" s="254"/>
      <c r="J24" s="254"/>
      <c r="K24" s="105"/>
      <c r="L24" s="105"/>
      <c r="M24" s="48"/>
      <c r="N24" s="105"/>
      <c r="O24" s="255" t="s">
        <v>437</v>
      </c>
      <c r="P24" s="261">
        <v>2</v>
      </c>
      <c r="Q24" s="261">
        <v>0</v>
      </c>
      <c r="R24" s="261">
        <v>0</v>
      </c>
      <c r="S24" s="262" t="s">
        <v>129</v>
      </c>
      <c r="T24" s="263" t="s">
        <v>75</v>
      </c>
      <c r="U24" s="105"/>
      <c r="V24" s="259" t="s">
        <v>75</v>
      </c>
      <c r="W24" s="105" t="s">
        <v>75</v>
      </c>
      <c r="X24" s="105" t="s">
        <v>22</v>
      </c>
      <c r="Y24" s="105" t="s">
        <v>75</v>
      </c>
      <c r="Z24" s="105" t="s">
        <v>10</v>
      </c>
      <c r="AA24" s="105" t="s">
        <v>639</v>
      </c>
      <c r="AB24" s="105" t="s">
        <v>639</v>
      </c>
      <c r="AC24" s="105" t="s">
        <v>639</v>
      </c>
      <c r="AD24" s="105" t="s">
        <v>639</v>
      </c>
      <c r="AE24" s="105"/>
      <c r="AF24" s="105"/>
      <c r="AG24" s="105"/>
      <c r="AH24" s="115" t="s">
        <v>621</v>
      </c>
      <c r="AI24" s="115"/>
      <c r="AJ24" s="115"/>
      <c r="AK24" s="105"/>
      <c r="AL24" s="115"/>
      <c r="AM24" s="115"/>
      <c r="AN24" s="115"/>
      <c r="AO24" s="260">
        <f>Tabelle4[[#This Row],[Kredit-  / Budgetsumme
(RADAR: Gesamtkosten S)]]-Tabelle4[[#This Row],[Netto-Ausgaben Vorjahre ]]</f>
        <v>0</v>
      </c>
      <c r="AP24" s="310"/>
      <c r="AQ24" s="311"/>
      <c r="AR24" s="115">
        <f>Tabelle4[[#This Row],[Kreditrest per 1.1. aktuelles Jahr]]-Tabelle4[[#This Row],[Prognose 2018
(RADAR: Kosten 2018 S)]]</f>
        <v>0</v>
      </c>
      <c r="AS24" s="115"/>
      <c r="AT24" s="311"/>
      <c r="AU24" s="115"/>
      <c r="AV24" s="311"/>
      <c r="AW24" s="115"/>
      <c r="AX24" s="311"/>
      <c r="AY24" s="115"/>
      <c r="AZ24" s="311"/>
      <c r="BA24" s="115"/>
      <c r="BB24" s="311"/>
      <c r="BC24" s="115"/>
      <c r="BD24" s="311"/>
      <c r="BE24" s="115"/>
      <c r="BF24" s="311"/>
      <c r="BG24" s="115"/>
      <c r="BH24" s="311"/>
      <c r="BI24" s="115"/>
      <c r="BJ24" s="115"/>
      <c r="BK24" s="264"/>
      <c r="BL24" s="105"/>
      <c r="BM24" s="106"/>
      <c r="BN24" s="106"/>
      <c r="BO24" s="106"/>
      <c r="BP24" s="106"/>
      <c r="BQ24" s="106"/>
      <c r="BR24" s="106"/>
      <c r="BS24" s="106"/>
      <c r="BT24" s="108">
        <f>SUM(Tabelle4[[#This Row],[Projektverantwortung
(Lenkungsausschuss) ]:[Kommunikation ]])</f>
        <v>0</v>
      </c>
      <c r="BU24" s="105"/>
      <c r="BV24" s="106"/>
      <c r="BW24" s="106"/>
      <c r="BX24" s="106"/>
      <c r="BY24" s="106"/>
      <c r="BZ24" s="106"/>
      <c r="CA24" s="106"/>
      <c r="CB24" s="106"/>
      <c r="CC24" s="108">
        <f>SUM(Tabelle4[[#This Row],[Projektverantwortung
(Lenkungsausschuss)   ]:[Kommunikation   ]])</f>
        <v>0</v>
      </c>
      <c r="CD24" s="105"/>
      <c r="CE24" s="106"/>
      <c r="CF24" s="106"/>
      <c r="CG24" s="106"/>
      <c r="CH24" s="106"/>
      <c r="CI24" s="106"/>
      <c r="CJ24" s="106"/>
      <c r="CK24" s="106"/>
      <c r="CL24" s="108">
        <f>SUM(Tabelle4[[#This Row],[Projektverantwortung
(Lenkungsausschuss).]:[Kommunikation    ]])</f>
        <v>0</v>
      </c>
      <c r="CM24" s="105"/>
      <c r="CN24" s="106"/>
      <c r="CO24" s="106"/>
      <c r="CP24" s="106"/>
      <c r="CQ24" s="106"/>
      <c r="CR24" s="106"/>
      <c r="CS24" s="106"/>
      <c r="CT24" s="106"/>
      <c r="CU24" s="108">
        <f>SUM(Tabelle4[[#This Row],[Projektverantwortung
(Lenkungsausschuss)    ]:[Kommunikation     ]])</f>
        <v>0</v>
      </c>
      <c r="CV24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24" s="105"/>
      <c r="CX24" s="105"/>
      <c r="CY24" s="105"/>
      <c r="CZ24" s="105"/>
      <c r="DA24" s="105"/>
      <c r="DB24" s="105"/>
      <c r="DC24" s="105"/>
      <c r="DD24" s="105"/>
      <c r="DE24" s="107">
        <f>SUM(Tabelle4[[#This Row],[Aufwand ]],Tabelle4[[#This Row],[Aufwand 2]],Tabelle4[[#This Row],[Aufwand 3]],Tabelle4[[#This Row],[Aufwand 4]])</f>
        <v>0</v>
      </c>
      <c r="DF24" s="105"/>
      <c r="DG24" s="105"/>
      <c r="DH24" s="105"/>
      <c r="DI24" s="105"/>
      <c r="DJ24" s="105"/>
      <c r="DK24" s="105"/>
      <c r="DL24" s="105"/>
      <c r="DM24" s="105"/>
      <c r="DN24" s="107">
        <f>SUM(Tabelle4[[#This Row],[Aufwand  ]],Tabelle4[[#This Row],[Aufwand  2]],Tabelle4[[#This Row],[Aufwand  3]],Tabelle4[[#This Row],[Aufwand  4]])</f>
        <v>0</v>
      </c>
      <c r="DO24" s="105"/>
      <c r="DP24" s="105"/>
      <c r="DQ24" s="105"/>
      <c r="DR24" s="105"/>
      <c r="DS24" s="105"/>
      <c r="DT24" s="105"/>
      <c r="DU24" s="105"/>
      <c r="DV24" s="105"/>
      <c r="DW24" s="107">
        <f>SUM(Tabelle4[[#This Row],[Aufwand   ]],Tabelle4[[#This Row],[Aufwand   2]],Tabelle4[[#This Row],[Aufwand   3]],Tabelle4[[#This Row],[Aufwand   4]])</f>
        <v>0</v>
      </c>
      <c r="DX24" s="105"/>
      <c r="DY24" s="105"/>
      <c r="DZ24" s="105"/>
      <c r="EA24" s="105"/>
      <c r="EB24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24" s="122">
        <f>Tabelle4[[#This Row],[Gesamaufwand]]/2000</f>
        <v>0</v>
      </c>
      <c r="ED24" s="198"/>
      <c r="EE24" s="198"/>
      <c r="EF24" s="198"/>
      <c r="EG24" s="198"/>
      <c r="EH24" s="198"/>
      <c r="EI24" s="198"/>
      <c r="EJ24" s="198"/>
      <c r="EK24" s="198"/>
      <c r="EL24" s="198"/>
      <c r="EM24" s="198"/>
    </row>
    <row r="25" spans="1:143" s="59" customFormat="1">
      <c r="A25" s="248" t="s">
        <v>863</v>
      </c>
      <c r="B25" s="249" t="s">
        <v>105</v>
      </c>
      <c r="C25" s="250" t="s">
        <v>68</v>
      </c>
      <c r="D25" s="249" t="s">
        <v>913</v>
      </c>
      <c r="E25" s="249" t="s">
        <v>635</v>
      </c>
      <c r="F25" s="252">
        <v>1</v>
      </c>
      <c r="G25" s="252">
        <v>1</v>
      </c>
      <c r="H25" s="252"/>
      <c r="I25" s="250" t="s">
        <v>94</v>
      </c>
      <c r="J25" s="250"/>
      <c r="K25" s="110"/>
      <c r="L25" s="110"/>
      <c r="M25" s="77"/>
      <c r="N25" s="110"/>
      <c r="O25" s="248"/>
      <c r="P25" s="256"/>
      <c r="Q25" s="256"/>
      <c r="R25" s="256"/>
      <c r="S25" s="257"/>
      <c r="T25" s="258"/>
      <c r="U25" s="110"/>
      <c r="V25" s="266" t="s">
        <v>615</v>
      </c>
      <c r="W25" s="110" t="s">
        <v>656</v>
      </c>
      <c r="X25" s="110" t="s">
        <v>11</v>
      </c>
      <c r="Y25" s="110" t="s">
        <v>22</v>
      </c>
      <c r="Z25" s="110" t="s">
        <v>860</v>
      </c>
      <c r="AA25" s="105" t="s">
        <v>639</v>
      </c>
      <c r="AB25" s="105" t="s">
        <v>639</v>
      </c>
      <c r="AC25" s="105" t="s">
        <v>639</v>
      </c>
      <c r="AD25" s="105" t="s">
        <v>639</v>
      </c>
      <c r="AE25" s="110"/>
      <c r="AF25" s="110"/>
      <c r="AG25" s="110"/>
      <c r="AH25" s="260" t="s">
        <v>621</v>
      </c>
      <c r="AI25" s="260"/>
      <c r="AJ25" s="260"/>
      <c r="AK25" s="110"/>
      <c r="AL25" s="260"/>
      <c r="AM25" s="260"/>
      <c r="AN25" s="260"/>
      <c r="AO25" s="260">
        <f>Tabelle4[[#This Row],[Kredit-  / Budgetsumme
(RADAR: Gesamtkosten S)]]-Tabelle4[[#This Row],[Netto-Ausgaben Vorjahre ]]</f>
        <v>0</v>
      </c>
      <c r="AP25" s="310"/>
      <c r="AQ25" s="310"/>
      <c r="AR25" s="260">
        <f>Tabelle4[[#This Row],[Kreditrest per 1.1. aktuelles Jahr]]-Tabelle4[[#This Row],[Prognose 2018
(RADAR: Kosten 2018 S)]]</f>
        <v>0</v>
      </c>
      <c r="AS25" s="260"/>
      <c r="AT25" s="310"/>
      <c r="AU25" s="260"/>
      <c r="AV25" s="310"/>
      <c r="AW25" s="260"/>
      <c r="AX25" s="310"/>
      <c r="AY25" s="260"/>
      <c r="AZ25" s="310"/>
      <c r="BA25" s="260"/>
      <c r="BB25" s="310"/>
      <c r="BC25" s="260"/>
      <c r="BD25" s="310"/>
      <c r="BE25" s="260"/>
      <c r="BF25" s="310"/>
      <c r="BG25" s="260"/>
      <c r="BH25" s="310"/>
      <c r="BI25" s="260"/>
      <c r="BJ25" s="260"/>
      <c r="BK25" s="260"/>
      <c r="BL25" s="105"/>
      <c r="BM25" s="111">
        <v>0</v>
      </c>
      <c r="BN25" s="111">
        <v>40</v>
      </c>
      <c r="BO25" s="111">
        <v>100</v>
      </c>
      <c r="BP25" s="111"/>
      <c r="BQ25" s="111"/>
      <c r="BR25" s="111"/>
      <c r="BS25" s="111"/>
      <c r="BT25" s="113">
        <f>SUM(Tabelle4[[#This Row],[Projektverantwortung
(Lenkungsausschuss) ]:[Kommunikation ]])</f>
        <v>140</v>
      </c>
      <c r="BU25" s="113"/>
      <c r="BV25" s="114"/>
      <c r="BW25" s="114"/>
      <c r="BX25" s="114"/>
      <c r="BY25" s="114"/>
      <c r="BZ25" s="114"/>
      <c r="CA25" s="114"/>
      <c r="CB25" s="114"/>
      <c r="CC25" s="113">
        <f>SUM(Tabelle4[[#This Row],[Projektverantwortung
(Lenkungsausschuss)   ]:[Kommunikation   ]])</f>
        <v>0</v>
      </c>
      <c r="CD25" s="113"/>
      <c r="CE25" s="114"/>
      <c r="CF25" s="114"/>
      <c r="CG25" s="114"/>
      <c r="CH25" s="114"/>
      <c r="CI25" s="114"/>
      <c r="CJ25" s="114"/>
      <c r="CK25" s="114"/>
      <c r="CL25" s="113">
        <f>SUM(Tabelle4[[#This Row],[Projektverantwortung
(Lenkungsausschuss).]:[Kommunikation    ]])</f>
        <v>0</v>
      </c>
      <c r="CM25" s="113"/>
      <c r="CN25" s="114"/>
      <c r="CO25" s="114"/>
      <c r="CP25" s="114"/>
      <c r="CQ25" s="114"/>
      <c r="CR25" s="114"/>
      <c r="CS25" s="114"/>
      <c r="CT25" s="114"/>
      <c r="CU25" s="113">
        <f>SUM(Tabelle4[[#This Row],[Projektverantwortung
(Lenkungsausschuss)    ]:[Kommunikation     ]])</f>
        <v>0</v>
      </c>
      <c r="CV25" s="112">
        <f>SUM(Tabelle4[[#This Row],[Total Aufwand
1. Quartal 2018]],Tabelle4[[#This Row],[Total Aufwand
2. Quartal 2018]],Tabelle4[[#This Row],[Total Aufwand
3. Quartal 2018]],Tabelle4[[#This Row],[Total Aufwand
4. Quartal 2018]])</f>
        <v>140</v>
      </c>
      <c r="CW25" s="110"/>
      <c r="CX25" s="110"/>
      <c r="CY25" s="142"/>
      <c r="CZ25" s="110"/>
      <c r="DA25" s="142"/>
      <c r="DB25" s="110"/>
      <c r="DC25" s="142"/>
      <c r="DD25" s="110"/>
      <c r="DE25" s="112">
        <f>SUM(Tabelle4[[#This Row],[Aufwand ]],Tabelle4[[#This Row],[Aufwand 2]],Tabelle4[[#This Row],[Aufwand 3]],Tabelle4[[#This Row],[Aufwand 4]])</f>
        <v>0</v>
      </c>
      <c r="DF25" s="142"/>
      <c r="DG25" s="110"/>
      <c r="DH25" s="110"/>
      <c r="DI25" s="142"/>
      <c r="DJ25" s="110"/>
      <c r="DK25" s="142"/>
      <c r="DL25" s="110"/>
      <c r="DM25" s="142"/>
      <c r="DN25" s="112">
        <f>SUM(Tabelle4[[#This Row],[Aufwand  ]],Tabelle4[[#This Row],[Aufwand  2]],Tabelle4[[#This Row],[Aufwand  3]],Tabelle4[[#This Row],[Aufwand  4]])</f>
        <v>0</v>
      </c>
      <c r="DO25" s="142"/>
      <c r="DP25" s="110"/>
      <c r="DQ25" s="110"/>
      <c r="DR25" s="142"/>
      <c r="DS25" s="110"/>
      <c r="DT25" s="142"/>
      <c r="DU25" s="110"/>
      <c r="DV25" s="142"/>
      <c r="DW25" s="107">
        <f>SUM(Tabelle4[[#This Row],[Aufwand   ]],Tabelle4[[#This Row],[Aufwand   2]],Tabelle4[[#This Row],[Aufwand   3]],Tabelle4[[#This Row],[Aufwand   4]])</f>
        <v>0</v>
      </c>
      <c r="DX25" s="142"/>
      <c r="DY25" s="143"/>
      <c r="DZ25" s="105"/>
      <c r="EA25" s="105"/>
      <c r="EB25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140</v>
      </c>
      <c r="EC25" s="122">
        <f>Tabelle4[[#This Row],[Gesamaufwand]]/2000</f>
        <v>7.0000000000000007E-2</v>
      </c>
      <c r="ED25" s="47"/>
      <c r="EE25" s="47"/>
      <c r="EF25" s="47"/>
      <c r="EG25" s="47"/>
      <c r="EH25" s="47"/>
      <c r="EI25" s="48"/>
      <c r="EJ25" s="48"/>
      <c r="EK25" s="48"/>
      <c r="EL25" s="48"/>
      <c r="EM25" s="48"/>
    </row>
    <row r="26" spans="1:143" s="59" customFormat="1">
      <c r="A26" s="255" t="s">
        <v>1083</v>
      </c>
      <c r="B26" s="251" t="s">
        <v>105</v>
      </c>
      <c r="C26" s="254" t="s">
        <v>68</v>
      </c>
      <c r="D26" s="251" t="s">
        <v>914</v>
      </c>
      <c r="E26" s="251" t="s">
        <v>859</v>
      </c>
      <c r="F26" s="253">
        <v>4</v>
      </c>
      <c r="G26" s="253">
        <v>1</v>
      </c>
      <c r="H26" s="253"/>
      <c r="I26" s="254" t="s">
        <v>95</v>
      </c>
      <c r="J26" s="254"/>
      <c r="K26" s="105"/>
      <c r="L26" s="105"/>
      <c r="M26" s="48"/>
      <c r="N26" s="105"/>
      <c r="O26" s="255" t="s">
        <v>214</v>
      </c>
      <c r="P26" s="261">
        <v>5</v>
      </c>
      <c r="Q26" s="261">
        <v>0</v>
      </c>
      <c r="R26" s="261">
        <v>0</v>
      </c>
      <c r="S26" s="262" t="s">
        <v>215</v>
      </c>
      <c r="T26" s="263" t="s">
        <v>673</v>
      </c>
      <c r="U26" s="105"/>
      <c r="V26" s="259" t="s">
        <v>12</v>
      </c>
      <c r="W26" s="105" t="s">
        <v>8</v>
      </c>
      <c r="X26" s="105" t="s">
        <v>10</v>
      </c>
      <c r="Y26" s="105"/>
      <c r="Z26" s="105"/>
      <c r="AA26" s="105"/>
      <c r="AB26" s="105"/>
      <c r="AC26" s="105"/>
      <c r="AD26" s="105"/>
      <c r="AE26" s="105"/>
      <c r="AF26" s="105"/>
      <c r="AG26" s="105"/>
      <c r="AH26" s="115" t="s">
        <v>1092</v>
      </c>
      <c r="AI26" s="115"/>
      <c r="AJ26" s="115"/>
      <c r="AK26" s="105"/>
      <c r="AL26" s="115"/>
      <c r="AM26" s="115"/>
      <c r="AN26" s="115"/>
      <c r="AO26" s="115"/>
      <c r="AP26" s="311"/>
      <c r="AQ26" s="311">
        <v>2000</v>
      </c>
      <c r="AR26" s="115"/>
      <c r="AS26" s="115"/>
      <c r="AT26" s="311">
        <v>2000</v>
      </c>
      <c r="AU26" s="115"/>
      <c r="AV26" s="311">
        <v>2000</v>
      </c>
      <c r="AW26" s="115"/>
      <c r="AX26" s="311">
        <v>2000</v>
      </c>
      <c r="AY26" s="115"/>
      <c r="AZ26" s="311">
        <v>2000</v>
      </c>
      <c r="BA26" s="115"/>
      <c r="BB26" s="311">
        <v>2000</v>
      </c>
      <c r="BC26" s="115"/>
      <c r="BD26" s="311">
        <v>2000</v>
      </c>
      <c r="BE26" s="115"/>
      <c r="BF26" s="311">
        <v>2000</v>
      </c>
      <c r="BG26" s="115"/>
      <c r="BH26" s="311">
        <v>2000</v>
      </c>
      <c r="BI26" s="115"/>
      <c r="BJ26" s="115"/>
      <c r="BK26" s="115"/>
      <c r="BL26" s="105"/>
      <c r="BM26" s="106"/>
      <c r="BN26" s="106"/>
      <c r="BO26" s="106"/>
      <c r="BP26" s="106"/>
      <c r="BQ26" s="106"/>
      <c r="BR26" s="106"/>
      <c r="BS26" s="106"/>
      <c r="BT26" s="108">
        <f>SUM(Tabelle4[[#This Row],[Projektverantwortung
(Lenkungsausschuss) ]:[Kommunikation ]])</f>
        <v>0</v>
      </c>
      <c r="BU26" s="108"/>
      <c r="BV26" s="151"/>
      <c r="BW26" s="151"/>
      <c r="BX26" s="151"/>
      <c r="BY26" s="151"/>
      <c r="BZ26" s="151"/>
      <c r="CA26" s="151"/>
      <c r="CB26" s="151"/>
      <c r="CC26" s="108">
        <f>SUM(Tabelle4[[#This Row],[Projektverantwortung
(Lenkungsausschuss)   ]:[Kommunikation   ]])</f>
        <v>0</v>
      </c>
      <c r="CD26" s="108"/>
      <c r="CE26" s="151"/>
      <c r="CF26" s="151"/>
      <c r="CG26" s="151"/>
      <c r="CH26" s="151"/>
      <c r="CI26" s="151"/>
      <c r="CJ26" s="151"/>
      <c r="CK26" s="151"/>
      <c r="CL26" s="108">
        <f>SUM(Tabelle4[[#This Row],[Projektverantwortung
(Lenkungsausschuss).]:[Kommunikation    ]])</f>
        <v>0</v>
      </c>
      <c r="CM26" s="108"/>
      <c r="CN26" s="151"/>
      <c r="CO26" s="151"/>
      <c r="CP26" s="151"/>
      <c r="CQ26" s="151"/>
      <c r="CR26" s="151"/>
      <c r="CS26" s="151"/>
      <c r="CT26" s="151"/>
      <c r="CU26" s="108">
        <f>SUM(Tabelle4[[#This Row],[Projektverantwortung
(Lenkungsausschuss)    ]:[Kommunikation     ]])</f>
        <v>0</v>
      </c>
      <c r="CV26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26" s="105"/>
      <c r="CX26" s="105"/>
      <c r="CY26" s="116"/>
      <c r="CZ26" s="105"/>
      <c r="DA26" s="116"/>
      <c r="DB26" s="105"/>
      <c r="DC26" s="116"/>
      <c r="DD26" s="105"/>
      <c r="DE26" s="107">
        <f>SUM(Tabelle4[[#This Row],[Aufwand ]],Tabelle4[[#This Row],[Aufwand 2]],Tabelle4[[#This Row],[Aufwand 3]],Tabelle4[[#This Row],[Aufwand 4]])</f>
        <v>0</v>
      </c>
      <c r="DF26" s="116"/>
      <c r="DG26" s="105"/>
      <c r="DH26" s="105"/>
      <c r="DI26" s="116"/>
      <c r="DJ26" s="105"/>
      <c r="DK26" s="116"/>
      <c r="DL26" s="105"/>
      <c r="DM26" s="116"/>
      <c r="DN26" s="107">
        <f>SUM(Tabelle4[[#This Row],[Aufwand  ]],Tabelle4[[#This Row],[Aufwand  2]],Tabelle4[[#This Row],[Aufwand  3]],Tabelle4[[#This Row],[Aufwand  4]])</f>
        <v>0</v>
      </c>
      <c r="DO26" s="116"/>
      <c r="DP26" s="116"/>
      <c r="DQ26" s="116"/>
      <c r="DR26" s="105"/>
      <c r="DS26" s="105"/>
      <c r="DT26" s="116"/>
      <c r="DU26" s="105"/>
      <c r="DV26" s="116"/>
      <c r="DW26" s="107" t="e">
        <f>#REF!</f>
        <v>#REF!</v>
      </c>
      <c r="DX26" s="116"/>
      <c r="DY26" s="152"/>
      <c r="DZ26" s="105"/>
      <c r="EA26" s="180"/>
      <c r="EB26" s="181" t="e">
        <f>#REF!</f>
        <v>#REF!</v>
      </c>
      <c r="EC26" s="109"/>
      <c r="ED26" s="47"/>
      <c r="EE26" s="47"/>
      <c r="EF26" s="47"/>
      <c r="EG26" s="47"/>
      <c r="EH26" s="47"/>
      <c r="EI26" s="48"/>
      <c r="EJ26" s="48"/>
      <c r="EK26" s="48"/>
      <c r="EL26" s="48"/>
      <c r="EM26" s="48"/>
    </row>
    <row r="27" spans="1:143" s="59" customFormat="1">
      <c r="A27" s="255" t="s">
        <v>438</v>
      </c>
      <c r="B27" s="251" t="s">
        <v>103</v>
      </c>
      <c r="C27" s="254" t="s">
        <v>68</v>
      </c>
      <c r="D27" s="251" t="s">
        <v>913</v>
      </c>
      <c r="E27" s="251" t="s">
        <v>635</v>
      </c>
      <c r="F27" s="253">
        <v>4</v>
      </c>
      <c r="G27" s="253">
        <v>4</v>
      </c>
      <c r="H27" s="253"/>
      <c r="I27" s="254" t="s">
        <v>96</v>
      </c>
      <c r="J27" s="254"/>
      <c r="K27" s="105"/>
      <c r="L27" s="105"/>
      <c r="M27" s="48"/>
      <c r="N27" s="105"/>
      <c r="O27" s="255" t="s">
        <v>439</v>
      </c>
      <c r="P27" s="261">
        <v>2</v>
      </c>
      <c r="Q27" s="261">
        <v>0</v>
      </c>
      <c r="R27" s="261">
        <v>0</v>
      </c>
      <c r="S27" s="262" t="s">
        <v>146</v>
      </c>
      <c r="T27" s="263" t="s">
        <v>658</v>
      </c>
      <c r="U27" s="105"/>
      <c r="V27" s="259" t="s">
        <v>609</v>
      </c>
      <c r="W27" s="105" t="s">
        <v>6</v>
      </c>
      <c r="X27" s="105" t="s">
        <v>75</v>
      </c>
      <c r="Y27" s="105" t="s">
        <v>75</v>
      </c>
      <c r="Z27" s="105" t="s">
        <v>75</v>
      </c>
      <c r="AA27" s="105" t="s">
        <v>75</v>
      </c>
      <c r="AB27" s="105" t="s">
        <v>75</v>
      </c>
      <c r="AC27" s="105" t="s">
        <v>75</v>
      </c>
      <c r="AD27" s="105" t="s">
        <v>639</v>
      </c>
      <c r="AE27" s="105"/>
      <c r="AF27" s="105"/>
      <c r="AG27" s="105"/>
      <c r="AH27" s="115" t="s">
        <v>621</v>
      </c>
      <c r="AI27" s="115"/>
      <c r="AJ27" s="115"/>
      <c r="AK27" s="105"/>
      <c r="AL27" s="115"/>
      <c r="AM27" s="115"/>
      <c r="AN27" s="115"/>
      <c r="AO27" s="260">
        <f>Tabelle4[[#This Row],[Kredit-  / Budgetsumme
(RADAR: Gesamtkosten S)]]-Tabelle4[[#This Row],[Netto-Ausgaben Vorjahre ]]</f>
        <v>0</v>
      </c>
      <c r="AP27" s="310"/>
      <c r="AQ27" s="311"/>
      <c r="AR27" s="115">
        <f>Tabelle4[[#This Row],[Kreditrest per 1.1. aktuelles Jahr]]-Tabelle4[[#This Row],[Prognose 2018
(RADAR: Kosten 2018 S)]]</f>
        <v>0</v>
      </c>
      <c r="AS27" s="115"/>
      <c r="AT27" s="311"/>
      <c r="AU27" s="115"/>
      <c r="AV27" s="311"/>
      <c r="AW27" s="115"/>
      <c r="AX27" s="311"/>
      <c r="AY27" s="115"/>
      <c r="AZ27" s="311"/>
      <c r="BA27" s="115"/>
      <c r="BB27" s="311"/>
      <c r="BC27" s="115"/>
      <c r="BD27" s="311"/>
      <c r="BE27" s="115"/>
      <c r="BF27" s="311"/>
      <c r="BG27" s="115"/>
      <c r="BH27" s="311"/>
      <c r="BI27" s="115"/>
      <c r="BJ27" s="115"/>
      <c r="BK27" s="264"/>
      <c r="BL27" s="105"/>
      <c r="BM27" s="106"/>
      <c r="BN27" s="106"/>
      <c r="BO27" s="106"/>
      <c r="BP27" s="106"/>
      <c r="BQ27" s="106"/>
      <c r="BR27" s="106"/>
      <c r="BS27" s="106"/>
      <c r="BT27" s="108">
        <f>SUM(Tabelle4[[#This Row],[Projektverantwortung
(Lenkungsausschuss) ]:[Kommunikation ]])</f>
        <v>0</v>
      </c>
      <c r="BU27" s="105"/>
      <c r="BV27" s="106"/>
      <c r="BW27" s="106"/>
      <c r="BX27" s="106"/>
      <c r="BY27" s="106"/>
      <c r="BZ27" s="106"/>
      <c r="CA27" s="106"/>
      <c r="CB27" s="106"/>
      <c r="CC27" s="108">
        <f>SUM(Tabelle4[[#This Row],[Projektverantwortung
(Lenkungsausschuss)   ]:[Kommunikation   ]])</f>
        <v>0</v>
      </c>
      <c r="CD27" s="105"/>
      <c r="CE27" s="106"/>
      <c r="CF27" s="106"/>
      <c r="CG27" s="106"/>
      <c r="CH27" s="106"/>
      <c r="CI27" s="106"/>
      <c r="CJ27" s="106"/>
      <c r="CK27" s="106"/>
      <c r="CL27" s="108">
        <f>SUM(Tabelle4[[#This Row],[Projektverantwortung
(Lenkungsausschuss).]:[Kommunikation    ]])</f>
        <v>0</v>
      </c>
      <c r="CM27" s="105"/>
      <c r="CN27" s="106"/>
      <c r="CO27" s="106"/>
      <c r="CP27" s="106"/>
      <c r="CQ27" s="106"/>
      <c r="CR27" s="106"/>
      <c r="CS27" s="106"/>
      <c r="CT27" s="106"/>
      <c r="CU27" s="108">
        <f>SUM(Tabelle4[[#This Row],[Projektverantwortung
(Lenkungsausschuss)    ]:[Kommunikation     ]])</f>
        <v>0</v>
      </c>
      <c r="CV27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27" s="105"/>
      <c r="CX27" s="105"/>
      <c r="CY27" s="105"/>
      <c r="CZ27" s="105"/>
      <c r="DA27" s="105"/>
      <c r="DB27" s="105"/>
      <c r="DC27" s="105"/>
      <c r="DD27" s="105"/>
      <c r="DE27" s="107">
        <f>SUM(Tabelle4[[#This Row],[Aufwand ]],Tabelle4[[#This Row],[Aufwand 2]],Tabelle4[[#This Row],[Aufwand 3]],Tabelle4[[#This Row],[Aufwand 4]])</f>
        <v>0</v>
      </c>
      <c r="DF27" s="105"/>
      <c r="DG27" s="105"/>
      <c r="DH27" s="105"/>
      <c r="DI27" s="105"/>
      <c r="DJ27" s="105"/>
      <c r="DK27" s="105"/>
      <c r="DL27" s="105"/>
      <c r="DM27" s="105"/>
      <c r="DN27" s="107">
        <f>SUM(Tabelle4[[#This Row],[Aufwand  ]],Tabelle4[[#This Row],[Aufwand  2]],Tabelle4[[#This Row],[Aufwand  3]],Tabelle4[[#This Row],[Aufwand  4]])</f>
        <v>0</v>
      </c>
      <c r="DO27" s="105"/>
      <c r="DP27" s="105"/>
      <c r="DQ27" s="105"/>
      <c r="DR27" s="105"/>
      <c r="DS27" s="105"/>
      <c r="DT27" s="105"/>
      <c r="DU27" s="105"/>
      <c r="DV27" s="105"/>
      <c r="DW27" s="107">
        <f>SUM(Tabelle4[[#This Row],[Aufwand   ]],Tabelle4[[#This Row],[Aufwand   2]],Tabelle4[[#This Row],[Aufwand   3]],Tabelle4[[#This Row],[Aufwand   4]])</f>
        <v>0</v>
      </c>
      <c r="DX27" s="105"/>
      <c r="DY27" s="105"/>
      <c r="DZ27" s="105"/>
      <c r="EA27" s="105"/>
      <c r="EB27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27" s="122">
        <f>Tabelle4[[#This Row],[Gesamaufwand]]/2000</f>
        <v>0</v>
      </c>
      <c r="ED27" s="47"/>
      <c r="EE27" s="47"/>
      <c r="EF27" s="47"/>
      <c r="EG27" s="47"/>
      <c r="EH27" s="47"/>
      <c r="EI27" s="48"/>
      <c r="EJ27" s="48"/>
      <c r="EK27" s="48"/>
      <c r="EL27" s="48"/>
      <c r="EM27" s="48"/>
    </row>
    <row r="28" spans="1:143" s="59" customFormat="1">
      <c r="A28" s="255" t="s">
        <v>440</v>
      </c>
      <c r="B28" s="251" t="s">
        <v>105</v>
      </c>
      <c r="C28" s="254" t="s">
        <v>68</v>
      </c>
      <c r="D28" s="251" t="s">
        <v>913</v>
      </c>
      <c r="E28" s="251" t="s">
        <v>695</v>
      </c>
      <c r="F28" s="253">
        <v>2</v>
      </c>
      <c r="G28" s="253">
        <v>2</v>
      </c>
      <c r="H28" s="253"/>
      <c r="I28" s="254" t="s">
        <v>95</v>
      </c>
      <c r="J28" s="254"/>
      <c r="K28" s="105"/>
      <c r="L28" s="105"/>
      <c r="M28" s="48"/>
      <c r="N28" s="105"/>
      <c r="O28" s="255" t="s">
        <v>441</v>
      </c>
      <c r="P28" s="261">
        <v>2</v>
      </c>
      <c r="Q28" s="261">
        <v>0</v>
      </c>
      <c r="R28" s="261">
        <v>0</v>
      </c>
      <c r="S28" s="262" t="s">
        <v>132</v>
      </c>
      <c r="T28" s="263" t="s">
        <v>661</v>
      </c>
      <c r="U28" s="105"/>
      <c r="V28" s="259" t="s">
        <v>607</v>
      </c>
      <c r="W28" s="105" t="s">
        <v>6</v>
      </c>
      <c r="X28" s="105" t="s">
        <v>86</v>
      </c>
      <c r="Y28" s="105" t="s">
        <v>690</v>
      </c>
      <c r="Z28" s="105" t="s">
        <v>81</v>
      </c>
      <c r="AA28" s="105" t="s">
        <v>639</v>
      </c>
      <c r="AB28" s="105" t="s">
        <v>639</v>
      </c>
      <c r="AC28" s="105" t="s">
        <v>639</v>
      </c>
      <c r="AD28" s="105" t="s">
        <v>639</v>
      </c>
      <c r="AE28" s="105"/>
      <c r="AF28" s="105"/>
      <c r="AG28" s="105"/>
      <c r="AH28" s="115" t="s">
        <v>621</v>
      </c>
      <c r="AI28" s="115"/>
      <c r="AJ28" s="115"/>
      <c r="AK28" s="105"/>
      <c r="AL28" s="115"/>
      <c r="AM28" s="115"/>
      <c r="AN28" s="115"/>
      <c r="AO28" s="260">
        <f>Tabelle4[[#This Row],[Kredit-  / Budgetsumme
(RADAR: Gesamtkosten S)]]-Tabelle4[[#This Row],[Netto-Ausgaben Vorjahre ]]</f>
        <v>0</v>
      </c>
      <c r="AP28" s="310"/>
      <c r="AQ28" s="311"/>
      <c r="AR28" s="115">
        <f>Tabelle4[[#This Row],[Kreditrest per 1.1. aktuelles Jahr]]-Tabelle4[[#This Row],[Prognose 2018
(RADAR: Kosten 2018 S)]]</f>
        <v>0</v>
      </c>
      <c r="AS28" s="115"/>
      <c r="AT28" s="311"/>
      <c r="AU28" s="115"/>
      <c r="AV28" s="311"/>
      <c r="AW28" s="115"/>
      <c r="AX28" s="311"/>
      <c r="AY28" s="115"/>
      <c r="AZ28" s="311"/>
      <c r="BA28" s="115"/>
      <c r="BB28" s="311"/>
      <c r="BC28" s="115"/>
      <c r="BD28" s="311"/>
      <c r="BE28" s="115"/>
      <c r="BF28" s="311"/>
      <c r="BG28" s="115"/>
      <c r="BH28" s="311"/>
      <c r="BI28" s="115"/>
      <c r="BJ28" s="115"/>
      <c r="BK28" s="264"/>
      <c r="BL28" s="105"/>
      <c r="BM28" s="106">
        <v>8</v>
      </c>
      <c r="BN28" s="106"/>
      <c r="BO28" s="106">
        <v>20</v>
      </c>
      <c r="BP28" s="106"/>
      <c r="BQ28" s="106"/>
      <c r="BR28" s="106"/>
      <c r="BS28" s="106"/>
      <c r="BT28" s="108">
        <f>SUM(Tabelle4[[#This Row],[Projektverantwortung
(Lenkungsausschuss) ]:[Kommunikation ]])</f>
        <v>28</v>
      </c>
      <c r="BU28" s="105"/>
      <c r="BV28" s="106">
        <v>8</v>
      </c>
      <c r="BW28" s="106"/>
      <c r="BX28" s="106">
        <v>20</v>
      </c>
      <c r="BY28" s="106"/>
      <c r="BZ28" s="106"/>
      <c r="CA28" s="106"/>
      <c r="CB28" s="106"/>
      <c r="CC28" s="108">
        <f>SUM(Tabelle4[[#This Row],[Projektverantwortung
(Lenkungsausschuss)   ]:[Kommunikation   ]])</f>
        <v>28</v>
      </c>
      <c r="CD28" s="105"/>
      <c r="CE28" s="106">
        <v>8</v>
      </c>
      <c r="CF28" s="106"/>
      <c r="CG28" s="106">
        <v>20</v>
      </c>
      <c r="CH28" s="106"/>
      <c r="CI28" s="106"/>
      <c r="CJ28" s="106"/>
      <c r="CK28" s="106"/>
      <c r="CL28" s="108">
        <f>SUM(Tabelle4[[#This Row],[Projektverantwortung
(Lenkungsausschuss).]:[Kommunikation    ]])</f>
        <v>28</v>
      </c>
      <c r="CM28" s="105"/>
      <c r="CN28" s="106">
        <v>8</v>
      </c>
      <c r="CO28" s="106"/>
      <c r="CP28" s="106">
        <v>20</v>
      </c>
      <c r="CQ28" s="106"/>
      <c r="CR28" s="106"/>
      <c r="CS28" s="106"/>
      <c r="CT28" s="106"/>
      <c r="CU28" s="108">
        <f>SUM(Tabelle4[[#This Row],[Projektverantwortung
(Lenkungsausschuss)    ]:[Kommunikation     ]])</f>
        <v>28</v>
      </c>
      <c r="CV28" s="107">
        <f>SUM(Tabelle4[[#This Row],[Total Aufwand
1. Quartal 2018]],Tabelle4[[#This Row],[Total Aufwand
2. Quartal 2018]],Tabelle4[[#This Row],[Total Aufwand
3. Quartal 2018]],Tabelle4[[#This Row],[Total Aufwand
4. Quartal 2018]])</f>
        <v>112</v>
      </c>
      <c r="CW28" s="105"/>
      <c r="CX28" s="105"/>
      <c r="CY28" s="105"/>
      <c r="CZ28" s="105"/>
      <c r="DA28" s="105"/>
      <c r="DB28" s="105"/>
      <c r="DC28" s="105"/>
      <c r="DD28" s="105"/>
      <c r="DE28" s="107">
        <f>SUM(Tabelle4[[#This Row],[Aufwand ]],Tabelle4[[#This Row],[Aufwand 2]],Tabelle4[[#This Row],[Aufwand 3]],Tabelle4[[#This Row],[Aufwand 4]])</f>
        <v>0</v>
      </c>
      <c r="DF28" s="105"/>
      <c r="DG28" s="105"/>
      <c r="DH28" s="105"/>
      <c r="DI28" s="105"/>
      <c r="DJ28" s="105"/>
      <c r="DK28" s="105"/>
      <c r="DL28" s="105"/>
      <c r="DM28" s="105"/>
      <c r="DN28" s="107">
        <f>SUM(Tabelle4[[#This Row],[Aufwand  ]],Tabelle4[[#This Row],[Aufwand  2]],Tabelle4[[#This Row],[Aufwand  3]],Tabelle4[[#This Row],[Aufwand  4]])</f>
        <v>0</v>
      </c>
      <c r="DO28" s="105"/>
      <c r="DP28" s="105"/>
      <c r="DQ28" s="105"/>
      <c r="DR28" s="105"/>
      <c r="DS28" s="105"/>
      <c r="DT28" s="105"/>
      <c r="DU28" s="105"/>
      <c r="DV28" s="105"/>
      <c r="DW28" s="107">
        <f>SUM(Tabelle4[[#This Row],[Aufwand   ]],Tabelle4[[#This Row],[Aufwand   2]],Tabelle4[[#This Row],[Aufwand   3]],Tabelle4[[#This Row],[Aufwand   4]])</f>
        <v>0</v>
      </c>
      <c r="DX28" s="105"/>
      <c r="DY28" s="105"/>
      <c r="DZ28" s="105"/>
      <c r="EA28" s="105"/>
      <c r="EB28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112</v>
      </c>
      <c r="EC28" s="122">
        <f>Tabelle4[[#This Row],[Gesamaufwand]]/2000</f>
        <v>5.6000000000000001E-2</v>
      </c>
      <c r="ED28" s="47"/>
      <c r="EE28" s="47"/>
      <c r="EF28" s="47"/>
      <c r="EG28" s="47"/>
      <c r="EH28" s="47"/>
      <c r="EI28" s="48"/>
      <c r="EJ28" s="48"/>
      <c r="EK28" s="48"/>
      <c r="EL28" s="48"/>
      <c r="EM28" s="48"/>
    </row>
    <row r="29" spans="1:143" s="59" customFormat="1">
      <c r="A29" s="255" t="s">
        <v>199</v>
      </c>
      <c r="B29" s="251" t="s">
        <v>75</v>
      </c>
      <c r="C29" s="254" t="s">
        <v>75</v>
      </c>
      <c r="D29" s="251" t="s">
        <v>914</v>
      </c>
      <c r="E29" s="251" t="s">
        <v>859</v>
      </c>
      <c r="F29" s="253">
        <v>3</v>
      </c>
      <c r="G29" s="253">
        <v>1</v>
      </c>
      <c r="H29" s="253"/>
      <c r="I29" s="254" t="s">
        <v>95</v>
      </c>
      <c r="J29" s="254"/>
      <c r="K29" s="105"/>
      <c r="L29" s="105"/>
      <c r="M29" s="48"/>
      <c r="N29" s="105"/>
      <c r="O29" s="255" t="s">
        <v>200</v>
      </c>
      <c r="P29" s="261">
        <v>5</v>
      </c>
      <c r="Q29" s="261">
        <v>0</v>
      </c>
      <c r="R29" s="261">
        <v>0</v>
      </c>
      <c r="S29" s="262" t="s">
        <v>144</v>
      </c>
      <c r="T29" s="263" t="s">
        <v>75</v>
      </c>
      <c r="U29" s="105"/>
      <c r="V29" s="259" t="s">
        <v>12</v>
      </c>
      <c r="W29" s="105" t="s">
        <v>8</v>
      </c>
      <c r="X29" s="105" t="s">
        <v>10</v>
      </c>
      <c r="Y29" s="105" t="s">
        <v>75</v>
      </c>
      <c r="Z29" s="105" t="s">
        <v>82</v>
      </c>
      <c r="AA29" s="105" t="s">
        <v>75</v>
      </c>
      <c r="AB29" s="105" t="s">
        <v>75</v>
      </c>
      <c r="AC29" s="105" t="s">
        <v>75</v>
      </c>
      <c r="AD29" s="105" t="s">
        <v>639</v>
      </c>
      <c r="AE29" s="105"/>
      <c r="AF29" s="105"/>
      <c r="AG29" s="105"/>
      <c r="AH29" s="115" t="s">
        <v>622</v>
      </c>
      <c r="AI29" s="115"/>
      <c r="AJ29" s="115"/>
      <c r="AK29" s="105"/>
      <c r="AL29" s="115"/>
      <c r="AM29" s="115"/>
      <c r="AN29" s="115"/>
      <c r="AO29" s="260">
        <f>Tabelle4[[#This Row],[Kredit-  / Budgetsumme
(RADAR: Gesamtkosten S)]]-Tabelle4[[#This Row],[Netto-Ausgaben Vorjahre ]]</f>
        <v>0</v>
      </c>
      <c r="AP29" s="310"/>
      <c r="AQ29" s="311"/>
      <c r="AR29" s="115">
        <f>Tabelle4[[#This Row],[Kreditrest per 1.1. aktuelles Jahr]]-Tabelle4[[#This Row],[Prognose 2018
(RADAR: Kosten 2018 S)]]</f>
        <v>0</v>
      </c>
      <c r="AS29" s="115"/>
      <c r="AT29" s="311"/>
      <c r="AU29" s="115"/>
      <c r="AV29" s="311"/>
      <c r="AW29" s="115"/>
      <c r="AX29" s="311"/>
      <c r="AY29" s="115"/>
      <c r="AZ29" s="311"/>
      <c r="BA29" s="115"/>
      <c r="BB29" s="311"/>
      <c r="BC29" s="115"/>
      <c r="BD29" s="311"/>
      <c r="BE29" s="115"/>
      <c r="BF29" s="311"/>
      <c r="BG29" s="115"/>
      <c r="BH29" s="311"/>
      <c r="BI29" s="115"/>
      <c r="BJ29" s="115"/>
      <c r="BK29" s="264"/>
      <c r="BL29" s="105"/>
      <c r="BM29" s="106"/>
      <c r="BN29" s="106"/>
      <c r="BO29" s="106"/>
      <c r="BP29" s="106"/>
      <c r="BQ29" s="106"/>
      <c r="BR29" s="106"/>
      <c r="BS29" s="106"/>
      <c r="BT29" s="108">
        <f>SUM(Tabelle4[[#This Row],[Projektverantwortung
(Lenkungsausschuss) ]:[Kommunikation ]])</f>
        <v>0</v>
      </c>
      <c r="BU29" s="105"/>
      <c r="BV29" s="106"/>
      <c r="BW29" s="106"/>
      <c r="BX29" s="106"/>
      <c r="BY29" s="106"/>
      <c r="BZ29" s="106"/>
      <c r="CA29" s="106"/>
      <c r="CB29" s="106"/>
      <c r="CC29" s="108">
        <f>SUM(Tabelle4[[#This Row],[Projektverantwortung
(Lenkungsausschuss)   ]:[Kommunikation   ]])</f>
        <v>0</v>
      </c>
      <c r="CD29" s="105"/>
      <c r="CE29" s="106"/>
      <c r="CF29" s="106"/>
      <c r="CG29" s="106"/>
      <c r="CH29" s="106"/>
      <c r="CI29" s="106"/>
      <c r="CJ29" s="106"/>
      <c r="CK29" s="106"/>
      <c r="CL29" s="108">
        <f>SUM(Tabelle4[[#This Row],[Projektverantwortung
(Lenkungsausschuss).]:[Kommunikation    ]])</f>
        <v>0</v>
      </c>
      <c r="CM29" s="105"/>
      <c r="CN29" s="106"/>
      <c r="CO29" s="106"/>
      <c r="CP29" s="106"/>
      <c r="CQ29" s="106"/>
      <c r="CR29" s="106"/>
      <c r="CS29" s="106"/>
      <c r="CT29" s="106"/>
      <c r="CU29" s="108">
        <f>SUM(Tabelle4[[#This Row],[Projektverantwortung
(Lenkungsausschuss)    ]:[Kommunikation     ]])</f>
        <v>0</v>
      </c>
      <c r="CV29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29" s="105"/>
      <c r="CX29" s="105"/>
      <c r="CY29" s="105"/>
      <c r="CZ29" s="105"/>
      <c r="DA29" s="105"/>
      <c r="DB29" s="105"/>
      <c r="DC29" s="105"/>
      <c r="DD29" s="105"/>
      <c r="DE29" s="107">
        <f>SUM(Tabelle4[[#This Row],[Aufwand ]],Tabelle4[[#This Row],[Aufwand 2]],Tabelle4[[#This Row],[Aufwand 3]],Tabelle4[[#This Row],[Aufwand 4]])</f>
        <v>0</v>
      </c>
      <c r="DF29" s="105"/>
      <c r="DG29" s="105"/>
      <c r="DH29" s="105"/>
      <c r="DI29" s="105"/>
      <c r="DJ29" s="105"/>
      <c r="DK29" s="105"/>
      <c r="DL29" s="105"/>
      <c r="DM29" s="105"/>
      <c r="DN29" s="107">
        <f>SUM(Tabelle4[[#This Row],[Aufwand  ]],Tabelle4[[#This Row],[Aufwand  2]],Tabelle4[[#This Row],[Aufwand  3]],Tabelle4[[#This Row],[Aufwand  4]])</f>
        <v>0</v>
      </c>
      <c r="DO29" s="105"/>
      <c r="DP29" s="105"/>
      <c r="DQ29" s="105"/>
      <c r="DR29" s="105"/>
      <c r="DS29" s="105"/>
      <c r="DT29" s="105"/>
      <c r="DU29" s="105"/>
      <c r="DV29" s="105"/>
      <c r="DW29" s="107">
        <f>SUM(Tabelle4[[#This Row],[Aufwand   ]],Tabelle4[[#This Row],[Aufwand   2]],Tabelle4[[#This Row],[Aufwand   3]],Tabelle4[[#This Row],[Aufwand   4]])</f>
        <v>0</v>
      </c>
      <c r="DX29" s="105"/>
      <c r="DY29" s="105"/>
      <c r="DZ29" s="105"/>
      <c r="EA29" s="105"/>
      <c r="EB29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29" s="122">
        <f>Tabelle4[[#This Row],[Gesamaufwand]]/2000</f>
        <v>0</v>
      </c>
      <c r="ED29" s="47"/>
      <c r="EE29" s="47"/>
      <c r="EF29" s="47"/>
      <c r="EG29" s="47"/>
      <c r="EH29" s="47"/>
      <c r="EI29" s="48"/>
      <c r="EJ29" s="48"/>
      <c r="EK29" s="48"/>
      <c r="EL29" s="48"/>
      <c r="EM29" s="48"/>
    </row>
    <row r="30" spans="1:143" s="59" customFormat="1">
      <c r="A30" s="255" t="s">
        <v>311</v>
      </c>
      <c r="B30" s="251" t="s">
        <v>105</v>
      </c>
      <c r="C30" s="254" t="s">
        <v>67</v>
      </c>
      <c r="D30" s="251" t="s">
        <v>914</v>
      </c>
      <c r="E30" s="251" t="s">
        <v>112</v>
      </c>
      <c r="F30" s="253">
        <v>2</v>
      </c>
      <c r="G30" s="253">
        <v>2</v>
      </c>
      <c r="H30" s="253"/>
      <c r="I30" s="254" t="s">
        <v>95</v>
      </c>
      <c r="J30" s="254"/>
      <c r="K30" s="105"/>
      <c r="L30" s="105"/>
      <c r="M30" s="48"/>
      <c r="N30" s="105" t="s">
        <v>3</v>
      </c>
      <c r="O30" s="255" t="s">
        <v>312</v>
      </c>
      <c r="P30" s="261">
        <v>1</v>
      </c>
      <c r="Q30" s="261">
        <v>0</v>
      </c>
      <c r="R30" s="261">
        <v>0</v>
      </c>
      <c r="S30" s="262" t="s">
        <v>184</v>
      </c>
      <c r="T30" s="263" t="s">
        <v>662</v>
      </c>
      <c r="U30" s="105"/>
      <c r="V30" s="259" t="s">
        <v>12</v>
      </c>
      <c r="W30" s="105" t="s">
        <v>6</v>
      </c>
      <c r="X30" s="105" t="s">
        <v>86</v>
      </c>
      <c r="Y30" s="105" t="s">
        <v>690</v>
      </c>
      <c r="Z30" s="105" t="s">
        <v>80</v>
      </c>
      <c r="AA30" s="105" t="s">
        <v>639</v>
      </c>
      <c r="AB30" s="105" t="s">
        <v>639</v>
      </c>
      <c r="AC30" s="105" t="s">
        <v>639</v>
      </c>
      <c r="AD30" s="105" t="s">
        <v>75</v>
      </c>
      <c r="AE30" s="105"/>
      <c r="AF30" s="105"/>
      <c r="AG30" s="105"/>
      <c r="AH30" s="115" t="s">
        <v>799</v>
      </c>
      <c r="AI30" s="115" t="s">
        <v>73</v>
      </c>
      <c r="AJ30" s="115" t="s">
        <v>74</v>
      </c>
      <c r="AK30" s="105" t="s">
        <v>806</v>
      </c>
      <c r="AL30" s="115">
        <v>474000</v>
      </c>
      <c r="AM30" s="115"/>
      <c r="AN30" s="115">
        <f>Tabelle4[[#This Row],[Kredit-  / Budgetsumme
(RADAR: Gesamtkosten S)]]-Tabelle4[[#This Row],[Kreditrest per 1.1. aktuelles Jahr]]</f>
        <v>62447</v>
      </c>
      <c r="AO30" s="260">
        <v>411553</v>
      </c>
      <c r="AP30" s="310"/>
      <c r="AQ30" s="311">
        <v>400000</v>
      </c>
      <c r="AR30" s="115">
        <f>Tabelle4[[#This Row],[Kreditrest per 1.1. aktuelles Jahr]]-Tabelle4[[#This Row],[Prognose 2018
(RADAR: Kosten 2018 S)]]</f>
        <v>11553</v>
      </c>
      <c r="AS30" s="115"/>
      <c r="AT30" s="311" t="s">
        <v>804</v>
      </c>
      <c r="AU30" s="115"/>
      <c r="AV30" s="311"/>
      <c r="AW30" s="115"/>
      <c r="AX30" s="311"/>
      <c r="AY30" s="115"/>
      <c r="AZ30" s="311"/>
      <c r="BA30" s="115"/>
      <c r="BB30" s="311"/>
      <c r="BC30" s="115"/>
      <c r="BD30" s="311"/>
      <c r="BE30" s="115"/>
      <c r="BF30" s="311"/>
      <c r="BG30" s="115"/>
      <c r="BH30" s="311"/>
      <c r="BI30" s="115"/>
      <c r="BJ30" s="115"/>
      <c r="BK30" s="264"/>
      <c r="BL30" s="105"/>
      <c r="BM30" s="106">
        <v>8</v>
      </c>
      <c r="BN30" s="106"/>
      <c r="BO30" s="106">
        <v>40</v>
      </c>
      <c r="BP30" s="106"/>
      <c r="BQ30" s="106"/>
      <c r="BR30" s="106"/>
      <c r="BS30" s="106"/>
      <c r="BT30" s="108">
        <f>SUM(Tabelle4[[#This Row],[Projektverantwortung
(Lenkungsausschuss) ]:[Kommunikation ]])</f>
        <v>48</v>
      </c>
      <c r="BU30" s="105"/>
      <c r="BV30" s="106">
        <v>8</v>
      </c>
      <c r="BW30" s="106"/>
      <c r="BX30" s="106">
        <v>20</v>
      </c>
      <c r="BY30" s="106"/>
      <c r="BZ30" s="106"/>
      <c r="CA30" s="106"/>
      <c r="CB30" s="106"/>
      <c r="CC30" s="108">
        <f>SUM(Tabelle4[[#This Row],[Projektverantwortung
(Lenkungsausschuss)   ]:[Kommunikation   ]])</f>
        <v>28</v>
      </c>
      <c r="CD30" s="105"/>
      <c r="CE30" s="106">
        <v>8</v>
      </c>
      <c r="CF30" s="106"/>
      <c r="CG30" s="106">
        <v>20</v>
      </c>
      <c r="CH30" s="106"/>
      <c r="CI30" s="106"/>
      <c r="CJ30" s="106"/>
      <c r="CK30" s="106"/>
      <c r="CL30" s="108">
        <f>SUM(Tabelle4[[#This Row],[Projektverantwortung
(Lenkungsausschuss).]:[Kommunikation    ]])</f>
        <v>28</v>
      </c>
      <c r="CM30" s="105"/>
      <c r="CN30" s="106">
        <v>8</v>
      </c>
      <c r="CO30" s="106"/>
      <c r="CP30" s="106">
        <v>20</v>
      </c>
      <c r="CQ30" s="106"/>
      <c r="CR30" s="106"/>
      <c r="CS30" s="106"/>
      <c r="CT30" s="106"/>
      <c r="CU30" s="108">
        <f>SUM(Tabelle4[[#This Row],[Projektverantwortung
(Lenkungsausschuss)    ]:[Kommunikation     ]])</f>
        <v>28</v>
      </c>
      <c r="CV30" s="107">
        <f>SUM(Tabelle4[[#This Row],[Total Aufwand
1. Quartal 2018]],Tabelle4[[#This Row],[Total Aufwand
2. Quartal 2018]],Tabelle4[[#This Row],[Total Aufwand
3. Quartal 2018]],Tabelle4[[#This Row],[Total Aufwand
4. Quartal 2018]])</f>
        <v>132</v>
      </c>
      <c r="CW30" s="105"/>
      <c r="CX30" s="105"/>
      <c r="CY30" s="105"/>
      <c r="CZ30" s="105"/>
      <c r="DA30" s="105"/>
      <c r="DB30" s="105"/>
      <c r="DC30" s="105"/>
      <c r="DD30" s="105"/>
      <c r="DE30" s="107">
        <f>SUM(Tabelle4[[#This Row],[Aufwand ]],Tabelle4[[#This Row],[Aufwand 2]],Tabelle4[[#This Row],[Aufwand 3]],Tabelle4[[#This Row],[Aufwand 4]])</f>
        <v>0</v>
      </c>
      <c r="DF30" s="105"/>
      <c r="DG30" s="105"/>
      <c r="DH30" s="105"/>
      <c r="DI30" s="105"/>
      <c r="DJ30" s="105"/>
      <c r="DK30" s="105"/>
      <c r="DL30" s="105"/>
      <c r="DM30" s="105"/>
      <c r="DN30" s="107">
        <f>SUM(Tabelle4[[#This Row],[Aufwand  ]],Tabelle4[[#This Row],[Aufwand  2]],Tabelle4[[#This Row],[Aufwand  3]],Tabelle4[[#This Row],[Aufwand  4]])</f>
        <v>0</v>
      </c>
      <c r="DO30" s="105"/>
      <c r="DP30" s="105"/>
      <c r="DQ30" s="105"/>
      <c r="DR30" s="105"/>
      <c r="DS30" s="105"/>
      <c r="DT30" s="105"/>
      <c r="DU30" s="105"/>
      <c r="DV30" s="105"/>
      <c r="DW30" s="107">
        <f>SUM(Tabelle4[[#This Row],[Aufwand   ]],Tabelle4[[#This Row],[Aufwand   2]],Tabelle4[[#This Row],[Aufwand   3]],Tabelle4[[#This Row],[Aufwand   4]])</f>
        <v>0</v>
      </c>
      <c r="DX30" s="105"/>
      <c r="DY30" s="105"/>
      <c r="DZ30" s="105"/>
      <c r="EA30" s="105"/>
      <c r="EB30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132</v>
      </c>
      <c r="EC30" s="122">
        <f>Tabelle4[[#This Row],[Gesamaufwand]]/2000</f>
        <v>6.6000000000000003E-2</v>
      </c>
      <c r="ED30" s="47"/>
      <c r="EE30" s="47"/>
      <c r="EF30" s="47"/>
      <c r="EG30" s="47"/>
      <c r="EH30" s="47"/>
      <c r="EI30" s="48"/>
      <c r="EJ30" s="48"/>
      <c r="EK30" s="48"/>
      <c r="EL30" s="48"/>
      <c r="EM30" s="48"/>
    </row>
    <row r="31" spans="1:143" s="59" customFormat="1">
      <c r="A31" s="255" t="s">
        <v>194</v>
      </c>
      <c r="B31" s="251" t="s">
        <v>75</v>
      </c>
      <c r="C31" s="254" t="s">
        <v>75</v>
      </c>
      <c r="D31" s="251" t="s">
        <v>914</v>
      </c>
      <c r="E31" s="251" t="s">
        <v>859</v>
      </c>
      <c r="F31" s="253">
        <v>4</v>
      </c>
      <c r="G31" s="253">
        <v>1</v>
      </c>
      <c r="H31" s="253"/>
      <c r="I31" s="254" t="s">
        <v>95</v>
      </c>
      <c r="J31" s="254"/>
      <c r="K31" s="105"/>
      <c r="L31" s="105"/>
      <c r="M31" s="48"/>
      <c r="N31" s="105"/>
      <c r="O31" s="255" t="s">
        <v>195</v>
      </c>
      <c r="P31" s="261">
        <v>1</v>
      </c>
      <c r="Q31" s="261">
        <v>0</v>
      </c>
      <c r="R31" s="261">
        <v>0</v>
      </c>
      <c r="S31" s="262" t="s">
        <v>135</v>
      </c>
      <c r="T31" s="263" t="s">
        <v>75</v>
      </c>
      <c r="U31" s="105"/>
      <c r="V31" s="259" t="s">
        <v>12</v>
      </c>
      <c r="W31" s="105" t="s">
        <v>8</v>
      </c>
      <c r="X31" s="105" t="s">
        <v>10</v>
      </c>
      <c r="Y31" s="105" t="s">
        <v>75</v>
      </c>
      <c r="Z31" s="105" t="s">
        <v>84</v>
      </c>
      <c r="AA31" s="105" t="s">
        <v>75</v>
      </c>
      <c r="AB31" s="105" t="s">
        <v>75</v>
      </c>
      <c r="AC31" s="105" t="s">
        <v>75</v>
      </c>
      <c r="AD31" s="105"/>
      <c r="AE31" s="105"/>
      <c r="AF31" s="105"/>
      <c r="AG31" s="105"/>
      <c r="AH31" s="115" t="s">
        <v>1092</v>
      </c>
      <c r="AI31" s="115"/>
      <c r="AJ31" s="115"/>
      <c r="AK31" s="105"/>
      <c r="AL31" s="115"/>
      <c r="AM31" s="115"/>
      <c r="AN31" s="115"/>
      <c r="AO31" s="260"/>
      <c r="AP31" s="310"/>
      <c r="AQ31" s="311">
        <v>10000</v>
      </c>
      <c r="AR31" s="115"/>
      <c r="AS31" s="115"/>
      <c r="AT31" s="311">
        <v>10000</v>
      </c>
      <c r="AU31" s="115"/>
      <c r="AV31" s="311">
        <v>10000</v>
      </c>
      <c r="AW31" s="115"/>
      <c r="AX31" s="311">
        <v>10000</v>
      </c>
      <c r="AY31" s="115"/>
      <c r="AZ31" s="311">
        <v>10000</v>
      </c>
      <c r="BA31" s="115"/>
      <c r="BB31" s="311">
        <v>10000</v>
      </c>
      <c r="BC31" s="115"/>
      <c r="BD31" s="311">
        <v>10000</v>
      </c>
      <c r="BE31" s="115"/>
      <c r="BF31" s="311">
        <v>10000</v>
      </c>
      <c r="BG31" s="115"/>
      <c r="BH31" s="311">
        <v>10000</v>
      </c>
      <c r="BI31" s="115"/>
      <c r="BJ31" s="115"/>
      <c r="BK31" s="264"/>
      <c r="BL31" s="105"/>
      <c r="BM31" s="106"/>
      <c r="BN31" s="106"/>
      <c r="BO31" s="106"/>
      <c r="BP31" s="106"/>
      <c r="BQ31" s="106"/>
      <c r="BR31" s="106"/>
      <c r="BS31" s="106"/>
      <c r="BT31" s="108">
        <f>SUM(Tabelle4[[#This Row],[Projektverantwortung
(Lenkungsausschuss) ]:[Kommunikation ]])</f>
        <v>0</v>
      </c>
      <c r="BU31" s="105"/>
      <c r="BV31" s="106"/>
      <c r="BW31" s="106"/>
      <c r="BX31" s="106"/>
      <c r="BY31" s="106"/>
      <c r="BZ31" s="106"/>
      <c r="CA31" s="106"/>
      <c r="CB31" s="106"/>
      <c r="CC31" s="108">
        <f>SUM(Tabelle4[[#This Row],[Projektverantwortung
(Lenkungsausschuss)   ]:[Kommunikation   ]])</f>
        <v>0</v>
      </c>
      <c r="CD31" s="105"/>
      <c r="CE31" s="106"/>
      <c r="CF31" s="106"/>
      <c r="CG31" s="106"/>
      <c r="CH31" s="106"/>
      <c r="CI31" s="106"/>
      <c r="CJ31" s="106"/>
      <c r="CK31" s="106"/>
      <c r="CL31" s="108">
        <f>SUM(Tabelle4[[#This Row],[Projektverantwortung
(Lenkungsausschuss).]:[Kommunikation    ]])</f>
        <v>0</v>
      </c>
      <c r="CM31" s="105"/>
      <c r="CN31" s="106"/>
      <c r="CO31" s="106"/>
      <c r="CP31" s="106"/>
      <c r="CQ31" s="106"/>
      <c r="CR31" s="106"/>
      <c r="CS31" s="106"/>
      <c r="CT31" s="106"/>
      <c r="CU31" s="108">
        <f>SUM(Tabelle4[[#This Row],[Projektverantwortung
(Lenkungsausschuss)    ]:[Kommunikation     ]])</f>
        <v>0</v>
      </c>
      <c r="CV31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31" s="105"/>
      <c r="CX31" s="105"/>
      <c r="CY31" s="105"/>
      <c r="CZ31" s="105"/>
      <c r="DA31" s="105"/>
      <c r="DB31" s="105"/>
      <c r="DC31" s="105"/>
      <c r="DD31" s="105"/>
      <c r="DE31" s="107">
        <f>SUM(Tabelle4[[#This Row],[Aufwand ]],Tabelle4[[#This Row],[Aufwand 2]],Tabelle4[[#This Row],[Aufwand 3]],Tabelle4[[#This Row],[Aufwand 4]])</f>
        <v>0</v>
      </c>
      <c r="DF31" s="105"/>
      <c r="DG31" s="105"/>
      <c r="DH31" s="105"/>
      <c r="DI31" s="105"/>
      <c r="DJ31" s="105"/>
      <c r="DK31" s="105"/>
      <c r="DL31" s="105"/>
      <c r="DM31" s="105"/>
      <c r="DN31" s="107">
        <f>SUM(Tabelle4[[#This Row],[Aufwand  ]],Tabelle4[[#This Row],[Aufwand  2]],Tabelle4[[#This Row],[Aufwand  3]],Tabelle4[[#This Row],[Aufwand  4]])</f>
        <v>0</v>
      </c>
      <c r="DO31" s="105"/>
      <c r="DP31" s="105"/>
      <c r="DQ31" s="105"/>
      <c r="DR31" s="105"/>
      <c r="DS31" s="105"/>
      <c r="DT31" s="105"/>
      <c r="DU31" s="105"/>
      <c r="DV31" s="105"/>
      <c r="DW31" s="107">
        <f>SUM(Tabelle4[[#This Row],[Aufwand   ]],Tabelle4[[#This Row],[Aufwand   2]],Tabelle4[[#This Row],[Aufwand   3]],Tabelle4[[#This Row],[Aufwand   4]])</f>
        <v>0</v>
      </c>
      <c r="DX31" s="105"/>
      <c r="DY31" s="105"/>
      <c r="DZ31" s="105"/>
      <c r="EA31" s="105"/>
      <c r="EB31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31" s="122">
        <f>Tabelle4[[#This Row],[Gesamaufwand]]/2000</f>
        <v>0</v>
      </c>
      <c r="ED31" s="47"/>
      <c r="EE31" s="47"/>
      <c r="EF31" s="47"/>
      <c r="EG31" s="47"/>
      <c r="EH31" s="47"/>
      <c r="EI31" s="48"/>
      <c r="EJ31" s="48"/>
      <c r="EK31" s="48"/>
      <c r="EL31" s="48"/>
      <c r="EM31" s="48"/>
    </row>
    <row r="32" spans="1:143" s="59" customFormat="1">
      <c r="A32" s="255" t="s">
        <v>1213</v>
      </c>
      <c r="B32" s="251"/>
      <c r="C32" s="254"/>
      <c r="D32" s="251" t="s">
        <v>914</v>
      </c>
      <c r="E32" s="251" t="s">
        <v>859</v>
      </c>
      <c r="F32" s="253">
        <v>3</v>
      </c>
      <c r="G32" s="253">
        <v>1</v>
      </c>
      <c r="H32" s="253"/>
      <c r="I32" s="254" t="s">
        <v>95</v>
      </c>
      <c r="J32" s="254"/>
      <c r="K32" s="105"/>
      <c r="L32" s="105"/>
      <c r="M32" s="48"/>
      <c r="N32" s="105"/>
      <c r="O32" s="255" t="s">
        <v>214</v>
      </c>
      <c r="P32" s="261">
        <v>5</v>
      </c>
      <c r="Q32" s="261">
        <v>0</v>
      </c>
      <c r="R32" s="261">
        <v>0</v>
      </c>
      <c r="S32" s="262" t="s">
        <v>215</v>
      </c>
      <c r="T32" s="263" t="s">
        <v>673</v>
      </c>
      <c r="U32" s="105"/>
      <c r="V32" s="259" t="s">
        <v>12</v>
      </c>
      <c r="W32" s="105" t="s">
        <v>8</v>
      </c>
      <c r="X32" s="105" t="s">
        <v>10</v>
      </c>
      <c r="Y32" s="105"/>
      <c r="Z32" s="105" t="s">
        <v>84</v>
      </c>
      <c r="AA32" s="105"/>
      <c r="AB32" s="105"/>
      <c r="AC32" s="105"/>
      <c r="AD32" s="105"/>
      <c r="AE32" s="105"/>
      <c r="AF32" s="105"/>
      <c r="AG32" s="105"/>
      <c r="AH32" s="115"/>
      <c r="AI32" s="115"/>
      <c r="AJ32" s="115"/>
      <c r="AK32" s="105"/>
      <c r="AL32" s="115"/>
      <c r="AM32" s="115"/>
      <c r="AN32" s="115"/>
      <c r="AO32" s="115"/>
      <c r="AP32" s="311"/>
      <c r="AQ32" s="311"/>
      <c r="AR32" s="115">
        <f>Tabelle4[[#This Row],[Kreditrest per 1.1. aktuelles Jahr]]-Tabelle4[[#This Row],[Prognose 2018
(RADAR: Kosten 2018 S)]]</f>
        <v>0</v>
      </c>
      <c r="AS32" s="115"/>
      <c r="AT32" s="311"/>
      <c r="AU32" s="115"/>
      <c r="AV32" s="311"/>
      <c r="AW32" s="115"/>
      <c r="AX32" s="311"/>
      <c r="AY32" s="115"/>
      <c r="AZ32" s="311"/>
      <c r="BA32" s="115"/>
      <c r="BB32" s="311"/>
      <c r="BC32" s="115"/>
      <c r="BD32" s="311"/>
      <c r="BE32" s="115"/>
      <c r="BF32" s="311"/>
      <c r="BG32" s="115"/>
      <c r="BH32" s="311"/>
      <c r="BI32" s="115"/>
      <c r="BJ32" s="115"/>
      <c r="BK32" s="115"/>
      <c r="BL32" s="105"/>
      <c r="BM32" s="106"/>
      <c r="BN32" s="106"/>
      <c r="BO32" s="106"/>
      <c r="BP32" s="106"/>
      <c r="BQ32" s="106"/>
      <c r="BR32" s="106"/>
      <c r="BS32" s="106"/>
      <c r="BT32" s="108">
        <f>SUM(Tabelle4[[#This Row],[Projektverantwortung
(Lenkungsausschuss) ]:[Kommunikation ]])</f>
        <v>0</v>
      </c>
      <c r="BU32" s="108"/>
      <c r="BV32" s="151"/>
      <c r="BW32" s="151"/>
      <c r="BX32" s="151"/>
      <c r="BY32" s="151"/>
      <c r="BZ32" s="151"/>
      <c r="CA32" s="151"/>
      <c r="CB32" s="151"/>
      <c r="CC32" s="108">
        <f>SUM(Tabelle4[[#This Row],[Projektverantwortung
(Lenkungsausschuss)   ]:[Kommunikation   ]])</f>
        <v>0</v>
      </c>
      <c r="CD32" s="108"/>
      <c r="CE32" s="151"/>
      <c r="CF32" s="151"/>
      <c r="CG32" s="151"/>
      <c r="CH32" s="151"/>
      <c r="CI32" s="151"/>
      <c r="CJ32" s="151"/>
      <c r="CK32" s="151"/>
      <c r="CL32" s="108">
        <f>SUM(Tabelle4[[#This Row],[Projektverantwortung
(Lenkungsausschuss).]:[Kommunikation    ]])</f>
        <v>0</v>
      </c>
      <c r="CM32" s="108"/>
      <c r="CN32" s="151"/>
      <c r="CO32" s="151"/>
      <c r="CP32" s="151"/>
      <c r="CQ32" s="151"/>
      <c r="CR32" s="151"/>
      <c r="CS32" s="151"/>
      <c r="CT32" s="151"/>
      <c r="CU32" s="108">
        <f>SUM(Tabelle4[[#This Row],[Projektverantwortung
(Lenkungsausschuss)    ]:[Kommunikation     ]])</f>
        <v>0</v>
      </c>
      <c r="CV32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32" s="105"/>
      <c r="CX32" s="105"/>
      <c r="CY32" s="116"/>
      <c r="CZ32" s="105"/>
      <c r="DA32" s="116"/>
      <c r="DB32" s="105"/>
      <c r="DC32" s="116"/>
      <c r="DD32" s="105"/>
      <c r="DE32" s="107">
        <f>SUM(Tabelle4[[#This Row],[Aufwand ]],Tabelle4[[#This Row],[Aufwand 2]],Tabelle4[[#This Row],[Aufwand 3]],Tabelle4[[#This Row],[Aufwand 4]])</f>
        <v>0</v>
      </c>
      <c r="DF32" s="116"/>
      <c r="DG32" s="105"/>
      <c r="DH32" s="105"/>
      <c r="DI32" s="116"/>
      <c r="DJ32" s="105"/>
      <c r="DK32" s="116"/>
      <c r="DL32" s="105"/>
      <c r="DM32" s="116"/>
      <c r="DN32" s="107">
        <f>SUM(Tabelle4[[#This Row],[Aufwand  ]],Tabelle4[[#This Row],[Aufwand  2]],Tabelle4[[#This Row],[Aufwand  3]],Tabelle4[[#This Row],[Aufwand  4]])</f>
        <v>0</v>
      </c>
      <c r="DO32" s="116"/>
      <c r="DP32" s="116"/>
      <c r="DQ32" s="116"/>
      <c r="DR32" s="105"/>
      <c r="DS32" s="105"/>
      <c r="DT32" s="116"/>
      <c r="DU32" s="105"/>
      <c r="DV32" s="116"/>
      <c r="DW32" s="107" t="e">
        <f>#REF!</f>
        <v>#REF!</v>
      </c>
      <c r="DX32" s="116"/>
      <c r="DY32" s="152"/>
      <c r="DZ32" s="105"/>
      <c r="EA32" s="180"/>
      <c r="EB32" s="181" t="e">
        <f>#REF!</f>
        <v>#REF!</v>
      </c>
      <c r="EC32" s="109"/>
      <c r="ED32" s="47"/>
      <c r="EE32" s="47"/>
      <c r="EF32" s="47"/>
      <c r="EG32" s="47"/>
      <c r="EH32" s="47"/>
      <c r="EI32" s="48"/>
      <c r="EJ32" s="48"/>
      <c r="EK32" s="48"/>
      <c r="EL32" s="48"/>
      <c r="EM32" s="48"/>
    </row>
    <row r="33" spans="1:143" s="59" customFormat="1">
      <c r="A33" s="255" t="s">
        <v>442</v>
      </c>
      <c r="B33" s="251" t="s">
        <v>105</v>
      </c>
      <c r="C33" s="254" t="s">
        <v>68</v>
      </c>
      <c r="D33" s="251" t="s">
        <v>913</v>
      </c>
      <c r="E33" s="251" t="s">
        <v>695</v>
      </c>
      <c r="F33" s="253">
        <v>3</v>
      </c>
      <c r="G33" s="253">
        <v>3</v>
      </c>
      <c r="H33" s="253"/>
      <c r="I33" s="254" t="s">
        <v>95</v>
      </c>
      <c r="J33" s="254"/>
      <c r="K33" s="105"/>
      <c r="L33" s="105"/>
      <c r="M33" s="48"/>
      <c r="N33" s="105"/>
      <c r="O33" s="255" t="s">
        <v>443</v>
      </c>
      <c r="P33" s="261">
        <v>2</v>
      </c>
      <c r="Q33" s="261">
        <v>0</v>
      </c>
      <c r="R33" s="261">
        <v>0</v>
      </c>
      <c r="S33" s="262" t="s">
        <v>184</v>
      </c>
      <c r="T33" s="263" t="s">
        <v>674</v>
      </c>
      <c r="U33" s="105"/>
      <c r="V33" s="259" t="s">
        <v>607</v>
      </c>
      <c r="W33" s="105" t="s">
        <v>6</v>
      </c>
      <c r="X33" s="105" t="s">
        <v>86</v>
      </c>
      <c r="Y33" s="105" t="s">
        <v>690</v>
      </c>
      <c r="Z33" s="105" t="s">
        <v>78</v>
      </c>
      <c r="AA33" s="105" t="s">
        <v>639</v>
      </c>
      <c r="AB33" s="105" t="s">
        <v>639</v>
      </c>
      <c r="AC33" s="105" t="s">
        <v>639</v>
      </c>
      <c r="AD33" s="105" t="s">
        <v>639</v>
      </c>
      <c r="AE33" s="105"/>
      <c r="AF33" s="105"/>
      <c r="AG33" s="105"/>
      <c r="AH33" s="115" t="s">
        <v>621</v>
      </c>
      <c r="AI33" s="115"/>
      <c r="AJ33" s="115"/>
      <c r="AK33" s="105"/>
      <c r="AL33" s="115"/>
      <c r="AM33" s="115"/>
      <c r="AN33" s="115"/>
      <c r="AO33" s="260">
        <f>Tabelle4[[#This Row],[Kredit-  / Budgetsumme
(RADAR: Gesamtkosten S)]]-Tabelle4[[#This Row],[Netto-Ausgaben Vorjahre ]]</f>
        <v>0</v>
      </c>
      <c r="AP33" s="310"/>
      <c r="AQ33" s="311"/>
      <c r="AR33" s="115">
        <f>Tabelle4[[#This Row],[Kreditrest per 1.1. aktuelles Jahr]]-Tabelle4[[#This Row],[Prognose 2018
(RADAR: Kosten 2018 S)]]</f>
        <v>0</v>
      </c>
      <c r="AS33" s="115"/>
      <c r="AT33" s="311"/>
      <c r="AU33" s="115"/>
      <c r="AV33" s="311"/>
      <c r="AW33" s="115"/>
      <c r="AX33" s="311"/>
      <c r="AY33" s="115"/>
      <c r="AZ33" s="311"/>
      <c r="BA33" s="115"/>
      <c r="BB33" s="311"/>
      <c r="BC33" s="115"/>
      <c r="BD33" s="311"/>
      <c r="BE33" s="115"/>
      <c r="BF33" s="311"/>
      <c r="BG33" s="115"/>
      <c r="BH33" s="311"/>
      <c r="BI33" s="115"/>
      <c r="BJ33" s="115"/>
      <c r="BK33" s="264"/>
      <c r="BL33" s="105"/>
      <c r="BM33" s="106"/>
      <c r="BN33" s="106"/>
      <c r="BO33" s="106">
        <v>20</v>
      </c>
      <c r="BP33" s="106"/>
      <c r="BQ33" s="106"/>
      <c r="BR33" s="106"/>
      <c r="BS33" s="106"/>
      <c r="BT33" s="108">
        <f>SUM(Tabelle4[[#This Row],[Projektverantwortung
(Lenkungsausschuss) ]:[Kommunikation ]])</f>
        <v>20</v>
      </c>
      <c r="BU33" s="105"/>
      <c r="BV33" s="106"/>
      <c r="BW33" s="106"/>
      <c r="BX33" s="106"/>
      <c r="BY33" s="106"/>
      <c r="BZ33" s="106"/>
      <c r="CA33" s="106"/>
      <c r="CB33" s="106"/>
      <c r="CC33" s="108">
        <f>SUM(Tabelle4[[#This Row],[Projektverantwortung
(Lenkungsausschuss)   ]:[Kommunikation   ]])</f>
        <v>0</v>
      </c>
      <c r="CD33" s="105"/>
      <c r="CE33" s="106"/>
      <c r="CF33" s="106"/>
      <c r="CG33" s="106"/>
      <c r="CH33" s="106"/>
      <c r="CI33" s="106"/>
      <c r="CJ33" s="106"/>
      <c r="CK33" s="106"/>
      <c r="CL33" s="108">
        <f>SUM(Tabelle4[[#This Row],[Projektverantwortung
(Lenkungsausschuss).]:[Kommunikation    ]])</f>
        <v>0</v>
      </c>
      <c r="CM33" s="105"/>
      <c r="CN33" s="106"/>
      <c r="CO33" s="106"/>
      <c r="CP33" s="106"/>
      <c r="CQ33" s="106"/>
      <c r="CR33" s="106"/>
      <c r="CS33" s="106"/>
      <c r="CT33" s="106"/>
      <c r="CU33" s="108">
        <f>SUM(Tabelle4[[#This Row],[Projektverantwortung
(Lenkungsausschuss)    ]:[Kommunikation     ]])</f>
        <v>0</v>
      </c>
      <c r="CV33" s="107">
        <f>SUM(Tabelle4[[#This Row],[Total Aufwand
1. Quartal 2018]],Tabelle4[[#This Row],[Total Aufwand
2. Quartal 2018]],Tabelle4[[#This Row],[Total Aufwand
3. Quartal 2018]],Tabelle4[[#This Row],[Total Aufwand
4. Quartal 2018]])</f>
        <v>20</v>
      </c>
      <c r="CW33" s="105"/>
      <c r="CX33" s="105"/>
      <c r="CY33" s="105"/>
      <c r="CZ33" s="105"/>
      <c r="DA33" s="105"/>
      <c r="DB33" s="105"/>
      <c r="DC33" s="105"/>
      <c r="DD33" s="105"/>
      <c r="DE33" s="107">
        <f>SUM(Tabelle4[[#This Row],[Aufwand ]],Tabelle4[[#This Row],[Aufwand 2]],Tabelle4[[#This Row],[Aufwand 3]],Tabelle4[[#This Row],[Aufwand 4]])</f>
        <v>0</v>
      </c>
      <c r="DF33" s="105"/>
      <c r="DG33" s="105"/>
      <c r="DH33" s="105"/>
      <c r="DI33" s="105"/>
      <c r="DJ33" s="105"/>
      <c r="DK33" s="105"/>
      <c r="DL33" s="105"/>
      <c r="DM33" s="105"/>
      <c r="DN33" s="107">
        <f>SUM(Tabelle4[[#This Row],[Aufwand  ]],Tabelle4[[#This Row],[Aufwand  2]],Tabelle4[[#This Row],[Aufwand  3]],Tabelle4[[#This Row],[Aufwand  4]])</f>
        <v>0</v>
      </c>
      <c r="DO33" s="105"/>
      <c r="DP33" s="105"/>
      <c r="DQ33" s="105"/>
      <c r="DR33" s="105"/>
      <c r="DS33" s="105"/>
      <c r="DT33" s="105"/>
      <c r="DU33" s="105"/>
      <c r="DV33" s="105"/>
      <c r="DW33" s="107">
        <f>SUM(Tabelle4[[#This Row],[Aufwand   ]],Tabelle4[[#This Row],[Aufwand   2]],Tabelle4[[#This Row],[Aufwand   3]],Tabelle4[[#This Row],[Aufwand   4]])</f>
        <v>0</v>
      </c>
      <c r="DX33" s="105"/>
      <c r="DY33" s="105"/>
      <c r="DZ33" s="105"/>
      <c r="EA33" s="105"/>
      <c r="EB33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20</v>
      </c>
      <c r="EC33" s="122">
        <f>Tabelle4[[#This Row],[Gesamaufwand]]/2000</f>
        <v>0.01</v>
      </c>
      <c r="ED33" s="47"/>
      <c r="EE33" s="47"/>
      <c r="EF33" s="47"/>
      <c r="EG33" s="47"/>
      <c r="EH33" s="47"/>
      <c r="EI33" s="48"/>
      <c r="EJ33" s="48"/>
      <c r="EK33" s="48"/>
      <c r="EL33" s="48"/>
      <c r="EM33" s="48"/>
    </row>
    <row r="34" spans="1:143" s="59" customFormat="1">
      <c r="A34" s="255" t="s">
        <v>444</v>
      </c>
      <c r="B34" s="251" t="s">
        <v>105</v>
      </c>
      <c r="C34" s="254" t="s">
        <v>68</v>
      </c>
      <c r="D34" s="251" t="s">
        <v>913</v>
      </c>
      <c r="E34" s="251" t="s">
        <v>97</v>
      </c>
      <c r="F34" s="253">
        <v>3</v>
      </c>
      <c r="G34" s="253">
        <v>2</v>
      </c>
      <c r="H34" s="253"/>
      <c r="I34" s="254" t="s">
        <v>95</v>
      </c>
      <c r="J34" s="254"/>
      <c r="K34" s="105"/>
      <c r="L34" s="105"/>
      <c r="M34" s="48"/>
      <c r="N34" s="105"/>
      <c r="O34" s="255" t="s">
        <v>445</v>
      </c>
      <c r="P34" s="261">
        <v>2</v>
      </c>
      <c r="Q34" s="261">
        <v>0</v>
      </c>
      <c r="R34" s="261">
        <v>0</v>
      </c>
      <c r="S34" s="262" t="s">
        <v>135</v>
      </c>
      <c r="T34" s="263" t="s">
        <v>664</v>
      </c>
      <c r="U34" s="105"/>
      <c r="V34" s="259" t="s">
        <v>12</v>
      </c>
      <c r="W34" s="105" t="s">
        <v>6</v>
      </c>
      <c r="X34" s="105" t="s">
        <v>86</v>
      </c>
      <c r="Y34" s="105" t="s">
        <v>690</v>
      </c>
      <c r="Z34" s="105" t="s">
        <v>86</v>
      </c>
      <c r="AA34" s="105" t="s">
        <v>639</v>
      </c>
      <c r="AB34" s="105" t="s">
        <v>639</v>
      </c>
      <c r="AC34" s="105" t="s">
        <v>639</v>
      </c>
      <c r="AD34" s="105" t="s">
        <v>639</v>
      </c>
      <c r="AE34" s="105"/>
      <c r="AF34" s="105"/>
      <c r="AG34" s="105"/>
      <c r="AH34" s="115" t="s">
        <v>621</v>
      </c>
      <c r="AI34" s="115"/>
      <c r="AJ34" s="115"/>
      <c r="AK34" s="105"/>
      <c r="AL34" s="115"/>
      <c r="AM34" s="115"/>
      <c r="AN34" s="115"/>
      <c r="AO34" s="260">
        <f>Tabelle4[[#This Row],[Kredit-  / Budgetsumme
(RADAR: Gesamtkosten S)]]-Tabelle4[[#This Row],[Netto-Ausgaben Vorjahre ]]</f>
        <v>0</v>
      </c>
      <c r="AP34" s="310"/>
      <c r="AQ34" s="311"/>
      <c r="AR34" s="115">
        <f>Tabelle4[[#This Row],[Kreditrest per 1.1. aktuelles Jahr]]-Tabelle4[[#This Row],[Prognose 2018
(RADAR: Kosten 2018 S)]]</f>
        <v>0</v>
      </c>
      <c r="AS34" s="115"/>
      <c r="AT34" s="311"/>
      <c r="AU34" s="115"/>
      <c r="AV34" s="311"/>
      <c r="AW34" s="115"/>
      <c r="AX34" s="311"/>
      <c r="AY34" s="115"/>
      <c r="AZ34" s="311"/>
      <c r="BA34" s="115"/>
      <c r="BB34" s="311"/>
      <c r="BC34" s="115"/>
      <c r="BD34" s="311"/>
      <c r="BE34" s="115"/>
      <c r="BF34" s="311"/>
      <c r="BG34" s="115"/>
      <c r="BH34" s="311"/>
      <c r="BI34" s="115"/>
      <c r="BJ34" s="115"/>
      <c r="BK34" s="264"/>
      <c r="BL34" s="105"/>
      <c r="BM34" s="106"/>
      <c r="BN34" s="106"/>
      <c r="BO34" s="106">
        <v>20</v>
      </c>
      <c r="BP34" s="106"/>
      <c r="BQ34" s="106"/>
      <c r="BR34" s="106"/>
      <c r="BS34" s="106"/>
      <c r="BT34" s="108">
        <f>SUM(Tabelle4[[#This Row],[Projektverantwortung
(Lenkungsausschuss) ]:[Kommunikation ]])</f>
        <v>20</v>
      </c>
      <c r="BU34" s="105"/>
      <c r="BV34" s="106"/>
      <c r="BW34" s="106"/>
      <c r="BX34" s="106">
        <v>8</v>
      </c>
      <c r="BY34" s="106"/>
      <c r="BZ34" s="106"/>
      <c r="CA34" s="106"/>
      <c r="CB34" s="106"/>
      <c r="CC34" s="108">
        <f>SUM(Tabelle4[[#This Row],[Projektverantwortung
(Lenkungsausschuss)   ]:[Kommunikation   ]])</f>
        <v>8</v>
      </c>
      <c r="CD34" s="105"/>
      <c r="CE34" s="106"/>
      <c r="CF34" s="106"/>
      <c r="CG34" s="106">
        <v>8</v>
      </c>
      <c r="CH34" s="106"/>
      <c r="CI34" s="106"/>
      <c r="CJ34" s="106"/>
      <c r="CK34" s="106"/>
      <c r="CL34" s="108">
        <f>SUM(Tabelle4[[#This Row],[Projektverantwortung
(Lenkungsausschuss).]:[Kommunikation    ]])</f>
        <v>8</v>
      </c>
      <c r="CM34" s="105"/>
      <c r="CN34" s="106"/>
      <c r="CO34" s="106"/>
      <c r="CP34" s="106">
        <v>8</v>
      </c>
      <c r="CQ34" s="106"/>
      <c r="CR34" s="106"/>
      <c r="CS34" s="106"/>
      <c r="CT34" s="106"/>
      <c r="CU34" s="108">
        <f>SUM(Tabelle4[[#This Row],[Projektverantwortung
(Lenkungsausschuss)    ]:[Kommunikation     ]])</f>
        <v>8</v>
      </c>
      <c r="CV34" s="107">
        <f>SUM(Tabelle4[[#This Row],[Total Aufwand
1. Quartal 2018]],Tabelle4[[#This Row],[Total Aufwand
2. Quartal 2018]],Tabelle4[[#This Row],[Total Aufwand
3. Quartal 2018]],Tabelle4[[#This Row],[Total Aufwand
4. Quartal 2018]])</f>
        <v>44</v>
      </c>
      <c r="CW34" s="105"/>
      <c r="CX34" s="105"/>
      <c r="CY34" s="105"/>
      <c r="CZ34" s="105"/>
      <c r="DA34" s="105"/>
      <c r="DB34" s="105"/>
      <c r="DC34" s="105"/>
      <c r="DD34" s="105"/>
      <c r="DE34" s="107">
        <f>SUM(Tabelle4[[#This Row],[Aufwand ]],Tabelle4[[#This Row],[Aufwand 2]],Tabelle4[[#This Row],[Aufwand 3]],Tabelle4[[#This Row],[Aufwand 4]])</f>
        <v>0</v>
      </c>
      <c r="DF34" s="105"/>
      <c r="DG34" s="105"/>
      <c r="DH34" s="105"/>
      <c r="DI34" s="105"/>
      <c r="DJ34" s="105"/>
      <c r="DK34" s="105"/>
      <c r="DL34" s="105"/>
      <c r="DM34" s="105"/>
      <c r="DN34" s="107">
        <f>SUM(Tabelle4[[#This Row],[Aufwand  ]],Tabelle4[[#This Row],[Aufwand  2]],Tabelle4[[#This Row],[Aufwand  3]],Tabelle4[[#This Row],[Aufwand  4]])</f>
        <v>0</v>
      </c>
      <c r="DO34" s="105"/>
      <c r="DP34" s="105"/>
      <c r="DQ34" s="105"/>
      <c r="DR34" s="105"/>
      <c r="DS34" s="105"/>
      <c r="DT34" s="105"/>
      <c r="DU34" s="105"/>
      <c r="DV34" s="105"/>
      <c r="DW34" s="107">
        <f>SUM(Tabelle4[[#This Row],[Aufwand   ]],Tabelle4[[#This Row],[Aufwand   2]],Tabelle4[[#This Row],[Aufwand   3]],Tabelle4[[#This Row],[Aufwand   4]])</f>
        <v>0</v>
      </c>
      <c r="DX34" s="105"/>
      <c r="DY34" s="105"/>
      <c r="DZ34" s="105"/>
      <c r="EA34" s="105"/>
      <c r="EB34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44</v>
      </c>
      <c r="EC34" s="122">
        <f>Tabelle4[[#This Row],[Gesamaufwand]]/2000</f>
        <v>2.1999999999999999E-2</v>
      </c>
      <c r="ED34" s="47"/>
      <c r="EE34" s="47"/>
      <c r="EF34" s="47"/>
      <c r="EG34" s="47"/>
      <c r="EH34" s="47"/>
      <c r="EI34" s="48"/>
      <c r="EJ34" s="48"/>
      <c r="EK34" s="48"/>
      <c r="EL34" s="48"/>
      <c r="EM34" s="48"/>
    </row>
    <row r="35" spans="1:143" s="59" customFormat="1">
      <c r="A35" s="255" t="s">
        <v>446</v>
      </c>
      <c r="B35" s="251" t="s">
        <v>105</v>
      </c>
      <c r="C35" s="254" t="s">
        <v>68</v>
      </c>
      <c r="D35" s="251" t="s">
        <v>913</v>
      </c>
      <c r="E35" s="251" t="s">
        <v>97</v>
      </c>
      <c r="F35" s="253">
        <v>4</v>
      </c>
      <c r="G35" s="253">
        <v>4</v>
      </c>
      <c r="H35" s="253"/>
      <c r="I35" s="254" t="s">
        <v>96</v>
      </c>
      <c r="J35" s="254"/>
      <c r="K35" s="105"/>
      <c r="L35" s="105"/>
      <c r="M35" s="48"/>
      <c r="N35" s="105"/>
      <c r="O35" s="255" t="s">
        <v>447</v>
      </c>
      <c r="P35" s="261">
        <v>2</v>
      </c>
      <c r="Q35" s="261">
        <v>0</v>
      </c>
      <c r="R35" s="261">
        <v>0</v>
      </c>
      <c r="S35" s="262" t="s">
        <v>207</v>
      </c>
      <c r="T35" s="263" t="s">
        <v>660</v>
      </c>
      <c r="U35" s="105"/>
      <c r="V35" s="259" t="s">
        <v>610</v>
      </c>
      <c r="W35" s="105" t="s">
        <v>6</v>
      </c>
      <c r="X35" s="105" t="s">
        <v>86</v>
      </c>
      <c r="Y35" s="105" t="s">
        <v>690</v>
      </c>
      <c r="Z35" s="105" t="s">
        <v>86</v>
      </c>
      <c r="AA35" s="105" t="s">
        <v>639</v>
      </c>
      <c r="AB35" s="105" t="s">
        <v>639</v>
      </c>
      <c r="AC35" s="105" t="s">
        <v>639</v>
      </c>
      <c r="AD35" s="105" t="s">
        <v>639</v>
      </c>
      <c r="AE35" s="105"/>
      <c r="AF35" s="105"/>
      <c r="AG35" s="105"/>
      <c r="AH35" s="115" t="s">
        <v>621</v>
      </c>
      <c r="AI35" s="115"/>
      <c r="AJ35" s="115"/>
      <c r="AK35" s="105"/>
      <c r="AL35" s="115"/>
      <c r="AM35" s="115"/>
      <c r="AN35" s="115"/>
      <c r="AO35" s="260">
        <f>Tabelle4[[#This Row],[Kredit-  / Budgetsumme
(RADAR: Gesamtkosten S)]]-Tabelle4[[#This Row],[Netto-Ausgaben Vorjahre ]]</f>
        <v>0</v>
      </c>
      <c r="AP35" s="310"/>
      <c r="AQ35" s="311"/>
      <c r="AR35" s="115">
        <f>Tabelle4[[#This Row],[Kreditrest per 1.1. aktuelles Jahr]]-Tabelle4[[#This Row],[Prognose 2018
(RADAR: Kosten 2018 S)]]</f>
        <v>0</v>
      </c>
      <c r="AS35" s="115"/>
      <c r="AT35" s="311"/>
      <c r="AU35" s="115"/>
      <c r="AV35" s="311"/>
      <c r="AW35" s="115"/>
      <c r="AX35" s="311"/>
      <c r="AY35" s="115"/>
      <c r="AZ35" s="311"/>
      <c r="BA35" s="115"/>
      <c r="BB35" s="311"/>
      <c r="BC35" s="115"/>
      <c r="BD35" s="311"/>
      <c r="BE35" s="115"/>
      <c r="BF35" s="311"/>
      <c r="BG35" s="115"/>
      <c r="BH35" s="311"/>
      <c r="BI35" s="115"/>
      <c r="BJ35" s="115"/>
      <c r="BK35" s="264"/>
      <c r="BL35" s="105"/>
      <c r="BM35" s="106"/>
      <c r="BN35" s="106"/>
      <c r="BO35" s="106">
        <v>40</v>
      </c>
      <c r="BP35" s="106"/>
      <c r="BQ35" s="106"/>
      <c r="BR35" s="106"/>
      <c r="BS35" s="106"/>
      <c r="BT35" s="108">
        <f>SUM(Tabelle4[[#This Row],[Projektverantwortung
(Lenkungsausschuss) ]:[Kommunikation ]])</f>
        <v>40</v>
      </c>
      <c r="BU35" s="105"/>
      <c r="BV35" s="106"/>
      <c r="BW35" s="106"/>
      <c r="BX35" s="106"/>
      <c r="BY35" s="106"/>
      <c r="BZ35" s="106"/>
      <c r="CA35" s="106"/>
      <c r="CB35" s="106"/>
      <c r="CC35" s="108">
        <f>SUM(Tabelle4[[#This Row],[Projektverantwortung
(Lenkungsausschuss)   ]:[Kommunikation   ]])</f>
        <v>0</v>
      </c>
      <c r="CD35" s="105"/>
      <c r="CE35" s="106"/>
      <c r="CF35" s="106"/>
      <c r="CG35" s="106"/>
      <c r="CH35" s="106"/>
      <c r="CI35" s="106"/>
      <c r="CJ35" s="106"/>
      <c r="CK35" s="106"/>
      <c r="CL35" s="108">
        <f>SUM(Tabelle4[[#This Row],[Projektverantwortung
(Lenkungsausschuss).]:[Kommunikation    ]])</f>
        <v>0</v>
      </c>
      <c r="CM35" s="105"/>
      <c r="CN35" s="106"/>
      <c r="CO35" s="106"/>
      <c r="CP35" s="106"/>
      <c r="CQ35" s="106"/>
      <c r="CR35" s="106"/>
      <c r="CS35" s="106"/>
      <c r="CT35" s="106"/>
      <c r="CU35" s="108">
        <f>SUM(Tabelle4[[#This Row],[Projektverantwortung
(Lenkungsausschuss)    ]:[Kommunikation     ]])</f>
        <v>0</v>
      </c>
      <c r="CV35" s="107">
        <f>SUM(Tabelle4[[#This Row],[Total Aufwand
1. Quartal 2018]],Tabelle4[[#This Row],[Total Aufwand
2. Quartal 2018]],Tabelle4[[#This Row],[Total Aufwand
3. Quartal 2018]],Tabelle4[[#This Row],[Total Aufwand
4. Quartal 2018]])</f>
        <v>40</v>
      </c>
      <c r="CW35" s="105"/>
      <c r="CX35" s="105"/>
      <c r="CY35" s="105"/>
      <c r="CZ35" s="105"/>
      <c r="DA35" s="105"/>
      <c r="DB35" s="105"/>
      <c r="DC35" s="105"/>
      <c r="DD35" s="105"/>
      <c r="DE35" s="107">
        <f>SUM(Tabelle4[[#This Row],[Aufwand ]],Tabelle4[[#This Row],[Aufwand 2]],Tabelle4[[#This Row],[Aufwand 3]],Tabelle4[[#This Row],[Aufwand 4]])</f>
        <v>0</v>
      </c>
      <c r="DF35" s="105"/>
      <c r="DG35" s="105"/>
      <c r="DH35" s="105"/>
      <c r="DI35" s="105"/>
      <c r="DJ35" s="105"/>
      <c r="DK35" s="105"/>
      <c r="DL35" s="105"/>
      <c r="DM35" s="105"/>
      <c r="DN35" s="107">
        <f>SUM(Tabelle4[[#This Row],[Aufwand  ]],Tabelle4[[#This Row],[Aufwand  2]],Tabelle4[[#This Row],[Aufwand  3]],Tabelle4[[#This Row],[Aufwand  4]])</f>
        <v>0</v>
      </c>
      <c r="DO35" s="105"/>
      <c r="DP35" s="105"/>
      <c r="DQ35" s="105"/>
      <c r="DR35" s="105"/>
      <c r="DS35" s="105"/>
      <c r="DT35" s="105"/>
      <c r="DU35" s="105"/>
      <c r="DV35" s="105"/>
      <c r="DW35" s="107">
        <f>SUM(Tabelle4[[#This Row],[Aufwand   ]],Tabelle4[[#This Row],[Aufwand   2]],Tabelle4[[#This Row],[Aufwand   3]],Tabelle4[[#This Row],[Aufwand   4]])</f>
        <v>0</v>
      </c>
      <c r="DX35" s="105"/>
      <c r="DY35" s="105"/>
      <c r="DZ35" s="105"/>
      <c r="EA35" s="105"/>
      <c r="EB35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40</v>
      </c>
      <c r="EC35" s="122">
        <f>Tabelle4[[#This Row],[Gesamaufwand]]/2000</f>
        <v>0.02</v>
      </c>
      <c r="ED35" s="47"/>
      <c r="EE35" s="47"/>
      <c r="EF35" s="47"/>
      <c r="EG35" s="47"/>
      <c r="EH35" s="47"/>
      <c r="EI35" s="48"/>
      <c r="EJ35" s="48"/>
      <c r="EK35" s="48"/>
      <c r="EL35" s="48"/>
      <c r="EM35" s="48"/>
    </row>
    <row r="36" spans="1:143" s="59" customFormat="1">
      <c r="A36" s="255" t="s">
        <v>232</v>
      </c>
      <c r="B36" s="251" t="s">
        <v>105</v>
      </c>
      <c r="C36" s="254" t="s">
        <v>75</v>
      </c>
      <c r="D36" s="251" t="s">
        <v>780</v>
      </c>
      <c r="E36" s="251" t="s">
        <v>781</v>
      </c>
      <c r="F36" s="253">
        <v>3</v>
      </c>
      <c r="G36" s="253">
        <v>2</v>
      </c>
      <c r="H36" s="253"/>
      <c r="I36" s="254" t="s">
        <v>95</v>
      </c>
      <c r="J36" s="254"/>
      <c r="K36" s="105"/>
      <c r="L36" s="105"/>
      <c r="M36" s="48"/>
      <c r="N36" s="105"/>
      <c r="O36" s="255" t="s">
        <v>233</v>
      </c>
      <c r="P36" s="261">
        <v>1</v>
      </c>
      <c r="Q36" s="261">
        <v>0</v>
      </c>
      <c r="R36" s="261">
        <v>0</v>
      </c>
      <c r="S36" s="262" t="s">
        <v>164</v>
      </c>
      <c r="T36" s="263" t="s">
        <v>673</v>
      </c>
      <c r="U36" s="105"/>
      <c r="V36" s="259" t="s">
        <v>12</v>
      </c>
      <c r="W36" s="105" t="s">
        <v>7</v>
      </c>
      <c r="X36" s="105" t="s">
        <v>9</v>
      </c>
      <c r="Y36" s="105" t="s">
        <v>690</v>
      </c>
      <c r="Z36" s="105" t="s">
        <v>690</v>
      </c>
      <c r="AA36" s="105" t="s">
        <v>639</v>
      </c>
      <c r="AB36" s="105" t="s">
        <v>690</v>
      </c>
      <c r="AC36" s="105" t="s">
        <v>690</v>
      </c>
      <c r="AD36" s="105" t="s">
        <v>12</v>
      </c>
      <c r="AE36" s="105"/>
      <c r="AF36" s="105"/>
      <c r="AG36" s="105"/>
      <c r="AH36" s="115" t="s">
        <v>1091</v>
      </c>
      <c r="AI36" s="115"/>
      <c r="AJ36" s="115"/>
      <c r="AK36" s="105"/>
      <c r="AL36" s="115">
        <v>4000</v>
      </c>
      <c r="AM36" s="115"/>
      <c r="AN36" s="115"/>
      <c r="AO36" s="260">
        <f>Tabelle4[[#This Row],[Kredit-  / Budgetsumme
(RADAR: Gesamtkosten S)]]-Tabelle4[[#This Row],[Netto-Ausgaben Vorjahre ]]</f>
        <v>4000</v>
      </c>
      <c r="AP36" s="310"/>
      <c r="AQ36" s="311">
        <v>4000</v>
      </c>
      <c r="AR36" s="115"/>
      <c r="AS36" s="115"/>
      <c r="AT36" s="311"/>
      <c r="AU36" s="115"/>
      <c r="AV36" s="311"/>
      <c r="AW36" s="115"/>
      <c r="AX36" s="311"/>
      <c r="AY36" s="115"/>
      <c r="AZ36" s="311"/>
      <c r="BA36" s="115"/>
      <c r="BB36" s="311"/>
      <c r="BC36" s="115"/>
      <c r="BD36" s="311"/>
      <c r="BE36" s="115"/>
      <c r="BF36" s="311"/>
      <c r="BG36" s="115"/>
      <c r="BH36" s="311"/>
      <c r="BI36" s="115"/>
      <c r="BJ36" s="115"/>
      <c r="BK36" s="264"/>
      <c r="BL36" s="105"/>
      <c r="BM36" s="106">
        <v>8</v>
      </c>
      <c r="BN36" s="106"/>
      <c r="BO36" s="106"/>
      <c r="BP36" s="106"/>
      <c r="BQ36" s="106"/>
      <c r="BR36" s="106"/>
      <c r="BS36" s="106"/>
      <c r="BT36" s="108">
        <f>SUM(Tabelle4[[#This Row],[Projektverantwortung
(Lenkungsausschuss) ]:[Kommunikation ]])</f>
        <v>8</v>
      </c>
      <c r="BU36" s="105"/>
      <c r="BV36" s="106"/>
      <c r="BW36" s="106"/>
      <c r="BX36" s="106"/>
      <c r="BY36" s="106"/>
      <c r="BZ36" s="106"/>
      <c r="CA36" s="106"/>
      <c r="CB36" s="106"/>
      <c r="CC36" s="108">
        <f>SUM(Tabelle4[[#This Row],[Projektverantwortung
(Lenkungsausschuss)   ]:[Kommunikation   ]])</f>
        <v>0</v>
      </c>
      <c r="CD36" s="105"/>
      <c r="CE36" s="106"/>
      <c r="CF36" s="106"/>
      <c r="CG36" s="106"/>
      <c r="CH36" s="106"/>
      <c r="CI36" s="106"/>
      <c r="CJ36" s="106"/>
      <c r="CK36" s="106"/>
      <c r="CL36" s="108">
        <f>SUM(Tabelle4[[#This Row],[Projektverantwortung
(Lenkungsausschuss).]:[Kommunikation    ]])</f>
        <v>0</v>
      </c>
      <c r="CM36" s="105"/>
      <c r="CN36" s="106"/>
      <c r="CO36" s="106"/>
      <c r="CP36" s="106"/>
      <c r="CQ36" s="106"/>
      <c r="CR36" s="106"/>
      <c r="CS36" s="106"/>
      <c r="CT36" s="106"/>
      <c r="CU36" s="108">
        <f>SUM(Tabelle4[[#This Row],[Projektverantwortung
(Lenkungsausschuss)    ]:[Kommunikation     ]])</f>
        <v>0</v>
      </c>
      <c r="CV36" s="107">
        <f>SUM(Tabelle4[[#This Row],[Total Aufwand
1. Quartal 2018]],Tabelle4[[#This Row],[Total Aufwand
2. Quartal 2018]],Tabelle4[[#This Row],[Total Aufwand
3. Quartal 2018]],Tabelle4[[#This Row],[Total Aufwand
4. Quartal 2018]])</f>
        <v>8</v>
      </c>
      <c r="CW36" s="105"/>
      <c r="CX36" s="105"/>
      <c r="CY36" s="105"/>
      <c r="CZ36" s="105"/>
      <c r="DA36" s="105"/>
      <c r="DB36" s="105"/>
      <c r="DC36" s="105"/>
      <c r="DD36" s="105"/>
      <c r="DE36" s="107">
        <f>SUM(Tabelle4[[#This Row],[Aufwand ]],Tabelle4[[#This Row],[Aufwand 2]],Tabelle4[[#This Row],[Aufwand 3]],Tabelle4[[#This Row],[Aufwand 4]])</f>
        <v>0</v>
      </c>
      <c r="DF36" s="105"/>
      <c r="DG36" s="105"/>
      <c r="DH36" s="105"/>
      <c r="DI36" s="105"/>
      <c r="DJ36" s="105"/>
      <c r="DK36" s="105"/>
      <c r="DL36" s="105"/>
      <c r="DM36" s="105"/>
      <c r="DN36" s="107">
        <f>SUM(Tabelle4[[#This Row],[Aufwand  ]],Tabelle4[[#This Row],[Aufwand  2]],Tabelle4[[#This Row],[Aufwand  3]],Tabelle4[[#This Row],[Aufwand  4]])</f>
        <v>0</v>
      </c>
      <c r="DO36" s="105"/>
      <c r="DP36" s="105"/>
      <c r="DQ36" s="105"/>
      <c r="DR36" s="105"/>
      <c r="DS36" s="105"/>
      <c r="DT36" s="105"/>
      <c r="DU36" s="105"/>
      <c r="DV36" s="105"/>
      <c r="DW36" s="107">
        <f>SUM(Tabelle4[[#This Row],[Aufwand   ]],Tabelle4[[#This Row],[Aufwand   2]],Tabelle4[[#This Row],[Aufwand   3]],Tabelle4[[#This Row],[Aufwand   4]])</f>
        <v>0</v>
      </c>
      <c r="DX36" s="105"/>
      <c r="DY36" s="105"/>
      <c r="DZ36" s="105"/>
      <c r="EA36" s="105"/>
      <c r="EB36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8</v>
      </c>
      <c r="EC36" s="122">
        <f>Tabelle4[[#This Row],[Gesamaufwand]]/2000</f>
        <v>4.0000000000000001E-3</v>
      </c>
      <c r="ED36" s="47"/>
      <c r="EE36" s="47"/>
      <c r="EF36" s="47"/>
      <c r="EG36" s="47"/>
      <c r="EH36" s="47"/>
      <c r="EI36" s="48"/>
      <c r="EJ36" s="48"/>
      <c r="EK36" s="48"/>
      <c r="EL36" s="48"/>
      <c r="EM36" s="48"/>
    </row>
    <row r="37" spans="1:143" s="59" customFormat="1">
      <c r="A37" s="255" t="s">
        <v>234</v>
      </c>
      <c r="B37" s="251" t="s">
        <v>105</v>
      </c>
      <c r="C37" s="254" t="s">
        <v>67</v>
      </c>
      <c r="D37" s="251" t="s">
        <v>914</v>
      </c>
      <c r="E37" s="251" t="s">
        <v>114</v>
      </c>
      <c r="F37" s="253">
        <v>2</v>
      </c>
      <c r="G37" s="253">
        <v>1</v>
      </c>
      <c r="H37" s="253"/>
      <c r="I37" s="254" t="s">
        <v>95</v>
      </c>
      <c r="J37" s="254"/>
      <c r="K37" s="105"/>
      <c r="L37" s="105"/>
      <c r="M37" s="48"/>
      <c r="N37" s="105" t="s">
        <v>2</v>
      </c>
      <c r="O37" s="255" t="s">
        <v>235</v>
      </c>
      <c r="P37" s="261">
        <v>1</v>
      </c>
      <c r="Q37" s="261">
        <v>0</v>
      </c>
      <c r="R37" s="261">
        <v>0</v>
      </c>
      <c r="S37" s="262" t="s">
        <v>159</v>
      </c>
      <c r="T37" s="263" t="s">
        <v>665</v>
      </c>
      <c r="U37" s="105"/>
      <c r="V37" s="259" t="s">
        <v>12</v>
      </c>
      <c r="W37" s="105" t="s">
        <v>7</v>
      </c>
      <c r="X37" s="105" t="s">
        <v>9</v>
      </c>
      <c r="Y37" s="105" t="s">
        <v>690</v>
      </c>
      <c r="Z37" s="105" t="s">
        <v>79</v>
      </c>
      <c r="AA37" s="105" t="s">
        <v>690</v>
      </c>
      <c r="AB37" s="105" t="s">
        <v>13</v>
      </c>
      <c r="AC37" s="105" t="s">
        <v>634</v>
      </c>
      <c r="AD37" s="105" t="s">
        <v>12</v>
      </c>
      <c r="AE37" s="105"/>
      <c r="AF37" s="105"/>
      <c r="AG37" s="105"/>
      <c r="AH37" s="115" t="s">
        <v>802</v>
      </c>
      <c r="AI37" s="115" t="s">
        <v>73</v>
      </c>
      <c r="AJ37" s="115" t="s">
        <v>74</v>
      </c>
      <c r="AK37" s="105" t="s">
        <v>1115</v>
      </c>
      <c r="AL37" s="115">
        <v>225000</v>
      </c>
      <c r="AM37" s="115"/>
      <c r="AN37" s="115"/>
      <c r="AO37" s="260">
        <f>Tabelle4[[#This Row],[Kredit-  / Budgetsumme
(RADAR: Gesamtkosten S)]]-Tabelle4[[#This Row],[Netto-Ausgaben Vorjahre ]]</f>
        <v>225000</v>
      </c>
      <c r="AP37" s="310"/>
      <c r="AQ37" s="311">
        <v>200000</v>
      </c>
      <c r="AR37" s="115">
        <f>Tabelle4[[#This Row],[Kreditrest per 1.1. aktuelles Jahr]]-Tabelle4[[#This Row],[Prognose 2018
(RADAR: Kosten 2018 S)]]</f>
        <v>25000</v>
      </c>
      <c r="AS37" s="115"/>
      <c r="AT37" s="311"/>
      <c r="AU37" s="115"/>
      <c r="AV37" s="311"/>
      <c r="AW37" s="115"/>
      <c r="AX37" s="311"/>
      <c r="AY37" s="115"/>
      <c r="AZ37" s="311"/>
      <c r="BA37" s="115"/>
      <c r="BB37" s="311"/>
      <c r="BC37" s="115"/>
      <c r="BD37" s="311"/>
      <c r="BE37" s="115"/>
      <c r="BF37" s="311"/>
      <c r="BG37" s="115"/>
      <c r="BH37" s="311"/>
      <c r="BI37" s="115"/>
      <c r="BJ37" s="115"/>
      <c r="BK37" s="264"/>
      <c r="BL37" s="105"/>
      <c r="BM37" s="106">
        <v>8</v>
      </c>
      <c r="BN37" s="106"/>
      <c r="BO37" s="106">
        <v>60</v>
      </c>
      <c r="BP37" s="106"/>
      <c r="BQ37" s="106">
        <v>40</v>
      </c>
      <c r="BR37" s="106">
        <v>40</v>
      </c>
      <c r="BS37" s="106"/>
      <c r="BT37" s="108">
        <f>SUM(Tabelle4[[#This Row],[Projektverantwortung
(Lenkungsausschuss) ]:[Kommunikation ]])</f>
        <v>148</v>
      </c>
      <c r="BU37" s="105"/>
      <c r="BV37" s="106">
        <v>8</v>
      </c>
      <c r="BW37" s="106"/>
      <c r="BX37" s="106">
        <v>60</v>
      </c>
      <c r="BY37" s="106"/>
      <c r="BZ37" s="106">
        <v>20</v>
      </c>
      <c r="CA37" s="106">
        <v>20</v>
      </c>
      <c r="CB37" s="106"/>
      <c r="CC37" s="108">
        <f>SUM(Tabelle4[[#This Row],[Projektverantwortung
(Lenkungsausschuss)   ]:[Kommunikation   ]])</f>
        <v>108</v>
      </c>
      <c r="CD37" s="105"/>
      <c r="CE37" s="106"/>
      <c r="CF37" s="106"/>
      <c r="CG37" s="106"/>
      <c r="CH37" s="106"/>
      <c r="CI37" s="106"/>
      <c r="CJ37" s="106"/>
      <c r="CK37" s="106"/>
      <c r="CL37" s="108">
        <f>SUM(Tabelle4[[#This Row],[Projektverantwortung
(Lenkungsausschuss).]:[Kommunikation    ]])</f>
        <v>0</v>
      </c>
      <c r="CM37" s="105"/>
      <c r="CN37" s="106"/>
      <c r="CO37" s="106"/>
      <c r="CP37" s="106"/>
      <c r="CQ37" s="106"/>
      <c r="CR37" s="106"/>
      <c r="CS37" s="106"/>
      <c r="CT37" s="106"/>
      <c r="CU37" s="108">
        <f>SUM(Tabelle4[[#This Row],[Projektverantwortung
(Lenkungsausschuss)    ]:[Kommunikation     ]])</f>
        <v>0</v>
      </c>
      <c r="CV37" s="107">
        <f>SUM(Tabelle4[[#This Row],[Total Aufwand
1. Quartal 2018]],Tabelle4[[#This Row],[Total Aufwand
2. Quartal 2018]],Tabelle4[[#This Row],[Total Aufwand
3. Quartal 2018]],Tabelle4[[#This Row],[Total Aufwand
4. Quartal 2018]])</f>
        <v>256</v>
      </c>
      <c r="CW37" s="105"/>
      <c r="CX37" s="105"/>
      <c r="CY37" s="105"/>
      <c r="CZ37" s="105"/>
      <c r="DA37" s="105"/>
      <c r="DB37" s="105"/>
      <c r="DC37" s="105"/>
      <c r="DD37" s="105"/>
      <c r="DE37" s="107">
        <f>SUM(Tabelle4[[#This Row],[Aufwand ]],Tabelle4[[#This Row],[Aufwand 2]],Tabelle4[[#This Row],[Aufwand 3]],Tabelle4[[#This Row],[Aufwand 4]])</f>
        <v>0</v>
      </c>
      <c r="DF37" s="105"/>
      <c r="DG37" s="105"/>
      <c r="DH37" s="105"/>
      <c r="DI37" s="105"/>
      <c r="DJ37" s="105"/>
      <c r="DK37" s="105"/>
      <c r="DL37" s="105"/>
      <c r="DM37" s="105"/>
      <c r="DN37" s="107">
        <f>SUM(Tabelle4[[#This Row],[Aufwand  ]],Tabelle4[[#This Row],[Aufwand  2]],Tabelle4[[#This Row],[Aufwand  3]],Tabelle4[[#This Row],[Aufwand  4]])</f>
        <v>0</v>
      </c>
      <c r="DO37" s="105"/>
      <c r="DP37" s="105"/>
      <c r="DQ37" s="105"/>
      <c r="DR37" s="105"/>
      <c r="DS37" s="105"/>
      <c r="DT37" s="105"/>
      <c r="DU37" s="105"/>
      <c r="DV37" s="105"/>
      <c r="DW37" s="107">
        <f>SUM(Tabelle4[[#This Row],[Aufwand   ]],Tabelle4[[#This Row],[Aufwand   2]],Tabelle4[[#This Row],[Aufwand   3]],Tabelle4[[#This Row],[Aufwand   4]])</f>
        <v>0</v>
      </c>
      <c r="DX37" s="105"/>
      <c r="DY37" s="105"/>
      <c r="DZ37" s="105"/>
      <c r="EA37" s="105"/>
      <c r="EB37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256</v>
      </c>
      <c r="EC37" s="122">
        <f>Tabelle4[[#This Row],[Gesamaufwand]]/2000</f>
        <v>0.128</v>
      </c>
      <c r="ED37" s="47"/>
      <c r="EE37" s="47"/>
      <c r="EF37" s="47"/>
      <c r="EG37" s="47"/>
      <c r="EH37" s="47"/>
      <c r="EI37" s="48"/>
      <c r="EJ37" s="48"/>
      <c r="EK37" s="48"/>
      <c r="EL37" s="48"/>
      <c r="EM37" s="48"/>
    </row>
    <row r="38" spans="1:143" s="59" customFormat="1">
      <c r="A38" s="255" t="s">
        <v>237</v>
      </c>
      <c r="B38" s="251" t="s">
        <v>105</v>
      </c>
      <c r="C38" s="254" t="s">
        <v>75</v>
      </c>
      <c r="D38" s="251" t="s">
        <v>914</v>
      </c>
      <c r="E38" s="251" t="s">
        <v>114</v>
      </c>
      <c r="F38" s="253">
        <v>3</v>
      </c>
      <c r="G38" s="253">
        <v>2</v>
      </c>
      <c r="H38" s="253"/>
      <c r="I38" s="254" t="s">
        <v>95</v>
      </c>
      <c r="J38" s="254"/>
      <c r="K38" s="105"/>
      <c r="L38" s="105"/>
      <c r="M38" s="48"/>
      <c r="N38" s="105"/>
      <c r="O38" s="255" t="s">
        <v>238</v>
      </c>
      <c r="P38" s="261">
        <v>1</v>
      </c>
      <c r="Q38" s="261">
        <v>0</v>
      </c>
      <c r="R38" s="261">
        <v>0</v>
      </c>
      <c r="S38" s="262" t="s">
        <v>140</v>
      </c>
      <c r="T38" s="263" t="s">
        <v>658</v>
      </c>
      <c r="U38" s="105" t="s">
        <v>1095</v>
      </c>
      <c r="V38" s="259" t="s">
        <v>12</v>
      </c>
      <c r="W38" s="105" t="s">
        <v>7</v>
      </c>
      <c r="X38" s="105" t="s">
        <v>9</v>
      </c>
      <c r="Y38" s="105" t="s">
        <v>690</v>
      </c>
      <c r="Z38" s="105" t="s">
        <v>75</v>
      </c>
      <c r="AA38" s="105" t="s">
        <v>75</v>
      </c>
      <c r="AB38" s="105" t="s">
        <v>75</v>
      </c>
      <c r="AC38" s="105" t="s">
        <v>75</v>
      </c>
      <c r="AD38" s="105" t="s">
        <v>12</v>
      </c>
      <c r="AE38" s="105"/>
      <c r="AF38" s="105"/>
      <c r="AG38" s="105"/>
      <c r="AH38" s="115" t="s">
        <v>802</v>
      </c>
      <c r="AI38" s="115"/>
      <c r="AJ38" s="115" t="s">
        <v>75</v>
      </c>
      <c r="AK38" s="105"/>
      <c r="AL38" s="115"/>
      <c r="AM38" s="115"/>
      <c r="AN38" s="115"/>
      <c r="AO38" s="260">
        <f>Tabelle4[[#This Row],[Kredit-  / Budgetsumme
(RADAR: Gesamtkosten S)]]-Tabelle4[[#This Row],[Netto-Ausgaben Vorjahre ]]</f>
        <v>0</v>
      </c>
      <c r="AP38" s="310"/>
      <c r="AQ38" s="311"/>
      <c r="AR38" s="115">
        <f>Tabelle4[[#This Row],[Kreditrest per 1.1. aktuelles Jahr]]-Tabelle4[[#This Row],[Prognose 2018
(RADAR: Kosten 2018 S)]]</f>
        <v>0</v>
      </c>
      <c r="AS38" s="115"/>
      <c r="AT38" s="311"/>
      <c r="AU38" s="115"/>
      <c r="AV38" s="311"/>
      <c r="AW38" s="115"/>
      <c r="AX38" s="311"/>
      <c r="AY38" s="115"/>
      <c r="AZ38" s="311"/>
      <c r="BA38" s="115"/>
      <c r="BB38" s="311"/>
      <c r="BC38" s="115"/>
      <c r="BD38" s="311"/>
      <c r="BE38" s="115"/>
      <c r="BF38" s="311"/>
      <c r="BG38" s="115"/>
      <c r="BH38" s="311"/>
      <c r="BI38" s="115"/>
      <c r="BJ38" s="115"/>
      <c r="BK38" s="264"/>
      <c r="BL38" s="105"/>
      <c r="BM38" s="106"/>
      <c r="BN38" s="106"/>
      <c r="BO38" s="106"/>
      <c r="BP38" s="106"/>
      <c r="BQ38" s="106"/>
      <c r="BR38" s="106"/>
      <c r="BS38" s="106"/>
      <c r="BT38" s="108">
        <f>SUM(Tabelle4[[#This Row],[Projektverantwortung
(Lenkungsausschuss) ]:[Kommunikation ]])</f>
        <v>0</v>
      </c>
      <c r="BU38" s="105"/>
      <c r="BV38" s="106"/>
      <c r="BW38" s="106"/>
      <c r="BX38" s="106"/>
      <c r="BY38" s="106"/>
      <c r="BZ38" s="106"/>
      <c r="CA38" s="106"/>
      <c r="CB38" s="106"/>
      <c r="CC38" s="108">
        <f>SUM(Tabelle4[[#This Row],[Projektverantwortung
(Lenkungsausschuss)   ]:[Kommunikation   ]])</f>
        <v>0</v>
      </c>
      <c r="CD38" s="105"/>
      <c r="CE38" s="106"/>
      <c r="CF38" s="106"/>
      <c r="CG38" s="106"/>
      <c r="CH38" s="106"/>
      <c r="CI38" s="106"/>
      <c r="CJ38" s="106"/>
      <c r="CK38" s="106"/>
      <c r="CL38" s="108">
        <f>SUM(Tabelle4[[#This Row],[Projektverantwortung
(Lenkungsausschuss).]:[Kommunikation    ]])</f>
        <v>0</v>
      </c>
      <c r="CM38" s="105"/>
      <c r="CN38" s="106"/>
      <c r="CO38" s="106"/>
      <c r="CP38" s="106"/>
      <c r="CQ38" s="106"/>
      <c r="CR38" s="106"/>
      <c r="CS38" s="106"/>
      <c r="CT38" s="106"/>
      <c r="CU38" s="108">
        <f>SUM(Tabelle4[[#This Row],[Projektverantwortung
(Lenkungsausschuss)    ]:[Kommunikation     ]])</f>
        <v>0</v>
      </c>
      <c r="CV38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38" s="105"/>
      <c r="CX38" s="105"/>
      <c r="CY38" s="105"/>
      <c r="CZ38" s="105"/>
      <c r="DA38" s="105"/>
      <c r="DB38" s="105"/>
      <c r="DC38" s="105"/>
      <c r="DD38" s="105"/>
      <c r="DE38" s="107">
        <f>SUM(Tabelle4[[#This Row],[Aufwand ]],Tabelle4[[#This Row],[Aufwand 2]],Tabelle4[[#This Row],[Aufwand 3]],Tabelle4[[#This Row],[Aufwand 4]])</f>
        <v>0</v>
      </c>
      <c r="DF38" s="105"/>
      <c r="DG38" s="105"/>
      <c r="DH38" s="105"/>
      <c r="DI38" s="105"/>
      <c r="DJ38" s="105"/>
      <c r="DK38" s="105"/>
      <c r="DL38" s="105"/>
      <c r="DM38" s="105"/>
      <c r="DN38" s="107">
        <f>SUM(Tabelle4[[#This Row],[Aufwand  ]],Tabelle4[[#This Row],[Aufwand  2]],Tabelle4[[#This Row],[Aufwand  3]],Tabelle4[[#This Row],[Aufwand  4]])</f>
        <v>0</v>
      </c>
      <c r="DO38" s="105"/>
      <c r="DP38" s="105"/>
      <c r="DQ38" s="105"/>
      <c r="DR38" s="105"/>
      <c r="DS38" s="105"/>
      <c r="DT38" s="105"/>
      <c r="DU38" s="105"/>
      <c r="DV38" s="105"/>
      <c r="DW38" s="107">
        <f>SUM(Tabelle4[[#This Row],[Aufwand   ]],Tabelle4[[#This Row],[Aufwand   2]],Tabelle4[[#This Row],[Aufwand   3]],Tabelle4[[#This Row],[Aufwand   4]])</f>
        <v>0</v>
      </c>
      <c r="DX38" s="105"/>
      <c r="DY38" s="105"/>
      <c r="DZ38" s="105"/>
      <c r="EA38" s="105"/>
      <c r="EB38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38" s="122">
        <f>Tabelle4[[#This Row],[Gesamaufwand]]/2000</f>
        <v>0</v>
      </c>
      <c r="ED38" s="47"/>
      <c r="EE38" s="47"/>
      <c r="EF38" s="47"/>
      <c r="EG38" s="47"/>
      <c r="EH38" s="47"/>
      <c r="EI38" s="48"/>
      <c r="EJ38" s="48"/>
      <c r="EK38" s="48"/>
      <c r="EL38" s="48"/>
      <c r="EM38" s="48"/>
    </row>
    <row r="39" spans="1:143" s="59" customFormat="1">
      <c r="A39" s="255" t="s">
        <v>239</v>
      </c>
      <c r="B39" s="251" t="s">
        <v>105</v>
      </c>
      <c r="C39" s="254" t="s">
        <v>75</v>
      </c>
      <c r="D39" s="251" t="s">
        <v>914</v>
      </c>
      <c r="E39" s="251" t="s">
        <v>114</v>
      </c>
      <c r="F39" s="253">
        <v>3</v>
      </c>
      <c r="G39" s="253">
        <v>2</v>
      </c>
      <c r="H39" s="253"/>
      <c r="I39" s="254" t="s">
        <v>95</v>
      </c>
      <c r="J39" s="254"/>
      <c r="K39" s="105"/>
      <c r="L39" s="105"/>
      <c r="M39" s="48"/>
      <c r="N39" s="105"/>
      <c r="O39" s="255" t="s">
        <v>240</v>
      </c>
      <c r="P39" s="261">
        <v>1</v>
      </c>
      <c r="Q39" s="261">
        <v>0</v>
      </c>
      <c r="R39" s="261">
        <v>0</v>
      </c>
      <c r="S39" s="262" t="s">
        <v>215</v>
      </c>
      <c r="T39" s="263" t="s">
        <v>658</v>
      </c>
      <c r="U39" s="105" t="s">
        <v>1095</v>
      </c>
      <c r="V39" s="259" t="s">
        <v>12</v>
      </c>
      <c r="W39" s="105" t="s">
        <v>7</v>
      </c>
      <c r="X39" s="105" t="s">
        <v>9</v>
      </c>
      <c r="Y39" s="105" t="s">
        <v>690</v>
      </c>
      <c r="Z39" s="105" t="s">
        <v>75</v>
      </c>
      <c r="AA39" s="105" t="s">
        <v>75</v>
      </c>
      <c r="AB39" s="105" t="s">
        <v>75</v>
      </c>
      <c r="AC39" s="105" t="s">
        <v>75</v>
      </c>
      <c r="AD39" s="105" t="s">
        <v>12</v>
      </c>
      <c r="AE39" s="105"/>
      <c r="AF39" s="105"/>
      <c r="AG39" s="105"/>
      <c r="AH39" s="115" t="s">
        <v>802</v>
      </c>
      <c r="AI39" s="115"/>
      <c r="AJ39" s="115"/>
      <c r="AK39" s="105"/>
      <c r="AL39" s="115">
        <v>170000</v>
      </c>
      <c r="AM39" s="115"/>
      <c r="AN39" s="115"/>
      <c r="AO39" s="260">
        <f>Tabelle4[[#This Row],[Kredit-  / Budgetsumme
(RADAR: Gesamtkosten S)]]-Tabelle4[[#This Row],[Netto-Ausgaben Vorjahre ]]</f>
        <v>170000</v>
      </c>
      <c r="AP39" s="310"/>
      <c r="AQ39" s="311"/>
      <c r="AR39" s="115">
        <f>Tabelle4[[#This Row],[Kreditrest per 1.1. aktuelles Jahr]]-Tabelle4[[#This Row],[Prognose 2018
(RADAR: Kosten 2018 S)]]</f>
        <v>170000</v>
      </c>
      <c r="AS39" s="115"/>
      <c r="AT39" s="311">
        <v>100000</v>
      </c>
      <c r="AU39" s="115"/>
      <c r="AV39" s="311">
        <v>70000</v>
      </c>
      <c r="AW39" s="115"/>
      <c r="AX39" s="311"/>
      <c r="AY39" s="115"/>
      <c r="AZ39" s="311"/>
      <c r="BA39" s="115"/>
      <c r="BB39" s="311"/>
      <c r="BC39" s="115"/>
      <c r="BD39" s="311"/>
      <c r="BE39" s="115"/>
      <c r="BF39" s="311"/>
      <c r="BG39" s="115"/>
      <c r="BH39" s="311"/>
      <c r="BI39" s="115"/>
      <c r="BJ39" s="115"/>
      <c r="BK39" s="264"/>
      <c r="BL39" s="105"/>
      <c r="BM39" s="106"/>
      <c r="BN39" s="106"/>
      <c r="BO39" s="106"/>
      <c r="BP39" s="106"/>
      <c r="BQ39" s="106"/>
      <c r="BR39" s="106"/>
      <c r="BS39" s="106"/>
      <c r="BT39" s="108">
        <f>SUM(Tabelle4[[#This Row],[Projektverantwortung
(Lenkungsausschuss) ]:[Kommunikation ]])</f>
        <v>0</v>
      </c>
      <c r="BU39" s="105"/>
      <c r="BV39" s="106"/>
      <c r="BW39" s="106"/>
      <c r="BX39" s="106"/>
      <c r="BY39" s="106"/>
      <c r="BZ39" s="106"/>
      <c r="CA39" s="106"/>
      <c r="CB39" s="106"/>
      <c r="CC39" s="108">
        <f>SUM(Tabelle4[[#This Row],[Projektverantwortung
(Lenkungsausschuss)   ]:[Kommunikation   ]])</f>
        <v>0</v>
      </c>
      <c r="CD39" s="105"/>
      <c r="CE39" s="106"/>
      <c r="CF39" s="106"/>
      <c r="CG39" s="106"/>
      <c r="CH39" s="106"/>
      <c r="CI39" s="106"/>
      <c r="CJ39" s="106"/>
      <c r="CK39" s="106"/>
      <c r="CL39" s="108">
        <f>SUM(Tabelle4[[#This Row],[Projektverantwortung
(Lenkungsausschuss).]:[Kommunikation    ]])</f>
        <v>0</v>
      </c>
      <c r="CM39" s="105"/>
      <c r="CN39" s="106"/>
      <c r="CO39" s="106"/>
      <c r="CP39" s="106"/>
      <c r="CQ39" s="106"/>
      <c r="CR39" s="106"/>
      <c r="CS39" s="106"/>
      <c r="CT39" s="106"/>
      <c r="CU39" s="108">
        <f>SUM(Tabelle4[[#This Row],[Projektverantwortung
(Lenkungsausschuss)    ]:[Kommunikation     ]])</f>
        <v>0</v>
      </c>
      <c r="CV39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39" s="105"/>
      <c r="CX39" s="105"/>
      <c r="CY39" s="105"/>
      <c r="CZ39" s="105"/>
      <c r="DA39" s="105"/>
      <c r="DB39" s="105"/>
      <c r="DC39" s="105"/>
      <c r="DD39" s="105"/>
      <c r="DE39" s="107">
        <f>SUM(Tabelle4[[#This Row],[Aufwand ]],Tabelle4[[#This Row],[Aufwand 2]],Tabelle4[[#This Row],[Aufwand 3]],Tabelle4[[#This Row],[Aufwand 4]])</f>
        <v>0</v>
      </c>
      <c r="DF39" s="105"/>
      <c r="DG39" s="105"/>
      <c r="DH39" s="105"/>
      <c r="DI39" s="105"/>
      <c r="DJ39" s="105"/>
      <c r="DK39" s="105"/>
      <c r="DL39" s="105"/>
      <c r="DM39" s="105"/>
      <c r="DN39" s="107">
        <f>SUM(Tabelle4[[#This Row],[Aufwand  ]],Tabelle4[[#This Row],[Aufwand  2]],Tabelle4[[#This Row],[Aufwand  3]],Tabelle4[[#This Row],[Aufwand  4]])</f>
        <v>0</v>
      </c>
      <c r="DO39" s="105"/>
      <c r="DP39" s="105"/>
      <c r="DQ39" s="105"/>
      <c r="DR39" s="105"/>
      <c r="DS39" s="105"/>
      <c r="DT39" s="105"/>
      <c r="DU39" s="105"/>
      <c r="DV39" s="105"/>
      <c r="DW39" s="107">
        <f>SUM(Tabelle4[[#This Row],[Aufwand   ]],Tabelle4[[#This Row],[Aufwand   2]],Tabelle4[[#This Row],[Aufwand   3]],Tabelle4[[#This Row],[Aufwand   4]])</f>
        <v>0</v>
      </c>
      <c r="DX39" s="105"/>
      <c r="DY39" s="105"/>
      <c r="DZ39" s="105"/>
      <c r="EA39" s="105"/>
      <c r="EB39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39" s="122">
        <f>Tabelle4[[#This Row],[Gesamaufwand]]/2000</f>
        <v>0</v>
      </c>
      <c r="ED39" s="47"/>
      <c r="EE39" s="47"/>
      <c r="EF39" s="47"/>
      <c r="EG39" s="47"/>
      <c r="EH39" s="47"/>
      <c r="EI39" s="48"/>
      <c r="EJ39" s="48"/>
      <c r="EK39" s="48"/>
      <c r="EL39" s="48"/>
      <c r="EM39" s="48"/>
    </row>
    <row r="40" spans="1:143" s="59" customFormat="1">
      <c r="A40" s="248" t="s">
        <v>861</v>
      </c>
      <c r="B40" s="249" t="s">
        <v>105</v>
      </c>
      <c r="C40" s="250" t="s">
        <v>67</v>
      </c>
      <c r="D40" s="249" t="s">
        <v>780</v>
      </c>
      <c r="E40" s="249" t="s">
        <v>781</v>
      </c>
      <c r="F40" s="252">
        <v>2</v>
      </c>
      <c r="G40" s="252">
        <v>1</v>
      </c>
      <c r="H40" s="252"/>
      <c r="I40" s="250" t="s">
        <v>95</v>
      </c>
      <c r="J40" s="250"/>
      <c r="K40" s="110"/>
      <c r="L40" s="110"/>
      <c r="M40" s="77"/>
      <c r="N40" s="110" t="s">
        <v>2</v>
      </c>
      <c r="O40" s="248"/>
      <c r="P40" s="256"/>
      <c r="Q40" s="256"/>
      <c r="R40" s="256"/>
      <c r="S40" s="257"/>
      <c r="T40" s="258" t="s">
        <v>673</v>
      </c>
      <c r="U40" s="110"/>
      <c r="V40" s="266" t="s">
        <v>12</v>
      </c>
      <c r="W40" s="105" t="s">
        <v>7</v>
      </c>
      <c r="X40" s="105" t="s">
        <v>9</v>
      </c>
      <c r="Y40" s="105" t="s">
        <v>690</v>
      </c>
      <c r="Z40" s="105" t="s">
        <v>690</v>
      </c>
      <c r="AA40" s="105" t="s">
        <v>639</v>
      </c>
      <c r="AB40" s="105" t="s">
        <v>690</v>
      </c>
      <c r="AC40" s="105" t="s">
        <v>690</v>
      </c>
      <c r="AD40" s="105" t="s">
        <v>12</v>
      </c>
      <c r="AE40" s="110"/>
      <c r="AF40" s="110"/>
      <c r="AG40" s="110"/>
      <c r="AH40" s="115" t="s">
        <v>1093</v>
      </c>
      <c r="AI40" s="260"/>
      <c r="AJ40" s="260"/>
      <c r="AK40" s="110"/>
      <c r="AL40" s="260">
        <v>7000</v>
      </c>
      <c r="AM40" s="260"/>
      <c r="AN40" s="260"/>
      <c r="AO40" s="260">
        <f>Tabelle4[[#This Row],[Kredit-  / Budgetsumme
(RADAR: Gesamtkosten S)]]-Tabelle4[[#This Row],[Netto-Ausgaben Vorjahre ]]</f>
        <v>7000</v>
      </c>
      <c r="AP40" s="310"/>
      <c r="AQ40" s="310">
        <v>7000</v>
      </c>
      <c r="AR40" s="260"/>
      <c r="AS40" s="260"/>
      <c r="AT40" s="310"/>
      <c r="AU40" s="260"/>
      <c r="AV40" s="310"/>
      <c r="AW40" s="260"/>
      <c r="AX40" s="310"/>
      <c r="AY40" s="260"/>
      <c r="AZ40" s="310"/>
      <c r="BA40" s="260"/>
      <c r="BB40" s="310"/>
      <c r="BC40" s="260"/>
      <c r="BD40" s="310"/>
      <c r="BE40" s="260"/>
      <c r="BF40" s="310"/>
      <c r="BG40" s="260"/>
      <c r="BH40" s="310"/>
      <c r="BI40" s="260"/>
      <c r="BJ40" s="260"/>
      <c r="BK40" s="276"/>
      <c r="BL40" s="105"/>
      <c r="BM40" s="111">
        <v>20</v>
      </c>
      <c r="BN40" s="111"/>
      <c r="BO40" s="111"/>
      <c r="BP40" s="111"/>
      <c r="BQ40" s="111"/>
      <c r="BR40" s="111"/>
      <c r="BS40" s="111"/>
      <c r="BT40" s="113">
        <f>SUM(Tabelle4[[#This Row],[Projektverantwortung
(Lenkungsausschuss) ]:[Kommunikation ]])</f>
        <v>20</v>
      </c>
      <c r="BU40" s="110"/>
      <c r="BV40" s="106"/>
      <c r="BW40" s="106"/>
      <c r="BX40" s="106"/>
      <c r="BY40" s="106"/>
      <c r="BZ40" s="106"/>
      <c r="CA40" s="106"/>
      <c r="CB40" s="106"/>
      <c r="CC40" s="113">
        <f>SUM(Tabelle4[[#This Row],[Projektverantwortung
(Lenkungsausschuss)   ]:[Kommunikation   ]])</f>
        <v>0</v>
      </c>
      <c r="CD40" s="110"/>
      <c r="CE40" s="114"/>
      <c r="CF40" s="114"/>
      <c r="CG40" s="114"/>
      <c r="CH40" s="114"/>
      <c r="CI40" s="114"/>
      <c r="CJ40" s="114"/>
      <c r="CK40" s="114"/>
      <c r="CL40" s="113">
        <f>SUM(Tabelle4[[#This Row],[Projektverantwortung
(Lenkungsausschuss).]:[Kommunikation    ]])</f>
        <v>0</v>
      </c>
      <c r="CM40" s="110"/>
      <c r="CN40" s="114"/>
      <c r="CO40" s="114"/>
      <c r="CP40" s="114"/>
      <c r="CQ40" s="114"/>
      <c r="CR40" s="114"/>
      <c r="CS40" s="114"/>
      <c r="CT40" s="114"/>
      <c r="CU40" s="113">
        <f>SUM(Tabelle4[[#This Row],[Projektverantwortung
(Lenkungsausschuss)    ]:[Kommunikation     ]])</f>
        <v>0</v>
      </c>
      <c r="CV40" s="107">
        <f>SUM(Tabelle4[[#This Row],[Total Aufwand
1. Quartal 2018]],Tabelle4[[#This Row],[Total Aufwand
2. Quartal 2018]],Tabelle4[[#This Row],[Total Aufwand
3. Quartal 2018]],Tabelle4[[#This Row],[Total Aufwand
4. Quartal 2018]])</f>
        <v>20</v>
      </c>
      <c r="CW40" s="105"/>
      <c r="CX40" s="105"/>
      <c r="CY40" s="105"/>
      <c r="CZ40" s="105"/>
      <c r="DA40" s="105"/>
      <c r="DB40" s="105"/>
      <c r="DC40" s="105"/>
      <c r="DD40" s="105"/>
      <c r="DE40" s="107">
        <f>SUM(Tabelle4[[#This Row],[Aufwand ]],Tabelle4[[#This Row],[Aufwand 2]],Tabelle4[[#This Row],[Aufwand 3]],Tabelle4[[#This Row],[Aufwand 4]])</f>
        <v>0</v>
      </c>
      <c r="DF40" s="105"/>
      <c r="DG40" s="105"/>
      <c r="DH40" s="105"/>
      <c r="DI40" s="105"/>
      <c r="DJ40" s="105"/>
      <c r="DK40" s="105"/>
      <c r="DL40" s="105"/>
      <c r="DM40" s="105"/>
      <c r="DN40" s="112">
        <f>SUM(Tabelle4[[#This Row],[Aufwand  ]],Tabelle4[[#This Row],[Aufwand  2]],Tabelle4[[#This Row],[Aufwand  3]],Tabelle4[[#This Row],[Aufwand  4]])</f>
        <v>0</v>
      </c>
      <c r="DO40" s="105"/>
      <c r="DP40" s="105"/>
      <c r="DQ40" s="105"/>
      <c r="DR40" s="105"/>
      <c r="DS40" s="105"/>
      <c r="DT40" s="105"/>
      <c r="DU40" s="105"/>
      <c r="DV40" s="105"/>
      <c r="DW40" s="107">
        <f>SUM(Tabelle4[[#This Row],[Aufwand   ]],Tabelle4[[#This Row],[Aufwand   2]],Tabelle4[[#This Row],[Aufwand   3]],Tabelle4[[#This Row],[Aufwand   4]])</f>
        <v>0</v>
      </c>
      <c r="DX40" s="105"/>
      <c r="DY40" s="105"/>
      <c r="DZ40" s="105"/>
      <c r="EA40" s="105"/>
      <c r="EB40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20</v>
      </c>
      <c r="EC40" s="122">
        <f>Tabelle4[[#This Row],[Gesamaufwand]]/2000</f>
        <v>0.01</v>
      </c>
      <c r="ED40" s="47"/>
      <c r="EE40" s="47"/>
      <c r="EF40" s="47"/>
      <c r="EG40" s="47"/>
      <c r="EH40" s="47"/>
      <c r="EI40" s="48"/>
      <c r="EJ40" s="48"/>
      <c r="EK40" s="48"/>
      <c r="EL40" s="48"/>
      <c r="EM40" s="48"/>
    </row>
    <row r="41" spans="1:143">
      <c r="A41" s="255" t="s">
        <v>313</v>
      </c>
      <c r="B41" s="251" t="s">
        <v>105</v>
      </c>
      <c r="C41" s="254" t="s">
        <v>67</v>
      </c>
      <c r="D41" s="251" t="s">
        <v>914</v>
      </c>
      <c r="E41" s="251" t="s">
        <v>112</v>
      </c>
      <c r="F41" s="253">
        <v>2</v>
      </c>
      <c r="G41" s="253">
        <v>1</v>
      </c>
      <c r="H41" s="253"/>
      <c r="I41" s="254" t="s">
        <v>95</v>
      </c>
      <c r="J41" s="254"/>
      <c r="K41" s="105"/>
      <c r="L41" s="105"/>
      <c r="M41" s="48"/>
      <c r="N41" s="105"/>
      <c r="O41" s="255" t="s">
        <v>314</v>
      </c>
      <c r="P41" s="261">
        <v>1</v>
      </c>
      <c r="Q41" s="261">
        <v>0</v>
      </c>
      <c r="R41" s="261">
        <v>0</v>
      </c>
      <c r="S41" s="262" t="s">
        <v>315</v>
      </c>
      <c r="T41" s="263" t="s">
        <v>674</v>
      </c>
      <c r="U41" s="105"/>
      <c r="V41" s="259" t="s">
        <v>12</v>
      </c>
      <c r="W41" s="105" t="s">
        <v>7</v>
      </c>
      <c r="X41" s="105" t="s">
        <v>9</v>
      </c>
      <c r="Y41" s="105" t="s">
        <v>690</v>
      </c>
      <c r="Z41" s="105" t="s">
        <v>79</v>
      </c>
      <c r="AA41" s="105" t="s">
        <v>639</v>
      </c>
      <c r="AB41" s="105" t="s">
        <v>639</v>
      </c>
      <c r="AC41" s="105" t="s">
        <v>639</v>
      </c>
      <c r="AD41" s="105" t="s">
        <v>639</v>
      </c>
      <c r="AE41" s="105"/>
      <c r="AF41" s="105"/>
      <c r="AG41" s="105"/>
      <c r="AH41" s="115" t="s">
        <v>21</v>
      </c>
      <c r="AI41" s="115" t="s">
        <v>73</v>
      </c>
      <c r="AJ41" s="115" t="s">
        <v>74</v>
      </c>
      <c r="AK41" s="105" t="s">
        <v>816</v>
      </c>
      <c r="AL41" s="115">
        <v>785000</v>
      </c>
      <c r="AM41" s="115"/>
      <c r="AN41" s="115">
        <f>Tabelle4[[#This Row],[Kredit-  / Budgetsumme
(RADAR: Gesamtkosten S)]]-Tabelle4[[#This Row],[Kreditrest per 1.1. aktuelles Jahr]]</f>
        <v>555427</v>
      </c>
      <c r="AO41" s="260">
        <v>229573</v>
      </c>
      <c r="AP41" s="310"/>
      <c r="AQ41" s="311"/>
      <c r="AR41" s="115">
        <f>Tabelle4[[#This Row],[Kreditrest per 1.1. aktuelles Jahr]]-Tabelle4[[#This Row],[Prognose 2018
(RADAR: Kosten 2018 S)]]</f>
        <v>229573</v>
      </c>
      <c r="AS41" s="115"/>
      <c r="AT41" s="311">
        <v>229573</v>
      </c>
      <c r="AU41" s="115"/>
      <c r="AV41" s="311"/>
      <c r="AW41" s="115"/>
      <c r="AX41" s="311"/>
      <c r="AY41" s="115"/>
      <c r="AZ41" s="311"/>
      <c r="BA41" s="115"/>
      <c r="BB41" s="311"/>
      <c r="BC41" s="115"/>
      <c r="BD41" s="311"/>
      <c r="BE41" s="115"/>
      <c r="BF41" s="311"/>
      <c r="BG41" s="115"/>
      <c r="BH41" s="311"/>
      <c r="BI41" s="115"/>
      <c r="BJ41" s="115"/>
      <c r="BK41" s="264"/>
      <c r="BL41" s="105"/>
      <c r="BM41" s="106">
        <v>0</v>
      </c>
      <c r="BN41" s="106"/>
      <c r="BO41" s="106">
        <v>20</v>
      </c>
      <c r="BP41" s="106"/>
      <c r="BQ41" s="106"/>
      <c r="BR41" s="106"/>
      <c r="BS41" s="106"/>
      <c r="BT41" s="108">
        <f>SUM(Tabelle4[[#This Row],[Projektverantwortung
(Lenkungsausschuss) ]:[Kommunikation ]])</f>
        <v>20</v>
      </c>
      <c r="BU41" s="105"/>
      <c r="BV41" s="106"/>
      <c r="BW41" s="106"/>
      <c r="BX41" s="106"/>
      <c r="BY41" s="106"/>
      <c r="BZ41" s="106"/>
      <c r="CA41" s="106"/>
      <c r="CB41" s="106"/>
      <c r="CC41" s="108">
        <f>SUM(Tabelle4[[#This Row],[Projektverantwortung
(Lenkungsausschuss)   ]:[Kommunikation   ]])</f>
        <v>0</v>
      </c>
      <c r="CD41" s="105"/>
      <c r="CE41" s="106"/>
      <c r="CF41" s="106"/>
      <c r="CG41" s="106"/>
      <c r="CH41" s="106"/>
      <c r="CI41" s="106"/>
      <c r="CJ41" s="106"/>
      <c r="CK41" s="106"/>
      <c r="CL41" s="108">
        <f>SUM(Tabelle4[[#This Row],[Projektverantwortung
(Lenkungsausschuss).]:[Kommunikation    ]])</f>
        <v>0</v>
      </c>
      <c r="CM41" s="105"/>
      <c r="CN41" s="106"/>
      <c r="CO41" s="106"/>
      <c r="CP41" s="106"/>
      <c r="CQ41" s="106"/>
      <c r="CR41" s="106"/>
      <c r="CS41" s="106"/>
      <c r="CT41" s="106"/>
      <c r="CU41" s="108">
        <f>SUM(Tabelle4[[#This Row],[Projektverantwortung
(Lenkungsausschuss)    ]:[Kommunikation     ]])</f>
        <v>0</v>
      </c>
      <c r="CV41" s="107">
        <f>SUM(Tabelle4[[#This Row],[Total Aufwand
1. Quartal 2018]],Tabelle4[[#This Row],[Total Aufwand
2. Quartal 2018]],Tabelle4[[#This Row],[Total Aufwand
3. Quartal 2018]],Tabelle4[[#This Row],[Total Aufwand
4. Quartal 2018]])</f>
        <v>20</v>
      </c>
      <c r="CW41" s="105"/>
      <c r="CX41" s="105">
        <v>100</v>
      </c>
      <c r="CY41" s="105"/>
      <c r="CZ41" s="105"/>
      <c r="DA41" s="105"/>
      <c r="DB41" s="105"/>
      <c r="DC41" s="105"/>
      <c r="DD41" s="105"/>
      <c r="DE41" s="107">
        <f>SUM(Tabelle4[[#This Row],[Aufwand ]],Tabelle4[[#This Row],[Aufwand 2]],Tabelle4[[#This Row],[Aufwand 3]],Tabelle4[[#This Row],[Aufwand 4]])</f>
        <v>100</v>
      </c>
      <c r="DF41" s="105"/>
      <c r="DG41" s="105"/>
      <c r="DH41" s="105"/>
      <c r="DI41" s="105"/>
      <c r="DJ41" s="105"/>
      <c r="DK41" s="105"/>
      <c r="DL41" s="105"/>
      <c r="DM41" s="105"/>
      <c r="DN41" s="107">
        <f>SUM(Tabelle4[[#This Row],[Aufwand  ]],Tabelle4[[#This Row],[Aufwand  2]],Tabelle4[[#This Row],[Aufwand  3]],Tabelle4[[#This Row],[Aufwand  4]])</f>
        <v>0</v>
      </c>
      <c r="DO41" s="105"/>
      <c r="DP41" s="105"/>
      <c r="DQ41" s="105"/>
      <c r="DR41" s="105"/>
      <c r="DS41" s="105"/>
      <c r="DT41" s="105"/>
      <c r="DU41" s="105"/>
      <c r="DV41" s="105"/>
      <c r="DW41" s="107">
        <f>SUM(Tabelle4[[#This Row],[Aufwand   ]],Tabelle4[[#This Row],[Aufwand   2]],Tabelle4[[#This Row],[Aufwand   3]],Tabelle4[[#This Row],[Aufwand   4]])</f>
        <v>0</v>
      </c>
      <c r="DX41" s="105"/>
      <c r="DY41" s="105"/>
      <c r="DZ41" s="105"/>
      <c r="EA41" s="105"/>
      <c r="EB41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120</v>
      </c>
      <c r="EC41" s="122">
        <f>Tabelle4[[#This Row],[Gesamaufwand]]/2000</f>
        <v>0.06</v>
      </c>
      <c r="ED41" s="47"/>
      <c r="EE41" s="47"/>
      <c r="EF41" s="47"/>
      <c r="EG41" s="47"/>
      <c r="EH41" s="47"/>
      <c r="EI41" s="47"/>
      <c r="EJ41" s="47"/>
      <c r="EK41" s="47"/>
      <c r="EL41" s="47"/>
    </row>
    <row r="42" spans="1:143">
      <c r="A42" s="248" t="s">
        <v>784</v>
      </c>
      <c r="B42" s="249" t="s">
        <v>105</v>
      </c>
      <c r="C42" s="250" t="s">
        <v>67</v>
      </c>
      <c r="D42" s="249" t="s">
        <v>914</v>
      </c>
      <c r="E42" s="249" t="s">
        <v>114</v>
      </c>
      <c r="F42" s="252">
        <v>2</v>
      </c>
      <c r="G42" s="252">
        <v>1</v>
      </c>
      <c r="H42" s="252"/>
      <c r="I42" s="250" t="s">
        <v>95</v>
      </c>
      <c r="J42" s="250"/>
      <c r="K42" s="110"/>
      <c r="L42" s="110"/>
      <c r="M42" s="77"/>
      <c r="N42" s="110" t="s">
        <v>2</v>
      </c>
      <c r="O42" s="248"/>
      <c r="P42" s="256"/>
      <c r="Q42" s="256"/>
      <c r="R42" s="256"/>
      <c r="S42" s="257"/>
      <c r="T42" s="258" t="s">
        <v>661</v>
      </c>
      <c r="U42" s="110"/>
      <c r="V42" s="259" t="s">
        <v>12</v>
      </c>
      <c r="W42" s="105" t="s">
        <v>7</v>
      </c>
      <c r="X42" s="105" t="s">
        <v>9</v>
      </c>
      <c r="Y42" s="105" t="s">
        <v>690</v>
      </c>
      <c r="Z42" s="105" t="s">
        <v>79</v>
      </c>
      <c r="AA42" s="105" t="s">
        <v>13</v>
      </c>
      <c r="AB42" s="105" t="s">
        <v>13</v>
      </c>
      <c r="AC42" s="105" t="s">
        <v>634</v>
      </c>
      <c r="AD42" s="105" t="s">
        <v>639</v>
      </c>
      <c r="AE42" s="110"/>
      <c r="AF42" s="110"/>
      <c r="AG42" s="110"/>
      <c r="AH42" s="260" t="s">
        <v>802</v>
      </c>
      <c r="AI42" s="115" t="s">
        <v>73</v>
      </c>
      <c r="AJ42" s="115" t="s">
        <v>75</v>
      </c>
      <c r="AK42" s="110"/>
      <c r="AL42" s="260">
        <v>280000</v>
      </c>
      <c r="AM42" s="260"/>
      <c r="AN42" s="260"/>
      <c r="AO42" s="260">
        <f>Tabelle4[[#This Row],[Kredit-  / Budgetsumme
(RADAR: Gesamtkosten S)]]-Tabelle4[[#This Row],[Netto-Ausgaben Vorjahre ]]</f>
        <v>280000</v>
      </c>
      <c r="AP42" s="310"/>
      <c r="AQ42" s="310">
        <v>280000</v>
      </c>
      <c r="AR42" s="260"/>
      <c r="AS42" s="260"/>
      <c r="AT42" s="310"/>
      <c r="AU42" s="260"/>
      <c r="AV42" s="310"/>
      <c r="AW42" s="260"/>
      <c r="AX42" s="310"/>
      <c r="AY42" s="260"/>
      <c r="AZ42" s="310"/>
      <c r="BA42" s="260"/>
      <c r="BB42" s="310"/>
      <c r="BC42" s="260"/>
      <c r="BD42" s="310"/>
      <c r="BE42" s="260"/>
      <c r="BF42" s="310"/>
      <c r="BG42" s="260"/>
      <c r="BH42" s="310"/>
      <c r="BI42" s="260"/>
      <c r="BJ42" s="260"/>
      <c r="BK42" s="276"/>
      <c r="BL42" s="105"/>
      <c r="BM42" s="111">
        <v>20</v>
      </c>
      <c r="BN42" s="111"/>
      <c r="BO42" s="111">
        <v>20</v>
      </c>
      <c r="BP42" s="111">
        <v>20</v>
      </c>
      <c r="BQ42" s="111">
        <v>20</v>
      </c>
      <c r="BR42" s="111">
        <v>20</v>
      </c>
      <c r="BS42" s="111"/>
      <c r="BT42" s="113">
        <f>SUM(Tabelle4[[#This Row],[Projektverantwortung
(Lenkungsausschuss) ]:[Kommunikation ]])</f>
        <v>100</v>
      </c>
      <c r="BU42" s="110"/>
      <c r="BV42" s="106"/>
      <c r="BW42" s="106"/>
      <c r="BX42" s="111">
        <v>20</v>
      </c>
      <c r="BY42" s="111">
        <v>20</v>
      </c>
      <c r="BZ42" s="111">
        <v>20</v>
      </c>
      <c r="CA42" s="111">
        <v>20</v>
      </c>
      <c r="CB42" s="106"/>
      <c r="CC42" s="113">
        <f>SUM(Tabelle4[[#This Row],[Projektverantwortung
(Lenkungsausschuss)   ]:[Kommunikation   ]])</f>
        <v>80</v>
      </c>
      <c r="CD42" s="110"/>
      <c r="CE42" s="114"/>
      <c r="CF42" s="114"/>
      <c r="CG42" s="111">
        <v>20</v>
      </c>
      <c r="CH42" s="111">
        <v>20</v>
      </c>
      <c r="CI42" s="111">
        <v>20</v>
      </c>
      <c r="CJ42" s="111">
        <v>20</v>
      </c>
      <c r="CK42" s="114"/>
      <c r="CL42" s="113">
        <f>SUM(Tabelle4[[#This Row],[Projektverantwortung
(Lenkungsausschuss).]:[Kommunikation    ]])</f>
        <v>80</v>
      </c>
      <c r="CM42" s="110"/>
      <c r="CN42" s="114"/>
      <c r="CO42" s="114"/>
      <c r="CP42" s="114"/>
      <c r="CQ42" s="114"/>
      <c r="CR42" s="114"/>
      <c r="CS42" s="114"/>
      <c r="CT42" s="114"/>
      <c r="CU42" s="113">
        <f>SUM(Tabelle4[[#This Row],[Projektverantwortung
(Lenkungsausschuss)    ]:[Kommunikation     ]])</f>
        <v>0</v>
      </c>
      <c r="CV42" s="107">
        <f>SUM(Tabelle4[[#This Row],[Total Aufwand
1. Quartal 2018]],Tabelle4[[#This Row],[Total Aufwand
2. Quartal 2018]],Tabelle4[[#This Row],[Total Aufwand
3. Quartal 2018]],Tabelle4[[#This Row],[Total Aufwand
4. Quartal 2018]])</f>
        <v>260</v>
      </c>
      <c r="CW42" s="105"/>
      <c r="CX42" s="105"/>
      <c r="CY42" s="105"/>
      <c r="CZ42" s="105"/>
      <c r="DA42" s="105"/>
      <c r="DB42" s="105"/>
      <c r="DC42" s="105"/>
      <c r="DD42" s="105"/>
      <c r="DE42" s="107">
        <f>SUM(Tabelle4[[#This Row],[Aufwand ]],Tabelle4[[#This Row],[Aufwand 2]],Tabelle4[[#This Row],[Aufwand 3]],Tabelle4[[#This Row],[Aufwand 4]])</f>
        <v>0</v>
      </c>
      <c r="DF42" s="105"/>
      <c r="DG42" s="105"/>
      <c r="DH42" s="105"/>
      <c r="DI42" s="105"/>
      <c r="DJ42" s="105"/>
      <c r="DK42" s="105"/>
      <c r="DL42" s="105"/>
      <c r="DM42" s="105"/>
      <c r="DN42" s="112">
        <f>SUM(Tabelle4[[#This Row],[Aufwand  ]],Tabelle4[[#This Row],[Aufwand  2]],Tabelle4[[#This Row],[Aufwand  3]],Tabelle4[[#This Row],[Aufwand  4]])</f>
        <v>0</v>
      </c>
      <c r="DO42" s="105"/>
      <c r="DP42" s="105"/>
      <c r="DQ42" s="105"/>
      <c r="DR42" s="105"/>
      <c r="DS42" s="105"/>
      <c r="DT42" s="105"/>
      <c r="DU42" s="105"/>
      <c r="DV42" s="105"/>
      <c r="DW42" s="107">
        <f>SUM(Tabelle4[[#This Row],[Aufwand   ]],Tabelle4[[#This Row],[Aufwand   2]],Tabelle4[[#This Row],[Aufwand   3]],Tabelle4[[#This Row],[Aufwand   4]])</f>
        <v>0</v>
      </c>
      <c r="DX42" s="105"/>
      <c r="DY42" s="105"/>
      <c r="DZ42" s="105"/>
      <c r="EA42" s="105"/>
      <c r="EB42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260</v>
      </c>
      <c r="EC42" s="122">
        <f>Tabelle4[[#This Row],[Gesamaufwand]]/2000</f>
        <v>0.13</v>
      </c>
      <c r="ED42" s="47"/>
      <c r="EE42" s="47"/>
      <c r="EF42" s="47"/>
      <c r="EG42" s="47"/>
      <c r="EH42" s="47"/>
      <c r="EI42" s="47"/>
      <c r="EJ42" s="47"/>
      <c r="EK42" s="47"/>
      <c r="EL42" s="47"/>
    </row>
    <row r="43" spans="1:143">
      <c r="A43" s="265" t="s">
        <v>448</v>
      </c>
      <c r="B43" s="251" t="s">
        <v>694</v>
      </c>
      <c r="C43" s="254" t="s">
        <v>690</v>
      </c>
      <c r="D43" s="251" t="s">
        <v>913</v>
      </c>
      <c r="E43" s="251" t="s">
        <v>635</v>
      </c>
      <c r="F43" s="253" t="s">
        <v>690</v>
      </c>
      <c r="G43" s="253" t="s">
        <v>690</v>
      </c>
      <c r="H43" s="253"/>
      <c r="I43" s="254" t="s">
        <v>96</v>
      </c>
      <c r="J43" s="254"/>
      <c r="K43" s="105"/>
      <c r="L43" s="105"/>
      <c r="M43" s="48"/>
      <c r="N43" s="105"/>
      <c r="O43" s="255" t="s">
        <v>449</v>
      </c>
      <c r="P43" s="261">
        <v>2</v>
      </c>
      <c r="Q43" s="261">
        <v>0</v>
      </c>
      <c r="R43" s="261">
        <v>0</v>
      </c>
      <c r="S43" s="262" t="s">
        <v>164</v>
      </c>
      <c r="T43" s="263" t="s">
        <v>671</v>
      </c>
      <c r="U43" s="105"/>
      <c r="V43" s="259" t="s">
        <v>615</v>
      </c>
      <c r="W43" s="105" t="s">
        <v>690</v>
      </c>
      <c r="X43" s="105" t="s">
        <v>690</v>
      </c>
      <c r="Y43" s="105" t="s">
        <v>690</v>
      </c>
      <c r="Z43" s="105" t="s">
        <v>690</v>
      </c>
      <c r="AA43" s="105" t="s">
        <v>690</v>
      </c>
      <c r="AB43" s="105" t="s">
        <v>690</v>
      </c>
      <c r="AC43" s="105" t="s">
        <v>690</v>
      </c>
      <c r="AD43" s="105" t="s">
        <v>639</v>
      </c>
      <c r="AE43" s="105"/>
      <c r="AF43" s="105"/>
      <c r="AG43" s="105"/>
      <c r="AH43" s="115" t="s">
        <v>621</v>
      </c>
      <c r="AI43" s="115"/>
      <c r="AJ43" s="115"/>
      <c r="AK43" s="105"/>
      <c r="AL43" s="115"/>
      <c r="AM43" s="115"/>
      <c r="AN43" s="115"/>
      <c r="AO43" s="260">
        <f>Tabelle4[[#This Row],[Kredit-  / Budgetsumme
(RADAR: Gesamtkosten S)]]-Tabelle4[[#This Row],[Netto-Ausgaben Vorjahre ]]</f>
        <v>0</v>
      </c>
      <c r="AP43" s="310"/>
      <c r="AQ43" s="311"/>
      <c r="AR43" s="115">
        <f>Tabelle4[[#This Row],[Kreditrest per 1.1. aktuelles Jahr]]-Tabelle4[[#This Row],[Prognose 2018
(RADAR: Kosten 2018 S)]]</f>
        <v>0</v>
      </c>
      <c r="AS43" s="115"/>
      <c r="AT43" s="311"/>
      <c r="AU43" s="115"/>
      <c r="AV43" s="311"/>
      <c r="AW43" s="115"/>
      <c r="AX43" s="311"/>
      <c r="AY43" s="115"/>
      <c r="AZ43" s="311"/>
      <c r="BA43" s="115"/>
      <c r="BB43" s="311"/>
      <c r="BC43" s="115"/>
      <c r="BD43" s="311"/>
      <c r="BE43" s="115"/>
      <c r="BF43" s="311"/>
      <c r="BG43" s="115"/>
      <c r="BH43" s="311"/>
      <c r="BI43" s="115"/>
      <c r="BJ43" s="115"/>
      <c r="BK43" s="264"/>
      <c r="BL43" s="105"/>
      <c r="BM43" s="106">
        <v>0</v>
      </c>
      <c r="BN43" s="106"/>
      <c r="BO43" s="106"/>
      <c r="BP43" s="106"/>
      <c r="BQ43" s="106"/>
      <c r="BR43" s="106"/>
      <c r="BS43" s="106"/>
      <c r="BT43" s="108">
        <f>SUM(Tabelle4[[#This Row],[Projektverantwortung
(Lenkungsausschuss) ]:[Kommunikation ]])</f>
        <v>0</v>
      </c>
      <c r="BU43" s="105"/>
      <c r="BV43" s="106"/>
      <c r="BW43" s="106"/>
      <c r="BX43" s="106"/>
      <c r="BY43" s="106"/>
      <c r="BZ43" s="106"/>
      <c r="CA43" s="106"/>
      <c r="CB43" s="106"/>
      <c r="CC43" s="108">
        <f>SUM(Tabelle4[[#This Row],[Projektverantwortung
(Lenkungsausschuss)   ]:[Kommunikation   ]])</f>
        <v>0</v>
      </c>
      <c r="CD43" s="105"/>
      <c r="CE43" s="106"/>
      <c r="CF43" s="106"/>
      <c r="CG43" s="106"/>
      <c r="CH43" s="106"/>
      <c r="CI43" s="106"/>
      <c r="CJ43" s="106"/>
      <c r="CK43" s="106"/>
      <c r="CL43" s="108">
        <f>SUM(Tabelle4[[#This Row],[Projektverantwortung
(Lenkungsausschuss).]:[Kommunikation    ]])</f>
        <v>0</v>
      </c>
      <c r="CM43" s="105"/>
      <c r="CN43" s="106"/>
      <c r="CO43" s="106"/>
      <c r="CP43" s="106"/>
      <c r="CQ43" s="106"/>
      <c r="CR43" s="106"/>
      <c r="CS43" s="106"/>
      <c r="CT43" s="106"/>
      <c r="CU43" s="108">
        <f>SUM(Tabelle4[[#This Row],[Projektverantwortung
(Lenkungsausschuss)    ]:[Kommunikation     ]])</f>
        <v>0</v>
      </c>
      <c r="CV43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43" s="105"/>
      <c r="CX43" s="105"/>
      <c r="CY43" s="105"/>
      <c r="CZ43" s="105"/>
      <c r="DA43" s="105"/>
      <c r="DB43" s="105"/>
      <c r="DC43" s="105"/>
      <c r="DD43" s="105"/>
      <c r="DE43" s="107">
        <f>SUM(Tabelle4[[#This Row],[Aufwand ]],Tabelle4[[#This Row],[Aufwand 2]],Tabelle4[[#This Row],[Aufwand 3]],Tabelle4[[#This Row],[Aufwand 4]])</f>
        <v>0</v>
      </c>
      <c r="DF43" s="105"/>
      <c r="DG43" s="105"/>
      <c r="DH43" s="105"/>
      <c r="DI43" s="105"/>
      <c r="DJ43" s="105"/>
      <c r="DK43" s="105"/>
      <c r="DL43" s="105"/>
      <c r="DM43" s="105"/>
      <c r="DN43" s="107">
        <f>SUM(Tabelle4[[#This Row],[Aufwand  ]],Tabelle4[[#This Row],[Aufwand  2]],Tabelle4[[#This Row],[Aufwand  3]],Tabelle4[[#This Row],[Aufwand  4]])</f>
        <v>0</v>
      </c>
      <c r="DO43" s="105"/>
      <c r="DP43" s="105"/>
      <c r="DQ43" s="105"/>
      <c r="DR43" s="105"/>
      <c r="DS43" s="105"/>
      <c r="DT43" s="105"/>
      <c r="DU43" s="105"/>
      <c r="DV43" s="105"/>
      <c r="DW43" s="107">
        <f>SUM(Tabelle4[[#This Row],[Aufwand   ]],Tabelle4[[#This Row],[Aufwand   2]],Tabelle4[[#This Row],[Aufwand   3]],Tabelle4[[#This Row],[Aufwand   4]])</f>
        <v>0</v>
      </c>
      <c r="DX43" s="105"/>
      <c r="DY43" s="105"/>
      <c r="DZ43" s="105"/>
      <c r="EA43" s="105"/>
      <c r="EB43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43" s="122">
        <f>Tabelle4[[#This Row],[Gesamaufwand]]/2000</f>
        <v>0</v>
      </c>
      <c r="ED43" s="47"/>
      <c r="EE43" s="47"/>
      <c r="EF43" s="47"/>
      <c r="EG43" s="47"/>
      <c r="EH43" s="47"/>
      <c r="EI43" s="47"/>
      <c r="EJ43" s="47"/>
      <c r="EK43" s="47"/>
      <c r="EL43" s="47"/>
    </row>
    <row r="44" spans="1:143">
      <c r="A44" s="265" t="s">
        <v>317</v>
      </c>
      <c r="B44" s="251" t="s">
        <v>694</v>
      </c>
      <c r="C44" s="254" t="s">
        <v>690</v>
      </c>
      <c r="D44" s="251"/>
      <c r="E44" s="251"/>
      <c r="F44" s="252"/>
      <c r="G44" s="252"/>
      <c r="H44" s="252"/>
      <c r="I44" s="250"/>
      <c r="J44" s="250"/>
      <c r="K44" s="105"/>
      <c r="L44" s="105"/>
      <c r="M44" s="48"/>
      <c r="N44" s="105"/>
      <c r="O44" s="255" t="s">
        <v>318</v>
      </c>
      <c r="P44" s="261">
        <v>1</v>
      </c>
      <c r="Q44" s="261">
        <v>0</v>
      </c>
      <c r="R44" s="261">
        <v>0</v>
      </c>
      <c r="S44" s="262" t="s">
        <v>218</v>
      </c>
      <c r="T44" s="263" t="s">
        <v>671</v>
      </c>
      <c r="U44" s="105"/>
      <c r="V44" s="259" t="s">
        <v>12</v>
      </c>
      <c r="W44" s="105" t="s">
        <v>690</v>
      </c>
      <c r="X44" s="105" t="s">
        <v>690</v>
      </c>
      <c r="Y44" s="105" t="s">
        <v>690</v>
      </c>
      <c r="Z44" s="105" t="s">
        <v>690</v>
      </c>
      <c r="AA44" s="105" t="s">
        <v>690</v>
      </c>
      <c r="AB44" s="105" t="s">
        <v>690</v>
      </c>
      <c r="AC44" s="105" t="s">
        <v>690</v>
      </c>
      <c r="AD44" s="105"/>
      <c r="AE44" s="105"/>
      <c r="AF44" s="105"/>
      <c r="AG44" s="105"/>
      <c r="AH44" s="115" t="s">
        <v>21</v>
      </c>
      <c r="AI44" s="115"/>
      <c r="AJ44" s="115"/>
      <c r="AK44" s="105"/>
      <c r="AL44" s="115"/>
      <c r="AM44" s="115"/>
      <c r="AN44" s="115"/>
      <c r="AO44" s="260">
        <f>Tabelle4[[#This Row],[Kredit-  / Budgetsumme
(RADAR: Gesamtkosten S)]]-Tabelle4[[#This Row],[Netto-Ausgaben Vorjahre ]]</f>
        <v>0</v>
      </c>
      <c r="AP44" s="310"/>
      <c r="AQ44" s="311"/>
      <c r="AR44" s="115">
        <f>Tabelle4[[#This Row],[Kreditrest per 1.1. aktuelles Jahr]]-Tabelle4[[#This Row],[Prognose 2018
(RADAR: Kosten 2018 S)]]</f>
        <v>0</v>
      </c>
      <c r="AS44" s="115"/>
      <c r="AT44" s="311"/>
      <c r="AU44" s="115"/>
      <c r="AV44" s="311"/>
      <c r="AW44" s="115"/>
      <c r="AX44" s="311"/>
      <c r="AY44" s="115"/>
      <c r="AZ44" s="311"/>
      <c r="BA44" s="115"/>
      <c r="BB44" s="311"/>
      <c r="BC44" s="115"/>
      <c r="BD44" s="311"/>
      <c r="BE44" s="115"/>
      <c r="BF44" s="311"/>
      <c r="BG44" s="115"/>
      <c r="BH44" s="311"/>
      <c r="BI44" s="115"/>
      <c r="BJ44" s="115"/>
      <c r="BK44" s="264"/>
      <c r="BL44" s="105"/>
      <c r="BM44" s="106"/>
      <c r="BN44" s="106"/>
      <c r="BO44" s="106"/>
      <c r="BP44" s="106"/>
      <c r="BQ44" s="106"/>
      <c r="BR44" s="106"/>
      <c r="BS44" s="106"/>
      <c r="BT44" s="108">
        <f>SUM(Tabelle4[[#This Row],[Projektverantwortung
(Lenkungsausschuss) ]:[Kommunikation ]])</f>
        <v>0</v>
      </c>
      <c r="BU44" s="105"/>
      <c r="BV44" s="106"/>
      <c r="BW44" s="106"/>
      <c r="BX44" s="106"/>
      <c r="BY44" s="106"/>
      <c r="BZ44" s="106"/>
      <c r="CA44" s="106"/>
      <c r="CB44" s="106"/>
      <c r="CC44" s="108">
        <f>SUM(Tabelle4[[#This Row],[Projektverantwortung
(Lenkungsausschuss)   ]:[Kommunikation   ]])</f>
        <v>0</v>
      </c>
      <c r="CD44" s="105"/>
      <c r="CE44" s="106"/>
      <c r="CF44" s="106"/>
      <c r="CG44" s="106"/>
      <c r="CH44" s="106"/>
      <c r="CI44" s="106"/>
      <c r="CJ44" s="106"/>
      <c r="CK44" s="106"/>
      <c r="CL44" s="108">
        <f>SUM(Tabelle4[[#This Row],[Projektverantwortung
(Lenkungsausschuss).]:[Kommunikation    ]])</f>
        <v>0</v>
      </c>
      <c r="CM44" s="105"/>
      <c r="CN44" s="106"/>
      <c r="CO44" s="106"/>
      <c r="CP44" s="106"/>
      <c r="CQ44" s="106"/>
      <c r="CR44" s="106"/>
      <c r="CS44" s="106"/>
      <c r="CT44" s="106"/>
      <c r="CU44" s="108">
        <f>SUM(Tabelle4[[#This Row],[Projektverantwortung
(Lenkungsausschuss)    ]:[Kommunikation     ]])</f>
        <v>0</v>
      </c>
      <c r="CV44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44" s="105"/>
      <c r="CX44" s="105"/>
      <c r="CY44" s="105"/>
      <c r="CZ44" s="105"/>
      <c r="DA44" s="105"/>
      <c r="DB44" s="105"/>
      <c r="DC44" s="105"/>
      <c r="DD44" s="105"/>
      <c r="DE44" s="107">
        <f>SUM(Tabelle4[[#This Row],[Aufwand ]],Tabelle4[[#This Row],[Aufwand 2]],Tabelle4[[#This Row],[Aufwand 3]],Tabelle4[[#This Row],[Aufwand 4]])</f>
        <v>0</v>
      </c>
      <c r="DF44" s="105"/>
      <c r="DG44" s="105"/>
      <c r="DH44" s="105"/>
      <c r="DI44" s="105"/>
      <c r="DJ44" s="105"/>
      <c r="DK44" s="105"/>
      <c r="DL44" s="105"/>
      <c r="DM44" s="105"/>
      <c r="DN44" s="107">
        <f>SUM(Tabelle4[[#This Row],[Aufwand  ]],Tabelle4[[#This Row],[Aufwand  2]],Tabelle4[[#This Row],[Aufwand  3]],Tabelle4[[#This Row],[Aufwand  4]])</f>
        <v>0</v>
      </c>
      <c r="DO44" s="105"/>
      <c r="DP44" s="105"/>
      <c r="DQ44" s="105"/>
      <c r="DR44" s="105"/>
      <c r="DS44" s="105"/>
      <c r="DT44" s="105"/>
      <c r="DU44" s="105"/>
      <c r="DV44" s="105"/>
      <c r="DW44" s="107">
        <f>SUM(Tabelle4[[#This Row],[Aufwand   ]],Tabelle4[[#This Row],[Aufwand   2]],Tabelle4[[#This Row],[Aufwand   3]],Tabelle4[[#This Row],[Aufwand   4]])</f>
        <v>0</v>
      </c>
      <c r="DX44" s="105"/>
      <c r="DY44" s="105"/>
      <c r="DZ44" s="105"/>
      <c r="EA44" s="105"/>
      <c r="EB44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44" s="122">
        <f>Tabelle4[[#This Row],[Gesamaufwand]]/2000</f>
        <v>0</v>
      </c>
      <c r="ED44" s="47"/>
      <c r="EE44" s="47"/>
      <c r="EF44" s="47"/>
      <c r="EG44" s="47"/>
      <c r="EH44" s="47"/>
      <c r="EI44" s="47"/>
      <c r="EJ44" s="47"/>
      <c r="EK44" s="47"/>
      <c r="EL44" s="47"/>
    </row>
    <row r="45" spans="1:143">
      <c r="A45" s="255" t="s">
        <v>1107</v>
      </c>
      <c r="B45" s="251" t="s">
        <v>105</v>
      </c>
      <c r="C45" s="254" t="s">
        <v>67</v>
      </c>
      <c r="D45" s="251" t="s">
        <v>780</v>
      </c>
      <c r="E45" s="251" t="s">
        <v>779</v>
      </c>
      <c r="F45" s="253">
        <v>2</v>
      </c>
      <c r="G45" s="253">
        <v>2</v>
      </c>
      <c r="H45" s="253"/>
      <c r="I45" s="254" t="s">
        <v>95</v>
      </c>
      <c r="J45" s="254"/>
      <c r="K45" s="105"/>
      <c r="L45" s="105"/>
      <c r="M45" s="48"/>
      <c r="N45" s="105"/>
      <c r="O45" s="255"/>
      <c r="P45" s="261"/>
      <c r="Q45" s="261"/>
      <c r="R45" s="261"/>
      <c r="S45" s="262"/>
      <c r="T45" s="263" t="s">
        <v>665</v>
      </c>
      <c r="U45" s="105"/>
      <c r="V45" s="259" t="s">
        <v>12</v>
      </c>
      <c r="W45" s="105"/>
      <c r="X45" s="105"/>
      <c r="Y45" s="105"/>
      <c r="Z45" s="105"/>
      <c r="AA45" s="105"/>
      <c r="AB45" s="105"/>
      <c r="AC45" s="105"/>
      <c r="AD45" s="105"/>
      <c r="AE45" s="105"/>
      <c r="AF45" s="105"/>
      <c r="AG45" s="105"/>
      <c r="AH45" s="115" t="s">
        <v>802</v>
      </c>
      <c r="AI45" s="115" t="s">
        <v>73</v>
      </c>
      <c r="AJ45" s="115" t="s">
        <v>74</v>
      </c>
      <c r="AK45" s="105" t="s">
        <v>1108</v>
      </c>
      <c r="AL45" s="115">
        <v>225000</v>
      </c>
      <c r="AM45" s="115"/>
      <c r="AN45" s="115"/>
      <c r="AO45" s="260">
        <f>Tabelle4[[#This Row],[Kredit-  / Budgetsumme
(RADAR: Gesamtkosten S)]]-Tabelle4[[#This Row],[Netto-Ausgaben Vorjahre ]]</f>
        <v>225000</v>
      </c>
      <c r="AP45" s="310"/>
      <c r="AQ45" s="311">
        <v>225000</v>
      </c>
      <c r="AR45" s="115">
        <f>Tabelle4[[#This Row],[Kreditrest per 1.1. aktuelles Jahr]]-Tabelle4[[#This Row],[Prognose 2018
(RADAR: Kosten 2018 S)]]</f>
        <v>0</v>
      </c>
      <c r="AS45" s="115"/>
      <c r="AT45" s="311"/>
      <c r="AU45" s="115"/>
      <c r="AV45" s="311"/>
      <c r="AW45" s="115"/>
      <c r="AX45" s="311"/>
      <c r="AY45" s="115"/>
      <c r="AZ45" s="311"/>
      <c r="BA45" s="115"/>
      <c r="BB45" s="311"/>
      <c r="BC45" s="115"/>
      <c r="BD45" s="311"/>
      <c r="BE45" s="115"/>
      <c r="BF45" s="311"/>
      <c r="BG45" s="115"/>
      <c r="BH45" s="311"/>
      <c r="BI45" s="115"/>
      <c r="BJ45" s="115"/>
      <c r="BK45" s="115"/>
      <c r="BL45" s="105"/>
      <c r="BM45" s="106"/>
      <c r="BN45" s="106"/>
      <c r="BO45" s="106"/>
      <c r="BP45" s="106"/>
      <c r="BQ45" s="106"/>
      <c r="BR45" s="106"/>
      <c r="BS45" s="106"/>
      <c r="BT45" s="108">
        <f>SUM(Tabelle4[[#This Row],[Projektverantwortung
(Lenkungsausschuss) ]:[Kommunikation ]])</f>
        <v>0</v>
      </c>
      <c r="BU45" s="108"/>
      <c r="BV45" s="151"/>
      <c r="BW45" s="151"/>
      <c r="BX45" s="151"/>
      <c r="BY45" s="151"/>
      <c r="BZ45" s="151"/>
      <c r="CA45" s="151"/>
      <c r="CB45" s="151"/>
      <c r="CC45" s="108">
        <f>SUM(Tabelle4[[#This Row],[Projektverantwortung
(Lenkungsausschuss)   ]:[Kommunikation   ]])</f>
        <v>0</v>
      </c>
      <c r="CD45" s="108"/>
      <c r="CE45" s="151"/>
      <c r="CF45" s="151"/>
      <c r="CG45" s="151"/>
      <c r="CH45" s="151"/>
      <c r="CI45" s="151"/>
      <c r="CJ45" s="151"/>
      <c r="CK45" s="151"/>
      <c r="CL45" s="108">
        <f>SUM(Tabelle4[[#This Row],[Projektverantwortung
(Lenkungsausschuss).]:[Kommunikation    ]])</f>
        <v>0</v>
      </c>
      <c r="CM45" s="108"/>
      <c r="CN45" s="151"/>
      <c r="CO45" s="151"/>
      <c r="CP45" s="151"/>
      <c r="CQ45" s="151"/>
      <c r="CR45" s="151"/>
      <c r="CS45" s="151"/>
      <c r="CT45" s="151"/>
      <c r="CU45" s="108">
        <f>SUM(Tabelle4[[#This Row],[Projektverantwortung
(Lenkungsausschuss)    ]:[Kommunikation     ]])</f>
        <v>0</v>
      </c>
      <c r="CV45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45" s="105"/>
      <c r="CX45" s="105"/>
      <c r="CY45" s="116"/>
      <c r="CZ45" s="105"/>
      <c r="DA45" s="116"/>
      <c r="DB45" s="105"/>
      <c r="DC45" s="116"/>
      <c r="DD45" s="105"/>
      <c r="DE45" s="107">
        <f>SUM(Tabelle4[[#This Row],[Aufwand ]],Tabelle4[[#This Row],[Aufwand 2]],Tabelle4[[#This Row],[Aufwand 3]],Tabelle4[[#This Row],[Aufwand 4]])</f>
        <v>0</v>
      </c>
      <c r="DF45" s="116"/>
      <c r="DG45" s="105"/>
      <c r="DH45" s="105"/>
      <c r="DI45" s="116"/>
      <c r="DJ45" s="105"/>
      <c r="DK45" s="116"/>
      <c r="DL45" s="105"/>
      <c r="DM45" s="116"/>
      <c r="DN45" s="107">
        <f>SUM(Tabelle4[[#This Row],[Aufwand  ]],Tabelle4[[#This Row],[Aufwand  2]],Tabelle4[[#This Row],[Aufwand  3]],Tabelle4[[#This Row],[Aufwand  4]])</f>
        <v>0</v>
      </c>
      <c r="DO45" s="116"/>
      <c r="DP45" s="116"/>
      <c r="DQ45" s="116"/>
      <c r="DR45" s="105"/>
      <c r="DS45" s="105"/>
      <c r="DT45" s="116"/>
      <c r="DU45" s="105"/>
      <c r="DV45" s="116"/>
      <c r="DW45" s="107" t="e">
        <f>#REF!</f>
        <v>#REF!</v>
      </c>
      <c r="DX45" s="116"/>
      <c r="DY45" s="152"/>
      <c r="DZ45" s="105"/>
      <c r="EA45" s="180"/>
      <c r="EB45" s="181" t="e">
        <f>#REF!</f>
        <v>#REF!</v>
      </c>
      <c r="EC45" s="109"/>
      <c r="ED45" s="47"/>
      <c r="EE45" s="47"/>
      <c r="EF45" s="47"/>
      <c r="EG45" s="47"/>
      <c r="EH45" s="47"/>
      <c r="EI45" s="47"/>
      <c r="EJ45" s="47"/>
      <c r="EK45" s="47"/>
      <c r="EL45" s="47"/>
    </row>
    <row r="46" spans="1:143">
      <c r="A46" s="265" t="s">
        <v>450</v>
      </c>
      <c r="B46" s="251" t="s">
        <v>694</v>
      </c>
      <c r="C46" s="254" t="s">
        <v>68</v>
      </c>
      <c r="D46" s="251" t="s">
        <v>913</v>
      </c>
      <c r="E46" s="251" t="s">
        <v>695</v>
      </c>
      <c r="F46" s="253">
        <v>3</v>
      </c>
      <c r="G46" s="253">
        <v>3</v>
      </c>
      <c r="H46" s="253"/>
      <c r="I46" s="254" t="s">
        <v>95</v>
      </c>
      <c r="J46" s="254"/>
      <c r="K46" s="105"/>
      <c r="L46" s="105"/>
      <c r="M46" s="48"/>
      <c r="N46" s="105"/>
      <c r="O46" s="255" t="s">
        <v>451</v>
      </c>
      <c r="P46" s="261">
        <v>2</v>
      </c>
      <c r="Q46" s="261">
        <v>0</v>
      </c>
      <c r="R46" s="261">
        <v>0</v>
      </c>
      <c r="S46" s="262" t="s">
        <v>159</v>
      </c>
      <c r="T46" s="263" t="s">
        <v>75</v>
      </c>
      <c r="U46" s="105"/>
      <c r="V46" s="259" t="s">
        <v>607</v>
      </c>
      <c r="W46" s="105" t="s">
        <v>6</v>
      </c>
      <c r="X46" s="105" t="s">
        <v>86</v>
      </c>
      <c r="Y46" s="105" t="s">
        <v>690</v>
      </c>
      <c r="Z46" s="105" t="s">
        <v>80</v>
      </c>
      <c r="AA46" s="105" t="s">
        <v>639</v>
      </c>
      <c r="AB46" s="105" t="s">
        <v>639</v>
      </c>
      <c r="AC46" s="105" t="s">
        <v>639</v>
      </c>
      <c r="AD46" s="105" t="s">
        <v>639</v>
      </c>
      <c r="AE46" s="105"/>
      <c r="AF46" s="105"/>
      <c r="AG46" s="105"/>
      <c r="AH46" s="115" t="s">
        <v>621</v>
      </c>
      <c r="AI46" s="115"/>
      <c r="AJ46" s="115"/>
      <c r="AK46" s="105"/>
      <c r="AL46" s="115"/>
      <c r="AM46" s="115"/>
      <c r="AN46" s="115"/>
      <c r="AO46" s="260">
        <f>Tabelle4[[#This Row],[Kredit-  / Budgetsumme
(RADAR: Gesamtkosten S)]]-Tabelle4[[#This Row],[Netto-Ausgaben Vorjahre ]]</f>
        <v>0</v>
      </c>
      <c r="AP46" s="310"/>
      <c r="AQ46" s="311"/>
      <c r="AR46" s="115">
        <f>Tabelle4[[#This Row],[Kreditrest per 1.1. aktuelles Jahr]]-Tabelle4[[#This Row],[Prognose 2018
(RADAR: Kosten 2018 S)]]</f>
        <v>0</v>
      </c>
      <c r="AS46" s="115"/>
      <c r="AT46" s="311"/>
      <c r="AU46" s="115"/>
      <c r="AV46" s="311"/>
      <c r="AW46" s="115"/>
      <c r="AX46" s="311"/>
      <c r="AY46" s="115"/>
      <c r="AZ46" s="311"/>
      <c r="BA46" s="115"/>
      <c r="BB46" s="311"/>
      <c r="BC46" s="115"/>
      <c r="BD46" s="311"/>
      <c r="BE46" s="115"/>
      <c r="BF46" s="311"/>
      <c r="BG46" s="115"/>
      <c r="BH46" s="311"/>
      <c r="BI46" s="115"/>
      <c r="BJ46" s="115"/>
      <c r="BK46" s="264"/>
      <c r="BL46" s="105"/>
      <c r="BM46" s="106"/>
      <c r="BN46" s="106"/>
      <c r="BO46" s="106">
        <v>8</v>
      </c>
      <c r="BP46" s="106"/>
      <c r="BQ46" s="106"/>
      <c r="BR46" s="106"/>
      <c r="BS46" s="106"/>
      <c r="BT46" s="108">
        <f>SUM(Tabelle4[[#This Row],[Projektverantwortung
(Lenkungsausschuss) ]:[Kommunikation ]])</f>
        <v>8</v>
      </c>
      <c r="BU46" s="105"/>
      <c r="BV46" s="106"/>
      <c r="BW46" s="106"/>
      <c r="BX46" s="106"/>
      <c r="BY46" s="106"/>
      <c r="BZ46" s="106"/>
      <c r="CA46" s="106"/>
      <c r="CB46" s="106"/>
      <c r="CC46" s="108">
        <f>SUM(Tabelle4[[#This Row],[Projektverantwortung
(Lenkungsausschuss)   ]:[Kommunikation   ]])</f>
        <v>0</v>
      </c>
      <c r="CD46" s="105"/>
      <c r="CE46" s="106"/>
      <c r="CF46" s="106"/>
      <c r="CG46" s="106"/>
      <c r="CH46" s="106"/>
      <c r="CI46" s="106"/>
      <c r="CJ46" s="106"/>
      <c r="CK46" s="106"/>
      <c r="CL46" s="108">
        <f>SUM(Tabelle4[[#This Row],[Projektverantwortung
(Lenkungsausschuss).]:[Kommunikation    ]])</f>
        <v>0</v>
      </c>
      <c r="CM46" s="105"/>
      <c r="CN46" s="106"/>
      <c r="CO46" s="106"/>
      <c r="CP46" s="106"/>
      <c r="CQ46" s="106"/>
      <c r="CR46" s="106"/>
      <c r="CS46" s="106"/>
      <c r="CT46" s="106"/>
      <c r="CU46" s="108">
        <f>SUM(Tabelle4[[#This Row],[Projektverantwortung
(Lenkungsausschuss)    ]:[Kommunikation     ]])</f>
        <v>0</v>
      </c>
      <c r="CV46" s="107">
        <f>SUM(Tabelle4[[#This Row],[Total Aufwand
1. Quartal 2018]],Tabelle4[[#This Row],[Total Aufwand
2. Quartal 2018]],Tabelle4[[#This Row],[Total Aufwand
3. Quartal 2018]],Tabelle4[[#This Row],[Total Aufwand
4. Quartal 2018]])</f>
        <v>8</v>
      </c>
      <c r="CW46" s="105"/>
      <c r="CX46" s="105"/>
      <c r="CY46" s="105"/>
      <c r="CZ46" s="105"/>
      <c r="DA46" s="105"/>
      <c r="DB46" s="105"/>
      <c r="DC46" s="105"/>
      <c r="DD46" s="105"/>
      <c r="DE46" s="107">
        <f>SUM(Tabelle4[[#This Row],[Aufwand ]],Tabelle4[[#This Row],[Aufwand 2]],Tabelle4[[#This Row],[Aufwand 3]],Tabelle4[[#This Row],[Aufwand 4]])</f>
        <v>0</v>
      </c>
      <c r="DF46" s="105"/>
      <c r="DG46" s="105"/>
      <c r="DH46" s="105"/>
      <c r="DI46" s="105"/>
      <c r="DJ46" s="105"/>
      <c r="DK46" s="105"/>
      <c r="DL46" s="105"/>
      <c r="DM46" s="105"/>
      <c r="DN46" s="107">
        <f>SUM(Tabelle4[[#This Row],[Aufwand  ]],Tabelle4[[#This Row],[Aufwand  2]],Tabelle4[[#This Row],[Aufwand  3]],Tabelle4[[#This Row],[Aufwand  4]])</f>
        <v>0</v>
      </c>
      <c r="DO46" s="105"/>
      <c r="DP46" s="105"/>
      <c r="DQ46" s="105"/>
      <c r="DR46" s="105"/>
      <c r="DS46" s="105"/>
      <c r="DT46" s="105"/>
      <c r="DU46" s="105"/>
      <c r="DV46" s="105"/>
      <c r="DW46" s="107">
        <f>SUM(Tabelle4[[#This Row],[Aufwand   ]],Tabelle4[[#This Row],[Aufwand   2]],Tabelle4[[#This Row],[Aufwand   3]],Tabelle4[[#This Row],[Aufwand   4]])</f>
        <v>0</v>
      </c>
      <c r="DX46" s="105"/>
      <c r="DY46" s="105"/>
      <c r="DZ46" s="105"/>
      <c r="EA46" s="105"/>
      <c r="EB46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8</v>
      </c>
      <c r="EC46" s="122">
        <f>Tabelle4[[#This Row],[Gesamaufwand]]/2000</f>
        <v>4.0000000000000001E-3</v>
      </c>
      <c r="ED46" s="47"/>
      <c r="EE46" s="47"/>
      <c r="EF46" s="47"/>
      <c r="EG46" s="47"/>
      <c r="EH46" s="47"/>
      <c r="EI46" s="47"/>
      <c r="EJ46" s="47"/>
      <c r="EK46" s="47"/>
      <c r="EL46" s="47"/>
    </row>
    <row r="47" spans="1:143">
      <c r="A47" s="255" t="s">
        <v>319</v>
      </c>
      <c r="B47" s="251" t="s">
        <v>105</v>
      </c>
      <c r="C47" s="254" t="s">
        <v>75</v>
      </c>
      <c r="D47" s="251" t="s">
        <v>782</v>
      </c>
      <c r="E47" s="251" t="s">
        <v>779</v>
      </c>
      <c r="F47" s="253">
        <v>4</v>
      </c>
      <c r="G47" s="253">
        <v>4</v>
      </c>
      <c r="H47" s="253"/>
      <c r="I47" s="254" t="s">
        <v>96</v>
      </c>
      <c r="J47" s="254"/>
      <c r="K47" s="105"/>
      <c r="L47" s="105"/>
      <c r="M47" s="48"/>
      <c r="N47" s="105"/>
      <c r="O47" s="255" t="s">
        <v>320</v>
      </c>
      <c r="P47" s="261">
        <v>1</v>
      </c>
      <c r="Q47" s="261">
        <v>0</v>
      </c>
      <c r="R47" s="261">
        <v>0</v>
      </c>
      <c r="S47" s="262" t="s">
        <v>221</v>
      </c>
      <c r="T47" s="263" t="s">
        <v>75</v>
      </c>
      <c r="U47" s="105"/>
      <c r="V47" s="259" t="s">
        <v>12</v>
      </c>
      <c r="W47" s="105" t="s">
        <v>7</v>
      </c>
      <c r="X47" s="105" t="s">
        <v>75</v>
      </c>
      <c r="Y47" s="105" t="s">
        <v>690</v>
      </c>
      <c r="Z47" s="105" t="s">
        <v>78</v>
      </c>
      <c r="AA47" s="105" t="s">
        <v>639</v>
      </c>
      <c r="AB47" s="105" t="s">
        <v>639</v>
      </c>
      <c r="AC47" s="105" t="s">
        <v>639</v>
      </c>
      <c r="AD47" s="105" t="s">
        <v>12</v>
      </c>
      <c r="AE47" s="105"/>
      <c r="AF47" s="105"/>
      <c r="AG47" s="105"/>
      <c r="AH47" s="115" t="s">
        <v>622</v>
      </c>
      <c r="AI47" s="115"/>
      <c r="AJ47" s="115"/>
      <c r="AK47" s="105"/>
      <c r="AL47" s="115"/>
      <c r="AM47" s="115"/>
      <c r="AN47" s="115"/>
      <c r="AO47" s="260">
        <f>Tabelle4[[#This Row],[Kredit-  / Budgetsumme
(RADAR: Gesamtkosten S)]]-Tabelle4[[#This Row],[Netto-Ausgaben Vorjahre ]]</f>
        <v>0</v>
      </c>
      <c r="AP47" s="310"/>
      <c r="AQ47" s="311"/>
      <c r="AR47" s="115">
        <f>Tabelle4[[#This Row],[Kreditrest per 1.1. aktuelles Jahr]]-Tabelle4[[#This Row],[Prognose 2018
(RADAR: Kosten 2018 S)]]</f>
        <v>0</v>
      </c>
      <c r="AS47" s="115"/>
      <c r="AT47" s="311"/>
      <c r="AU47" s="115"/>
      <c r="AV47" s="311"/>
      <c r="AW47" s="115"/>
      <c r="AX47" s="311"/>
      <c r="AY47" s="115"/>
      <c r="AZ47" s="311"/>
      <c r="BA47" s="115"/>
      <c r="BB47" s="311"/>
      <c r="BC47" s="115"/>
      <c r="BD47" s="311"/>
      <c r="BE47" s="115"/>
      <c r="BF47" s="311"/>
      <c r="BG47" s="115"/>
      <c r="BH47" s="311"/>
      <c r="BI47" s="115"/>
      <c r="BJ47" s="115"/>
      <c r="BK47" s="264"/>
      <c r="BL47" s="105"/>
      <c r="BM47" s="106" t="s">
        <v>75</v>
      </c>
      <c r="BN47" s="106"/>
      <c r="BO47" s="106">
        <v>40</v>
      </c>
      <c r="BP47" s="106"/>
      <c r="BQ47" s="106"/>
      <c r="BR47" s="106"/>
      <c r="BS47" s="106"/>
      <c r="BT47" s="108">
        <f>SUM(Tabelle4[[#This Row],[Projektverantwortung
(Lenkungsausschuss) ]:[Kommunikation ]])</f>
        <v>40</v>
      </c>
      <c r="BU47" s="105"/>
      <c r="BV47" s="106"/>
      <c r="BW47" s="106"/>
      <c r="BX47" s="106"/>
      <c r="BY47" s="106"/>
      <c r="BZ47" s="106"/>
      <c r="CA47" s="106"/>
      <c r="CB47" s="106"/>
      <c r="CC47" s="108">
        <f>SUM(Tabelle4[[#This Row],[Projektverantwortung
(Lenkungsausschuss)   ]:[Kommunikation   ]])</f>
        <v>0</v>
      </c>
      <c r="CD47" s="105"/>
      <c r="CE47" s="106"/>
      <c r="CF47" s="106"/>
      <c r="CG47" s="106"/>
      <c r="CH47" s="106"/>
      <c r="CI47" s="106"/>
      <c r="CJ47" s="106"/>
      <c r="CK47" s="106"/>
      <c r="CL47" s="108">
        <f>SUM(Tabelle4[[#This Row],[Projektverantwortung
(Lenkungsausschuss).]:[Kommunikation    ]])</f>
        <v>0</v>
      </c>
      <c r="CM47" s="105"/>
      <c r="CN47" s="106"/>
      <c r="CO47" s="106"/>
      <c r="CP47" s="106"/>
      <c r="CQ47" s="106"/>
      <c r="CR47" s="106"/>
      <c r="CS47" s="106"/>
      <c r="CT47" s="106"/>
      <c r="CU47" s="108">
        <f>SUM(Tabelle4[[#This Row],[Projektverantwortung
(Lenkungsausschuss)    ]:[Kommunikation     ]])</f>
        <v>0</v>
      </c>
      <c r="CV47" s="107">
        <f>SUM(Tabelle4[[#This Row],[Total Aufwand
1. Quartal 2018]],Tabelle4[[#This Row],[Total Aufwand
2. Quartal 2018]],Tabelle4[[#This Row],[Total Aufwand
3. Quartal 2018]],Tabelle4[[#This Row],[Total Aufwand
4. Quartal 2018]])</f>
        <v>40</v>
      </c>
      <c r="CW47" s="105"/>
      <c r="CX47" s="105"/>
      <c r="CY47" s="105"/>
      <c r="CZ47" s="105"/>
      <c r="DA47" s="105"/>
      <c r="DB47" s="105"/>
      <c r="DC47" s="105"/>
      <c r="DD47" s="105"/>
      <c r="DE47" s="107">
        <f>SUM(Tabelle4[[#This Row],[Aufwand ]],Tabelle4[[#This Row],[Aufwand 2]],Tabelle4[[#This Row],[Aufwand 3]],Tabelle4[[#This Row],[Aufwand 4]])</f>
        <v>0</v>
      </c>
      <c r="DF47" s="105"/>
      <c r="DG47" s="105"/>
      <c r="DH47" s="105"/>
      <c r="DI47" s="105"/>
      <c r="DJ47" s="105"/>
      <c r="DK47" s="105"/>
      <c r="DL47" s="105"/>
      <c r="DM47" s="105"/>
      <c r="DN47" s="107">
        <f>SUM(Tabelle4[[#This Row],[Aufwand  ]],Tabelle4[[#This Row],[Aufwand  2]],Tabelle4[[#This Row],[Aufwand  3]],Tabelle4[[#This Row],[Aufwand  4]])</f>
        <v>0</v>
      </c>
      <c r="DO47" s="105"/>
      <c r="DP47" s="105"/>
      <c r="DQ47" s="105"/>
      <c r="DR47" s="105"/>
      <c r="DS47" s="105"/>
      <c r="DT47" s="105"/>
      <c r="DU47" s="105"/>
      <c r="DV47" s="105"/>
      <c r="DW47" s="107">
        <f>SUM(Tabelle4[[#This Row],[Aufwand   ]],Tabelle4[[#This Row],[Aufwand   2]],Tabelle4[[#This Row],[Aufwand   3]],Tabelle4[[#This Row],[Aufwand   4]])</f>
        <v>0</v>
      </c>
      <c r="DX47" s="105"/>
      <c r="DY47" s="105"/>
      <c r="DZ47" s="105"/>
      <c r="EA47" s="105"/>
      <c r="EB47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40</v>
      </c>
      <c r="EC47" s="122">
        <f>Tabelle4[[#This Row],[Gesamaufwand]]/2000</f>
        <v>0.02</v>
      </c>
      <c r="ED47" s="47"/>
      <c r="EE47" s="47"/>
      <c r="EF47" s="47"/>
      <c r="EG47" s="47"/>
      <c r="EH47" s="47"/>
      <c r="EI47" s="47"/>
      <c r="EJ47" s="47"/>
      <c r="EK47" s="47"/>
      <c r="EL47" s="47"/>
    </row>
    <row r="48" spans="1:143">
      <c r="A48" s="255" t="s">
        <v>452</v>
      </c>
      <c r="B48" s="251" t="s">
        <v>105</v>
      </c>
      <c r="C48" s="254" t="s">
        <v>68</v>
      </c>
      <c r="D48" s="251" t="s">
        <v>913</v>
      </c>
      <c r="E48" s="251" t="s">
        <v>97</v>
      </c>
      <c r="F48" s="253">
        <v>3</v>
      </c>
      <c r="G48" s="253">
        <v>2</v>
      </c>
      <c r="H48" s="253"/>
      <c r="I48" s="254" t="s">
        <v>95</v>
      </c>
      <c r="J48" s="254"/>
      <c r="K48" s="105"/>
      <c r="L48" s="105"/>
      <c r="M48" s="48"/>
      <c r="N48" s="105"/>
      <c r="O48" s="255" t="s">
        <v>453</v>
      </c>
      <c r="P48" s="261">
        <v>2</v>
      </c>
      <c r="Q48" s="261">
        <v>0</v>
      </c>
      <c r="R48" s="261">
        <v>0</v>
      </c>
      <c r="S48" s="262" t="s">
        <v>215</v>
      </c>
      <c r="T48" s="263" t="s">
        <v>661</v>
      </c>
      <c r="U48" s="105"/>
      <c r="V48" s="259" t="s">
        <v>610</v>
      </c>
      <c r="W48" s="105" t="s">
        <v>6</v>
      </c>
      <c r="X48" s="105" t="s">
        <v>86</v>
      </c>
      <c r="Y48" s="105" t="s">
        <v>690</v>
      </c>
      <c r="Z48" s="105" t="s">
        <v>81</v>
      </c>
      <c r="AA48" s="105" t="s">
        <v>639</v>
      </c>
      <c r="AB48" s="105" t="s">
        <v>639</v>
      </c>
      <c r="AC48" s="105" t="s">
        <v>639</v>
      </c>
      <c r="AD48" s="105" t="s">
        <v>639</v>
      </c>
      <c r="AE48" s="105"/>
      <c r="AF48" s="105"/>
      <c r="AG48" s="105"/>
      <c r="AH48" s="115" t="s">
        <v>621</v>
      </c>
      <c r="AI48" s="115"/>
      <c r="AJ48" s="115"/>
      <c r="AK48" s="105"/>
      <c r="AL48" s="115"/>
      <c r="AM48" s="115"/>
      <c r="AN48" s="115"/>
      <c r="AO48" s="260">
        <f>Tabelle4[[#This Row],[Kredit-  / Budgetsumme
(RADAR: Gesamtkosten S)]]-Tabelle4[[#This Row],[Netto-Ausgaben Vorjahre ]]</f>
        <v>0</v>
      </c>
      <c r="AP48" s="310"/>
      <c r="AQ48" s="311"/>
      <c r="AR48" s="115">
        <f>Tabelle4[[#This Row],[Kreditrest per 1.1. aktuelles Jahr]]-Tabelle4[[#This Row],[Prognose 2018
(RADAR: Kosten 2018 S)]]</f>
        <v>0</v>
      </c>
      <c r="AS48" s="115"/>
      <c r="AT48" s="311"/>
      <c r="AU48" s="115"/>
      <c r="AV48" s="311"/>
      <c r="AW48" s="115"/>
      <c r="AX48" s="311"/>
      <c r="AY48" s="115"/>
      <c r="AZ48" s="311"/>
      <c r="BA48" s="115"/>
      <c r="BB48" s="311"/>
      <c r="BC48" s="115"/>
      <c r="BD48" s="311"/>
      <c r="BE48" s="115"/>
      <c r="BF48" s="311"/>
      <c r="BG48" s="115"/>
      <c r="BH48" s="311"/>
      <c r="BI48" s="115"/>
      <c r="BJ48" s="115"/>
      <c r="BK48" s="264"/>
      <c r="BL48" s="105"/>
      <c r="BM48" s="106">
        <v>8</v>
      </c>
      <c r="BN48" s="106"/>
      <c r="BO48" s="106">
        <v>20</v>
      </c>
      <c r="BP48" s="106"/>
      <c r="BQ48" s="106"/>
      <c r="BR48" s="106"/>
      <c r="BS48" s="106"/>
      <c r="BT48" s="108">
        <f>SUM(Tabelle4[[#This Row],[Projektverantwortung
(Lenkungsausschuss) ]:[Kommunikation ]])</f>
        <v>28</v>
      </c>
      <c r="BU48" s="105"/>
      <c r="BV48" s="106">
        <v>8</v>
      </c>
      <c r="BW48" s="106"/>
      <c r="BX48" s="106">
        <v>20</v>
      </c>
      <c r="BY48" s="106"/>
      <c r="BZ48" s="106"/>
      <c r="CA48" s="106"/>
      <c r="CB48" s="106"/>
      <c r="CC48" s="108">
        <f>SUM(Tabelle4[[#This Row],[Projektverantwortung
(Lenkungsausschuss)   ]:[Kommunikation   ]])</f>
        <v>28</v>
      </c>
      <c r="CD48" s="105"/>
      <c r="CE48" s="106"/>
      <c r="CF48" s="106"/>
      <c r="CG48" s="106">
        <v>20</v>
      </c>
      <c r="CH48" s="106"/>
      <c r="CI48" s="106"/>
      <c r="CJ48" s="106"/>
      <c r="CK48" s="106"/>
      <c r="CL48" s="108">
        <f>SUM(Tabelle4[[#This Row],[Projektverantwortung
(Lenkungsausschuss).]:[Kommunikation    ]])</f>
        <v>20</v>
      </c>
      <c r="CM48" s="105"/>
      <c r="CN48" s="106"/>
      <c r="CO48" s="106"/>
      <c r="CP48" s="106">
        <v>20</v>
      </c>
      <c r="CQ48" s="106"/>
      <c r="CR48" s="106"/>
      <c r="CS48" s="106"/>
      <c r="CT48" s="106"/>
      <c r="CU48" s="108">
        <f>SUM(Tabelle4[[#This Row],[Projektverantwortung
(Lenkungsausschuss)    ]:[Kommunikation     ]])</f>
        <v>20</v>
      </c>
      <c r="CV48" s="107">
        <f>SUM(Tabelle4[[#This Row],[Total Aufwand
1. Quartal 2018]],Tabelle4[[#This Row],[Total Aufwand
2. Quartal 2018]],Tabelle4[[#This Row],[Total Aufwand
3. Quartal 2018]],Tabelle4[[#This Row],[Total Aufwand
4. Quartal 2018]])</f>
        <v>96</v>
      </c>
      <c r="CW48" s="105"/>
      <c r="CX48" s="105"/>
      <c r="CY48" s="105"/>
      <c r="CZ48" s="105"/>
      <c r="DA48" s="105"/>
      <c r="DB48" s="105"/>
      <c r="DC48" s="105"/>
      <c r="DD48" s="105"/>
      <c r="DE48" s="107">
        <f>SUM(Tabelle4[[#This Row],[Aufwand ]],Tabelle4[[#This Row],[Aufwand 2]],Tabelle4[[#This Row],[Aufwand 3]],Tabelle4[[#This Row],[Aufwand 4]])</f>
        <v>0</v>
      </c>
      <c r="DF48" s="105"/>
      <c r="DG48" s="105"/>
      <c r="DH48" s="105"/>
      <c r="DI48" s="105"/>
      <c r="DJ48" s="105"/>
      <c r="DK48" s="105"/>
      <c r="DL48" s="105"/>
      <c r="DM48" s="105"/>
      <c r="DN48" s="107">
        <f>SUM(Tabelle4[[#This Row],[Aufwand  ]],Tabelle4[[#This Row],[Aufwand  2]],Tabelle4[[#This Row],[Aufwand  3]],Tabelle4[[#This Row],[Aufwand  4]])</f>
        <v>0</v>
      </c>
      <c r="DO48" s="105"/>
      <c r="DP48" s="105"/>
      <c r="DQ48" s="105"/>
      <c r="DR48" s="105"/>
      <c r="DS48" s="105"/>
      <c r="DT48" s="105"/>
      <c r="DU48" s="105"/>
      <c r="DV48" s="105"/>
      <c r="DW48" s="107">
        <f>SUM(Tabelle4[[#This Row],[Aufwand   ]],Tabelle4[[#This Row],[Aufwand   2]],Tabelle4[[#This Row],[Aufwand   3]],Tabelle4[[#This Row],[Aufwand   4]])</f>
        <v>0</v>
      </c>
      <c r="DX48" s="105"/>
      <c r="DY48" s="105"/>
      <c r="DZ48" s="105"/>
      <c r="EA48" s="105"/>
      <c r="EB48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96</v>
      </c>
      <c r="EC48" s="122">
        <f>Tabelle4[[#This Row],[Gesamaufwand]]/2000</f>
        <v>4.8000000000000001E-2</v>
      </c>
      <c r="ED48" s="47"/>
      <c r="EE48" s="47"/>
      <c r="EF48" s="47"/>
      <c r="EG48" s="47"/>
      <c r="EH48" s="47"/>
      <c r="EI48" s="47"/>
      <c r="EJ48" s="47"/>
      <c r="EK48" s="47"/>
      <c r="EL48" s="47"/>
    </row>
    <row r="49" spans="1:142">
      <c r="A49" s="255" t="s">
        <v>410</v>
      </c>
      <c r="B49" s="251" t="s">
        <v>105</v>
      </c>
      <c r="C49" s="254" t="s">
        <v>67</v>
      </c>
      <c r="D49" s="251" t="s">
        <v>780</v>
      </c>
      <c r="E49" s="251" t="s">
        <v>779</v>
      </c>
      <c r="F49" s="253">
        <v>3</v>
      </c>
      <c r="G49" s="253">
        <v>1</v>
      </c>
      <c r="H49" s="253"/>
      <c r="I49" s="254" t="s">
        <v>95</v>
      </c>
      <c r="J49" s="254"/>
      <c r="K49" s="105"/>
      <c r="L49" s="105"/>
      <c r="M49" s="48"/>
      <c r="N49" s="105" t="s">
        <v>2</v>
      </c>
      <c r="O49" s="255" t="s">
        <v>411</v>
      </c>
      <c r="P49" s="261">
        <v>1</v>
      </c>
      <c r="Q49" s="261">
        <v>0</v>
      </c>
      <c r="R49" s="261">
        <v>0</v>
      </c>
      <c r="S49" s="262" t="s">
        <v>226</v>
      </c>
      <c r="T49" s="263" t="s">
        <v>75</v>
      </c>
      <c r="U49" s="105"/>
      <c r="V49" s="259" t="s">
        <v>12</v>
      </c>
      <c r="W49" s="105" t="s">
        <v>7</v>
      </c>
      <c r="X49" s="105" t="s">
        <v>9</v>
      </c>
      <c r="Y49" s="105" t="s">
        <v>690</v>
      </c>
      <c r="Z49" s="105" t="s">
        <v>862</v>
      </c>
      <c r="AA49" s="105" t="s">
        <v>639</v>
      </c>
      <c r="AB49" s="105" t="s">
        <v>639</v>
      </c>
      <c r="AC49" s="105" t="s">
        <v>639</v>
      </c>
      <c r="AD49" s="105" t="s">
        <v>12</v>
      </c>
      <c r="AE49" s="105"/>
      <c r="AF49" s="105"/>
      <c r="AG49" s="105"/>
      <c r="AH49" s="115" t="s">
        <v>802</v>
      </c>
      <c r="AI49" s="115" t="s">
        <v>73</v>
      </c>
      <c r="AJ49" s="115"/>
      <c r="AK49" s="105" t="s">
        <v>1110</v>
      </c>
      <c r="AL49" s="115">
        <v>2300000</v>
      </c>
      <c r="AM49" s="115"/>
      <c r="AN49" s="115"/>
      <c r="AO49" s="260">
        <f>Tabelle4[[#This Row],[Kredit-  / Budgetsumme
(RADAR: Gesamtkosten S)]]-Tabelle4[[#This Row],[Netto-Ausgaben Vorjahre ]]</f>
        <v>2300000</v>
      </c>
      <c r="AP49" s="310"/>
      <c r="AQ49" s="311">
        <v>200000</v>
      </c>
      <c r="AR49" s="115">
        <f>Tabelle4[[#This Row],[Kreditrest per 1.1. aktuelles Jahr]]-Tabelle4[[#This Row],[Prognose 2018
(RADAR: Kosten 2018 S)]]</f>
        <v>2100000</v>
      </c>
      <c r="AS49" s="115"/>
      <c r="AT49" s="311">
        <v>1900000</v>
      </c>
      <c r="AU49" s="115"/>
      <c r="AV49" s="311">
        <v>200000</v>
      </c>
      <c r="AW49" s="115"/>
      <c r="AX49" s="311"/>
      <c r="AY49" s="115"/>
      <c r="AZ49" s="311"/>
      <c r="BA49" s="115"/>
      <c r="BB49" s="311"/>
      <c r="BC49" s="115"/>
      <c r="BD49" s="311"/>
      <c r="BE49" s="115"/>
      <c r="BF49" s="311"/>
      <c r="BG49" s="115"/>
      <c r="BH49" s="311"/>
      <c r="BI49" s="115"/>
      <c r="BJ49" s="115"/>
      <c r="BK49" s="264"/>
      <c r="BL49" s="105"/>
      <c r="BM49" s="106">
        <v>100</v>
      </c>
      <c r="BN49" s="106"/>
      <c r="BO49" s="106">
        <v>100</v>
      </c>
      <c r="BP49" s="106"/>
      <c r="BQ49" s="106"/>
      <c r="BR49" s="106"/>
      <c r="BS49" s="106"/>
      <c r="BT49" s="108">
        <f>SUM(Tabelle4[[#This Row],[Projektverantwortung
(Lenkungsausschuss) ]:[Kommunikation ]])</f>
        <v>200</v>
      </c>
      <c r="BU49" s="105"/>
      <c r="BV49" s="106"/>
      <c r="BW49" s="106"/>
      <c r="BX49" s="106"/>
      <c r="BY49" s="106"/>
      <c r="BZ49" s="106"/>
      <c r="CA49" s="106"/>
      <c r="CB49" s="106"/>
      <c r="CC49" s="108">
        <f>SUM(Tabelle4[[#This Row],[Projektverantwortung
(Lenkungsausschuss)   ]:[Kommunikation   ]])</f>
        <v>0</v>
      </c>
      <c r="CD49" s="105"/>
      <c r="CE49" s="106"/>
      <c r="CF49" s="106"/>
      <c r="CG49" s="106"/>
      <c r="CH49" s="106"/>
      <c r="CI49" s="106"/>
      <c r="CJ49" s="106"/>
      <c r="CK49" s="106"/>
      <c r="CL49" s="108">
        <f>SUM(Tabelle4[[#This Row],[Projektverantwortung
(Lenkungsausschuss).]:[Kommunikation    ]])</f>
        <v>0</v>
      </c>
      <c r="CM49" s="105"/>
      <c r="CN49" s="106"/>
      <c r="CO49" s="106"/>
      <c r="CP49" s="106"/>
      <c r="CQ49" s="106"/>
      <c r="CR49" s="106"/>
      <c r="CS49" s="106"/>
      <c r="CT49" s="106"/>
      <c r="CU49" s="108">
        <f>SUM(Tabelle4[[#This Row],[Projektverantwortung
(Lenkungsausschuss)    ]:[Kommunikation     ]])</f>
        <v>0</v>
      </c>
      <c r="CV49" s="107">
        <f>SUM(Tabelle4[[#This Row],[Total Aufwand
1. Quartal 2018]],Tabelle4[[#This Row],[Total Aufwand
2. Quartal 2018]],Tabelle4[[#This Row],[Total Aufwand
3. Quartal 2018]],Tabelle4[[#This Row],[Total Aufwand
4. Quartal 2018]])</f>
        <v>200</v>
      </c>
      <c r="CW49" s="105"/>
      <c r="CX49" s="105"/>
      <c r="CY49" s="105"/>
      <c r="CZ49" s="105"/>
      <c r="DA49" s="105"/>
      <c r="DB49" s="105"/>
      <c r="DC49" s="105"/>
      <c r="DD49" s="105"/>
      <c r="DE49" s="107">
        <f>SUM(Tabelle4[[#This Row],[Aufwand ]],Tabelle4[[#This Row],[Aufwand 2]],Tabelle4[[#This Row],[Aufwand 3]],Tabelle4[[#This Row],[Aufwand 4]])</f>
        <v>0</v>
      </c>
      <c r="DF49" s="105"/>
      <c r="DG49" s="105"/>
      <c r="DH49" s="105"/>
      <c r="DI49" s="105"/>
      <c r="DJ49" s="105"/>
      <c r="DK49" s="105"/>
      <c r="DL49" s="105"/>
      <c r="DM49" s="105"/>
      <c r="DN49" s="107">
        <f>SUM(Tabelle4[[#This Row],[Aufwand  ]],Tabelle4[[#This Row],[Aufwand  2]],Tabelle4[[#This Row],[Aufwand  3]],Tabelle4[[#This Row],[Aufwand  4]])</f>
        <v>0</v>
      </c>
      <c r="DO49" s="105"/>
      <c r="DP49" s="105"/>
      <c r="DQ49" s="105"/>
      <c r="DR49" s="105"/>
      <c r="DS49" s="105"/>
      <c r="DT49" s="105"/>
      <c r="DU49" s="105"/>
      <c r="DV49" s="105"/>
      <c r="DW49" s="107">
        <f>SUM(Tabelle4[[#This Row],[Aufwand   ]],Tabelle4[[#This Row],[Aufwand   2]],Tabelle4[[#This Row],[Aufwand   3]],Tabelle4[[#This Row],[Aufwand   4]])</f>
        <v>0</v>
      </c>
      <c r="DX49" s="105"/>
      <c r="DY49" s="105"/>
      <c r="DZ49" s="105"/>
      <c r="EA49" s="105"/>
      <c r="EB49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200</v>
      </c>
      <c r="EC49" s="122">
        <f>Tabelle4[[#This Row],[Gesamaufwand]]/2000</f>
        <v>0.1</v>
      </c>
      <c r="ED49" s="47"/>
      <c r="EE49" s="47"/>
      <c r="EF49" s="47"/>
      <c r="EG49" s="47"/>
      <c r="EH49" s="47"/>
      <c r="EI49" s="47"/>
      <c r="EJ49" s="47"/>
      <c r="EK49" s="47"/>
      <c r="EL49" s="47"/>
    </row>
    <row r="50" spans="1:142">
      <c r="A50" s="255" t="s">
        <v>241</v>
      </c>
      <c r="B50" s="251" t="s">
        <v>105</v>
      </c>
      <c r="C50" s="254" t="s">
        <v>75</v>
      </c>
      <c r="D50" s="251" t="s">
        <v>780</v>
      </c>
      <c r="E50" s="251" t="s">
        <v>114</v>
      </c>
      <c r="F50" s="253">
        <v>2</v>
      </c>
      <c r="G50" s="253">
        <v>1</v>
      </c>
      <c r="H50" s="253"/>
      <c r="I50" s="254" t="s">
        <v>95</v>
      </c>
      <c r="J50" s="254"/>
      <c r="K50" s="105"/>
      <c r="L50" s="105"/>
      <c r="M50" s="48"/>
      <c r="N50" s="105"/>
      <c r="O50" s="255" t="s">
        <v>242</v>
      </c>
      <c r="P50" s="261">
        <v>1</v>
      </c>
      <c r="Q50" s="261">
        <v>0</v>
      </c>
      <c r="R50" s="261">
        <v>0</v>
      </c>
      <c r="S50" s="262" t="s">
        <v>243</v>
      </c>
      <c r="T50" s="263" t="s">
        <v>673</v>
      </c>
      <c r="U50" s="105"/>
      <c r="V50" s="259" t="s">
        <v>12</v>
      </c>
      <c r="W50" s="105" t="s">
        <v>7</v>
      </c>
      <c r="X50" s="105" t="s">
        <v>9</v>
      </c>
      <c r="Y50" s="105" t="s">
        <v>690</v>
      </c>
      <c r="Z50" s="105" t="s">
        <v>690</v>
      </c>
      <c r="AA50" s="105" t="s">
        <v>639</v>
      </c>
      <c r="AB50" s="105" t="s">
        <v>690</v>
      </c>
      <c r="AC50" s="105" t="s">
        <v>690</v>
      </c>
      <c r="AD50" s="105" t="s">
        <v>12</v>
      </c>
      <c r="AE50" s="105"/>
      <c r="AF50" s="105"/>
      <c r="AG50" s="105"/>
      <c r="AH50" s="115" t="s">
        <v>1091</v>
      </c>
      <c r="AI50" s="115"/>
      <c r="AJ50" s="115"/>
      <c r="AK50" s="105"/>
      <c r="AL50" s="115">
        <v>24000</v>
      </c>
      <c r="AM50" s="115"/>
      <c r="AN50" s="115"/>
      <c r="AO50" s="260">
        <f>Tabelle4[[#This Row],[Kredit-  / Budgetsumme
(RADAR: Gesamtkosten S)]]-Tabelle4[[#This Row],[Netto-Ausgaben Vorjahre ]]</f>
        <v>24000</v>
      </c>
      <c r="AP50" s="310"/>
      <c r="AQ50" s="311">
        <v>24000</v>
      </c>
      <c r="AR50" s="115"/>
      <c r="AS50" s="115"/>
      <c r="AT50" s="311"/>
      <c r="AU50" s="115"/>
      <c r="AV50" s="311"/>
      <c r="AW50" s="115"/>
      <c r="AX50" s="311"/>
      <c r="AY50" s="115"/>
      <c r="AZ50" s="311"/>
      <c r="BA50" s="115"/>
      <c r="BB50" s="311"/>
      <c r="BC50" s="115"/>
      <c r="BD50" s="311"/>
      <c r="BE50" s="115"/>
      <c r="BF50" s="311"/>
      <c r="BG50" s="115"/>
      <c r="BH50" s="311"/>
      <c r="BI50" s="115"/>
      <c r="BJ50" s="115"/>
      <c r="BK50" s="264"/>
      <c r="BL50" s="105"/>
      <c r="BM50" s="106">
        <v>8</v>
      </c>
      <c r="BN50" s="106"/>
      <c r="BO50" s="106"/>
      <c r="BP50" s="106"/>
      <c r="BQ50" s="106"/>
      <c r="BR50" s="106"/>
      <c r="BS50" s="106"/>
      <c r="BT50" s="108">
        <f>SUM(Tabelle4[[#This Row],[Projektverantwortung
(Lenkungsausschuss) ]:[Kommunikation ]])</f>
        <v>8</v>
      </c>
      <c r="BU50" s="105"/>
      <c r="BV50" s="106"/>
      <c r="BW50" s="106"/>
      <c r="BX50" s="106"/>
      <c r="BY50" s="106"/>
      <c r="BZ50" s="106"/>
      <c r="CA50" s="106"/>
      <c r="CB50" s="106"/>
      <c r="CC50" s="108">
        <f>SUM(Tabelle4[[#This Row],[Projektverantwortung
(Lenkungsausschuss)   ]:[Kommunikation   ]])</f>
        <v>0</v>
      </c>
      <c r="CD50" s="105"/>
      <c r="CE50" s="106"/>
      <c r="CF50" s="106"/>
      <c r="CG50" s="106"/>
      <c r="CH50" s="106"/>
      <c r="CI50" s="106"/>
      <c r="CJ50" s="106"/>
      <c r="CK50" s="106"/>
      <c r="CL50" s="108">
        <f>SUM(Tabelle4[[#This Row],[Projektverantwortung
(Lenkungsausschuss).]:[Kommunikation    ]])</f>
        <v>0</v>
      </c>
      <c r="CM50" s="105"/>
      <c r="CN50" s="106"/>
      <c r="CO50" s="106"/>
      <c r="CP50" s="106"/>
      <c r="CQ50" s="106"/>
      <c r="CR50" s="106"/>
      <c r="CS50" s="106"/>
      <c r="CT50" s="106"/>
      <c r="CU50" s="108">
        <f>SUM(Tabelle4[[#This Row],[Projektverantwortung
(Lenkungsausschuss)    ]:[Kommunikation     ]])</f>
        <v>0</v>
      </c>
      <c r="CV50" s="107">
        <f>SUM(Tabelle4[[#This Row],[Total Aufwand
1. Quartal 2018]],Tabelle4[[#This Row],[Total Aufwand
2. Quartal 2018]],Tabelle4[[#This Row],[Total Aufwand
3. Quartal 2018]],Tabelle4[[#This Row],[Total Aufwand
4. Quartal 2018]])</f>
        <v>8</v>
      </c>
      <c r="CW50" s="105"/>
      <c r="CX50" s="105"/>
      <c r="CY50" s="105"/>
      <c r="CZ50" s="105"/>
      <c r="DA50" s="105"/>
      <c r="DB50" s="105"/>
      <c r="DC50" s="105"/>
      <c r="DD50" s="105"/>
      <c r="DE50" s="107">
        <f>SUM(Tabelle4[[#This Row],[Aufwand ]],Tabelle4[[#This Row],[Aufwand 2]],Tabelle4[[#This Row],[Aufwand 3]],Tabelle4[[#This Row],[Aufwand 4]])</f>
        <v>0</v>
      </c>
      <c r="DF50" s="105"/>
      <c r="DG50" s="105"/>
      <c r="DH50" s="105"/>
      <c r="DI50" s="105"/>
      <c r="DJ50" s="105"/>
      <c r="DK50" s="105"/>
      <c r="DL50" s="105"/>
      <c r="DM50" s="105"/>
      <c r="DN50" s="107">
        <f>SUM(Tabelle4[[#This Row],[Aufwand  ]],Tabelle4[[#This Row],[Aufwand  2]],Tabelle4[[#This Row],[Aufwand  3]],Tabelle4[[#This Row],[Aufwand  4]])</f>
        <v>0</v>
      </c>
      <c r="DO50" s="105"/>
      <c r="DP50" s="105"/>
      <c r="DQ50" s="105"/>
      <c r="DR50" s="105"/>
      <c r="DS50" s="105"/>
      <c r="DT50" s="105"/>
      <c r="DU50" s="105"/>
      <c r="DV50" s="105"/>
      <c r="DW50" s="107">
        <f>SUM(Tabelle4[[#This Row],[Aufwand   ]],Tabelle4[[#This Row],[Aufwand   2]],Tabelle4[[#This Row],[Aufwand   3]],Tabelle4[[#This Row],[Aufwand   4]])</f>
        <v>0</v>
      </c>
      <c r="DX50" s="105"/>
      <c r="DY50" s="105"/>
      <c r="DZ50" s="105"/>
      <c r="EA50" s="105"/>
      <c r="EB50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8</v>
      </c>
      <c r="EC50" s="122">
        <f>Tabelle4[[#This Row],[Gesamaufwand]]/2000</f>
        <v>4.0000000000000001E-3</v>
      </c>
      <c r="ED50" s="47"/>
      <c r="EE50" s="47"/>
      <c r="EF50" s="47"/>
      <c r="EG50" s="47"/>
      <c r="EH50" s="47"/>
      <c r="EI50" s="47"/>
      <c r="EJ50" s="47"/>
      <c r="EK50" s="47"/>
      <c r="EL50" s="47"/>
    </row>
    <row r="51" spans="1:142">
      <c r="A51" s="248" t="s">
        <v>855</v>
      </c>
      <c r="B51" s="249" t="s">
        <v>105</v>
      </c>
      <c r="C51" s="250" t="s">
        <v>67</v>
      </c>
      <c r="D51" s="251" t="s">
        <v>780</v>
      </c>
      <c r="E51" s="249" t="s">
        <v>114</v>
      </c>
      <c r="F51" s="252">
        <v>2</v>
      </c>
      <c r="G51" s="252">
        <v>1</v>
      </c>
      <c r="H51" s="252"/>
      <c r="I51" s="250" t="s">
        <v>95</v>
      </c>
      <c r="J51" s="250"/>
      <c r="K51" s="110"/>
      <c r="L51" s="110"/>
      <c r="M51" s="77"/>
      <c r="N51" s="110"/>
      <c r="O51" s="248"/>
      <c r="P51" s="256"/>
      <c r="Q51" s="256"/>
      <c r="R51" s="256"/>
      <c r="S51" s="257"/>
      <c r="T51" s="258" t="s">
        <v>665</v>
      </c>
      <c r="U51" s="110"/>
      <c r="V51" s="259" t="s">
        <v>12</v>
      </c>
      <c r="W51" s="105" t="s">
        <v>7</v>
      </c>
      <c r="X51" s="105" t="s">
        <v>9</v>
      </c>
      <c r="Y51" s="105" t="s">
        <v>690</v>
      </c>
      <c r="Z51" s="105" t="s">
        <v>13</v>
      </c>
      <c r="AA51" s="105" t="s">
        <v>13</v>
      </c>
      <c r="AB51" s="105" t="s">
        <v>13</v>
      </c>
      <c r="AC51" s="105" t="s">
        <v>634</v>
      </c>
      <c r="AD51" s="105" t="s">
        <v>639</v>
      </c>
      <c r="AE51" s="110"/>
      <c r="AF51" s="110"/>
      <c r="AG51" s="110"/>
      <c r="AH51" s="260" t="s">
        <v>802</v>
      </c>
      <c r="AI51" s="115" t="s">
        <v>73</v>
      </c>
      <c r="AJ51" s="260" t="s">
        <v>74</v>
      </c>
      <c r="AK51" s="105" t="s">
        <v>1116</v>
      </c>
      <c r="AL51" s="260">
        <v>265000</v>
      </c>
      <c r="AM51" s="260"/>
      <c r="AN51" s="260"/>
      <c r="AO51" s="260">
        <f>Tabelle4[[#This Row],[Kredit-  / Budgetsumme
(RADAR: Gesamtkosten S)]]-Tabelle4[[#This Row],[Netto-Ausgaben Vorjahre ]]</f>
        <v>265000</v>
      </c>
      <c r="AP51" s="310"/>
      <c r="AQ51" s="310">
        <v>265000</v>
      </c>
      <c r="AR51" s="260"/>
      <c r="AS51" s="260"/>
      <c r="AT51" s="310"/>
      <c r="AU51" s="260"/>
      <c r="AV51" s="310"/>
      <c r="AW51" s="260"/>
      <c r="AX51" s="310"/>
      <c r="AY51" s="260"/>
      <c r="AZ51" s="310"/>
      <c r="BA51" s="260"/>
      <c r="BB51" s="310"/>
      <c r="BC51" s="260"/>
      <c r="BD51" s="310"/>
      <c r="BE51" s="260"/>
      <c r="BF51" s="310"/>
      <c r="BG51" s="260"/>
      <c r="BH51" s="310"/>
      <c r="BI51" s="260"/>
      <c r="BJ51" s="260"/>
      <c r="BK51" s="264"/>
      <c r="BL51" s="105"/>
      <c r="BM51" s="106">
        <v>8</v>
      </c>
      <c r="BN51" s="106"/>
      <c r="BO51" s="106">
        <v>20</v>
      </c>
      <c r="BP51" s="106"/>
      <c r="BQ51" s="106">
        <v>40</v>
      </c>
      <c r="BR51" s="106">
        <v>40</v>
      </c>
      <c r="BS51" s="106"/>
      <c r="BT51" s="108">
        <f>SUM(Tabelle4[[#This Row],[Projektverantwortung
(Lenkungsausschuss) ]:[Kommunikation ]])</f>
        <v>108</v>
      </c>
      <c r="BU51" s="105"/>
      <c r="BV51" s="106">
        <v>8</v>
      </c>
      <c r="BW51" s="106"/>
      <c r="BX51" s="106">
        <v>20</v>
      </c>
      <c r="BY51" s="106"/>
      <c r="BZ51" s="106">
        <v>20</v>
      </c>
      <c r="CA51" s="106">
        <v>20</v>
      </c>
      <c r="CB51" s="106"/>
      <c r="CC51" s="108">
        <f>SUM(Tabelle4[[#This Row],[Projektverantwortung
(Lenkungsausschuss)   ]:[Kommunikation   ]])</f>
        <v>68</v>
      </c>
      <c r="CD51" s="113"/>
      <c r="CE51" s="114"/>
      <c r="CF51" s="114"/>
      <c r="CG51" s="114"/>
      <c r="CH51" s="114"/>
      <c r="CI51" s="114"/>
      <c r="CJ51" s="114"/>
      <c r="CK51" s="114"/>
      <c r="CL51" s="113">
        <f>SUM(Tabelle4[[#This Row],[Projektverantwortung
(Lenkungsausschuss).]:[Kommunikation    ]])</f>
        <v>0</v>
      </c>
      <c r="CM51" s="113"/>
      <c r="CN51" s="114"/>
      <c r="CO51" s="114"/>
      <c r="CP51" s="114"/>
      <c r="CQ51" s="114"/>
      <c r="CR51" s="114"/>
      <c r="CS51" s="114"/>
      <c r="CT51" s="114"/>
      <c r="CU51" s="113">
        <f>SUM(Tabelle4[[#This Row],[Projektverantwortung
(Lenkungsausschuss)    ]:[Kommunikation     ]])</f>
        <v>0</v>
      </c>
      <c r="CV51" s="112">
        <f>SUM(Tabelle4[[#This Row],[Total Aufwand
1. Quartal 2018]],Tabelle4[[#This Row],[Total Aufwand
2. Quartal 2018]],Tabelle4[[#This Row],[Total Aufwand
3. Quartal 2018]],Tabelle4[[#This Row],[Total Aufwand
4. Quartal 2018]])</f>
        <v>176</v>
      </c>
      <c r="CW51" s="105"/>
      <c r="CX51" s="105"/>
      <c r="CY51" s="105"/>
      <c r="CZ51" s="105"/>
      <c r="DA51" s="105"/>
      <c r="DB51" s="105"/>
      <c r="DC51" s="105"/>
      <c r="DD51" s="105"/>
      <c r="DE51" s="112">
        <f>SUM(Tabelle4[[#This Row],[Aufwand ]],Tabelle4[[#This Row],[Aufwand 2]],Tabelle4[[#This Row],[Aufwand 3]],Tabelle4[[#This Row],[Aufwand 4]])</f>
        <v>0</v>
      </c>
      <c r="DF51" s="142"/>
      <c r="DG51" s="110"/>
      <c r="DH51" s="110"/>
      <c r="DI51" s="142"/>
      <c r="DJ51" s="110"/>
      <c r="DK51" s="142"/>
      <c r="DL51" s="110"/>
      <c r="DM51" s="142"/>
      <c r="DN51" s="112">
        <f>SUM(Tabelle4[[#This Row],[Aufwand  ]],Tabelle4[[#This Row],[Aufwand  2]],Tabelle4[[#This Row],[Aufwand  3]],Tabelle4[[#This Row],[Aufwand  4]])</f>
        <v>0</v>
      </c>
      <c r="DO51" s="142"/>
      <c r="DP51" s="110"/>
      <c r="DQ51" s="110"/>
      <c r="DR51" s="142"/>
      <c r="DS51" s="110"/>
      <c r="DT51" s="142"/>
      <c r="DU51" s="110"/>
      <c r="DV51" s="142"/>
      <c r="DW51" s="107">
        <f>SUM(Tabelle4[[#This Row],[Aufwand   ]],Tabelle4[[#This Row],[Aufwand   2]],Tabelle4[[#This Row],[Aufwand   3]],Tabelle4[[#This Row],[Aufwand   4]])</f>
        <v>0</v>
      </c>
      <c r="DX51" s="142"/>
      <c r="DY51" s="143"/>
      <c r="DZ51" s="105"/>
      <c r="EA51" s="105"/>
      <c r="EB51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176</v>
      </c>
      <c r="EC51" s="122">
        <f>Tabelle4[[#This Row],[Gesamaufwand]]/2000</f>
        <v>8.7999999999999995E-2</v>
      </c>
      <c r="ED51" s="47"/>
      <c r="EE51" s="47"/>
      <c r="EF51" s="47"/>
      <c r="EG51" s="47"/>
      <c r="EH51" s="47"/>
      <c r="EI51" s="47"/>
      <c r="EJ51" s="47"/>
      <c r="EK51" s="47"/>
      <c r="EL51" s="47"/>
    </row>
    <row r="52" spans="1:142">
      <c r="A52" s="255" t="s">
        <v>276</v>
      </c>
      <c r="B52" s="251" t="s">
        <v>105</v>
      </c>
      <c r="C52" s="254" t="s">
        <v>75</v>
      </c>
      <c r="D52" s="251" t="s">
        <v>914</v>
      </c>
      <c r="E52" s="251" t="s">
        <v>112</v>
      </c>
      <c r="F52" s="253">
        <v>2</v>
      </c>
      <c r="G52" s="253">
        <v>2</v>
      </c>
      <c r="H52" s="253"/>
      <c r="I52" s="254" t="s">
        <v>95</v>
      </c>
      <c r="J52" s="254"/>
      <c r="K52" s="105"/>
      <c r="L52" s="105"/>
      <c r="M52" s="48"/>
      <c r="N52" s="105"/>
      <c r="O52" s="255" t="s">
        <v>277</v>
      </c>
      <c r="P52" s="261">
        <v>1</v>
      </c>
      <c r="Q52" s="261">
        <v>0</v>
      </c>
      <c r="R52" s="261">
        <v>0</v>
      </c>
      <c r="S52" s="262" t="s">
        <v>278</v>
      </c>
      <c r="T52" s="263" t="s">
        <v>75</v>
      </c>
      <c r="U52" s="105"/>
      <c r="V52" s="259" t="s">
        <v>12</v>
      </c>
      <c r="W52" s="105" t="s">
        <v>7</v>
      </c>
      <c r="X52" s="105" t="s">
        <v>22</v>
      </c>
      <c r="Y52" s="105" t="s">
        <v>690</v>
      </c>
      <c r="Z52" s="105" t="s">
        <v>862</v>
      </c>
      <c r="AA52" s="105" t="s">
        <v>75</v>
      </c>
      <c r="AB52" s="105" t="s">
        <v>75</v>
      </c>
      <c r="AC52" s="105" t="s">
        <v>75</v>
      </c>
      <c r="AD52" s="105" t="s">
        <v>12</v>
      </c>
      <c r="AE52" s="105"/>
      <c r="AF52" s="105"/>
      <c r="AG52" s="105"/>
      <c r="AH52" s="115" t="s">
        <v>75</v>
      </c>
      <c r="AI52" s="115"/>
      <c r="AJ52" s="115"/>
      <c r="AK52" s="105"/>
      <c r="AL52" s="115"/>
      <c r="AM52" s="115"/>
      <c r="AN52" s="115"/>
      <c r="AO52" s="260">
        <f>Tabelle4[[#This Row],[Kredit-  / Budgetsumme
(RADAR: Gesamtkosten S)]]-Tabelle4[[#This Row],[Netto-Ausgaben Vorjahre ]]</f>
        <v>0</v>
      </c>
      <c r="AP52" s="310"/>
      <c r="AQ52" s="311"/>
      <c r="AR52" s="115">
        <f>Tabelle4[[#This Row],[Kreditrest per 1.1. aktuelles Jahr]]-Tabelle4[[#This Row],[Prognose 2018
(RADAR: Kosten 2018 S)]]</f>
        <v>0</v>
      </c>
      <c r="AS52" s="115"/>
      <c r="AT52" s="311"/>
      <c r="AU52" s="115"/>
      <c r="AV52" s="311"/>
      <c r="AW52" s="115"/>
      <c r="AX52" s="311"/>
      <c r="AY52" s="115"/>
      <c r="AZ52" s="311"/>
      <c r="BA52" s="115"/>
      <c r="BB52" s="311"/>
      <c r="BC52" s="115"/>
      <c r="BD52" s="311"/>
      <c r="BE52" s="115"/>
      <c r="BF52" s="311"/>
      <c r="BG52" s="115"/>
      <c r="BH52" s="311"/>
      <c r="BI52" s="115"/>
      <c r="BJ52" s="115"/>
      <c r="BK52" s="264"/>
      <c r="BL52" s="105"/>
      <c r="BM52" s="106"/>
      <c r="BN52" s="106"/>
      <c r="BO52" s="106"/>
      <c r="BP52" s="106"/>
      <c r="BQ52" s="106"/>
      <c r="BR52" s="106"/>
      <c r="BS52" s="106"/>
      <c r="BT52" s="108">
        <f>SUM(Tabelle4[[#This Row],[Projektverantwortung
(Lenkungsausschuss) ]:[Kommunikation ]])</f>
        <v>0</v>
      </c>
      <c r="BU52" s="105"/>
      <c r="BV52" s="106"/>
      <c r="BW52" s="106"/>
      <c r="BX52" s="106"/>
      <c r="BY52" s="106"/>
      <c r="BZ52" s="106"/>
      <c r="CA52" s="106"/>
      <c r="CB52" s="106"/>
      <c r="CC52" s="108">
        <f>SUM(Tabelle4[[#This Row],[Projektverantwortung
(Lenkungsausschuss)   ]:[Kommunikation   ]])</f>
        <v>0</v>
      </c>
      <c r="CD52" s="105"/>
      <c r="CE52" s="106"/>
      <c r="CF52" s="106"/>
      <c r="CG52" s="106"/>
      <c r="CH52" s="106"/>
      <c r="CI52" s="106"/>
      <c r="CJ52" s="106"/>
      <c r="CK52" s="106"/>
      <c r="CL52" s="108">
        <f>SUM(Tabelle4[[#This Row],[Projektverantwortung
(Lenkungsausschuss).]:[Kommunikation    ]])</f>
        <v>0</v>
      </c>
      <c r="CM52" s="105"/>
      <c r="CN52" s="106"/>
      <c r="CO52" s="106"/>
      <c r="CP52" s="106"/>
      <c r="CQ52" s="106"/>
      <c r="CR52" s="106"/>
      <c r="CS52" s="106"/>
      <c r="CT52" s="106"/>
      <c r="CU52" s="108">
        <f>SUM(Tabelle4[[#This Row],[Projektverantwortung
(Lenkungsausschuss)    ]:[Kommunikation     ]])</f>
        <v>0</v>
      </c>
      <c r="CV52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52" s="105"/>
      <c r="CX52" s="105"/>
      <c r="CY52" s="105"/>
      <c r="CZ52" s="105"/>
      <c r="DA52" s="105"/>
      <c r="DB52" s="105"/>
      <c r="DC52" s="105"/>
      <c r="DD52" s="105"/>
      <c r="DE52" s="107">
        <f>SUM(Tabelle4[[#This Row],[Aufwand ]],Tabelle4[[#This Row],[Aufwand 2]],Tabelle4[[#This Row],[Aufwand 3]],Tabelle4[[#This Row],[Aufwand 4]])</f>
        <v>0</v>
      </c>
      <c r="DF52" s="105"/>
      <c r="DG52" s="105"/>
      <c r="DH52" s="105"/>
      <c r="DI52" s="105"/>
      <c r="DJ52" s="105"/>
      <c r="DK52" s="105"/>
      <c r="DL52" s="105"/>
      <c r="DM52" s="105"/>
      <c r="DN52" s="107">
        <f>SUM(Tabelle4[[#This Row],[Aufwand  ]],Tabelle4[[#This Row],[Aufwand  2]],Tabelle4[[#This Row],[Aufwand  3]],Tabelle4[[#This Row],[Aufwand  4]])</f>
        <v>0</v>
      </c>
      <c r="DO52" s="105"/>
      <c r="DP52" s="105"/>
      <c r="DQ52" s="105"/>
      <c r="DR52" s="105"/>
      <c r="DS52" s="105"/>
      <c r="DT52" s="105"/>
      <c r="DU52" s="105"/>
      <c r="DV52" s="105"/>
      <c r="DW52" s="107">
        <f>SUM(Tabelle4[[#This Row],[Aufwand   ]],Tabelle4[[#This Row],[Aufwand   2]],Tabelle4[[#This Row],[Aufwand   3]],Tabelle4[[#This Row],[Aufwand   4]])</f>
        <v>0</v>
      </c>
      <c r="DX52" s="105"/>
      <c r="DY52" s="105"/>
      <c r="DZ52" s="105"/>
      <c r="EA52" s="105"/>
      <c r="EB52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52" s="122">
        <f>Tabelle4[[#This Row],[Gesamaufwand]]/2000</f>
        <v>0</v>
      </c>
      <c r="ED52" s="47"/>
      <c r="EE52" s="47"/>
      <c r="EF52" s="47"/>
      <c r="EG52" s="47"/>
      <c r="EH52" s="47"/>
      <c r="EI52" s="47"/>
      <c r="EJ52" s="47"/>
      <c r="EK52" s="47"/>
      <c r="EL52" s="47"/>
    </row>
    <row r="53" spans="1:142">
      <c r="A53" s="248" t="s">
        <v>783</v>
      </c>
      <c r="B53" s="249" t="s">
        <v>105</v>
      </c>
      <c r="C53" s="250" t="s">
        <v>75</v>
      </c>
      <c r="D53" s="249" t="s">
        <v>914</v>
      </c>
      <c r="E53" s="249" t="s">
        <v>781</v>
      </c>
      <c r="F53" s="252">
        <v>1</v>
      </c>
      <c r="G53" s="252">
        <v>1</v>
      </c>
      <c r="H53" s="252"/>
      <c r="I53" s="250" t="s">
        <v>94</v>
      </c>
      <c r="J53" s="250"/>
      <c r="K53" s="110"/>
      <c r="L53" s="110"/>
      <c r="M53" s="77"/>
      <c r="N53" s="110"/>
      <c r="O53" s="248"/>
      <c r="P53" s="256"/>
      <c r="Q53" s="256"/>
      <c r="R53" s="256"/>
      <c r="S53" s="257"/>
      <c r="T53" s="258"/>
      <c r="U53" s="110"/>
      <c r="V53" s="266" t="s">
        <v>608</v>
      </c>
      <c r="W53" s="110" t="s">
        <v>656</v>
      </c>
      <c r="X53" s="110" t="s">
        <v>690</v>
      </c>
      <c r="Y53" s="105" t="s">
        <v>690</v>
      </c>
      <c r="Z53" s="110" t="s">
        <v>690</v>
      </c>
      <c r="AA53" s="105" t="s">
        <v>639</v>
      </c>
      <c r="AB53" s="105" t="s">
        <v>639</v>
      </c>
      <c r="AC53" s="105" t="s">
        <v>639</v>
      </c>
      <c r="AD53" s="105" t="s">
        <v>12</v>
      </c>
      <c r="AE53" s="110"/>
      <c r="AF53" s="110"/>
      <c r="AG53" s="110"/>
      <c r="AH53" s="115" t="s">
        <v>1093</v>
      </c>
      <c r="AI53" s="260"/>
      <c r="AJ53" s="260"/>
      <c r="AK53" s="260"/>
      <c r="AL53" s="260">
        <v>24800</v>
      </c>
      <c r="AM53" s="260"/>
      <c r="AN53" s="260">
        <v>24800</v>
      </c>
      <c r="AO53" s="260">
        <f>Tabelle4[[#This Row],[Kredit-  / Budgetsumme
(RADAR: Gesamtkosten S)]]-Tabelle4[[#This Row],[Netto-Ausgaben Vorjahre ]]</f>
        <v>0</v>
      </c>
      <c r="AP53" s="310"/>
      <c r="AQ53" s="310"/>
      <c r="AR53" s="260"/>
      <c r="AS53" s="260"/>
      <c r="AT53" s="310"/>
      <c r="AU53" s="260"/>
      <c r="AV53" s="310"/>
      <c r="AW53" s="260"/>
      <c r="AX53" s="310"/>
      <c r="AY53" s="260"/>
      <c r="AZ53" s="310"/>
      <c r="BA53" s="260"/>
      <c r="BB53" s="310"/>
      <c r="BC53" s="260"/>
      <c r="BD53" s="310"/>
      <c r="BE53" s="260"/>
      <c r="BF53" s="310"/>
      <c r="BG53" s="260"/>
      <c r="BH53" s="310"/>
      <c r="BI53" s="260"/>
      <c r="BJ53" s="260"/>
      <c r="BK53" s="276"/>
      <c r="BL53" s="105"/>
      <c r="BM53" s="111"/>
      <c r="BN53" s="111"/>
      <c r="BO53" s="111"/>
      <c r="BP53" s="111"/>
      <c r="BQ53" s="111"/>
      <c r="BR53" s="111"/>
      <c r="BS53" s="111"/>
      <c r="BT53" s="113">
        <f>SUM(Tabelle4[[#This Row],[Projektverantwortung
(Lenkungsausschuss) ]:[Kommunikation ]])</f>
        <v>0</v>
      </c>
      <c r="BU53" s="110"/>
      <c r="BV53" s="106"/>
      <c r="BW53" s="106"/>
      <c r="BX53" s="106"/>
      <c r="BY53" s="106"/>
      <c r="BZ53" s="106"/>
      <c r="CA53" s="106"/>
      <c r="CB53" s="106"/>
      <c r="CC53" s="113">
        <f>SUM(Tabelle4[[#This Row],[Projektverantwortung
(Lenkungsausschuss)   ]:[Kommunikation   ]])</f>
        <v>0</v>
      </c>
      <c r="CD53" s="110"/>
      <c r="CE53" s="114"/>
      <c r="CF53" s="114"/>
      <c r="CG53" s="114"/>
      <c r="CH53" s="114"/>
      <c r="CI53" s="114"/>
      <c r="CJ53" s="114"/>
      <c r="CK53" s="114"/>
      <c r="CL53" s="113">
        <f>SUM(Tabelle4[[#This Row],[Projektverantwortung
(Lenkungsausschuss).]:[Kommunikation    ]])</f>
        <v>0</v>
      </c>
      <c r="CM53" s="110"/>
      <c r="CN53" s="114"/>
      <c r="CO53" s="114"/>
      <c r="CP53" s="114"/>
      <c r="CQ53" s="114"/>
      <c r="CR53" s="114"/>
      <c r="CS53" s="114"/>
      <c r="CT53" s="114"/>
      <c r="CU53" s="113">
        <f>SUM(Tabelle4[[#This Row],[Projektverantwortung
(Lenkungsausschuss)    ]:[Kommunikation     ]])</f>
        <v>0</v>
      </c>
      <c r="CV53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53" s="105"/>
      <c r="CX53" s="105"/>
      <c r="CY53" s="105"/>
      <c r="CZ53" s="105"/>
      <c r="DA53" s="105"/>
      <c r="DB53" s="105"/>
      <c r="DC53" s="105"/>
      <c r="DD53" s="105"/>
      <c r="DE53" s="107">
        <f>SUM(Tabelle4[[#This Row],[Aufwand ]],Tabelle4[[#This Row],[Aufwand 2]],Tabelle4[[#This Row],[Aufwand 3]],Tabelle4[[#This Row],[Aufwand 4]])</f>
        <v>0</v>
      </c>
      <c r="DF53" s="105"/>
      <c r="DG53" s="105"/>
      <c r="DH53" s="105"/>
      <c r="DI53" s="105"/>
      <c r="DJ53" s="105"/>
      <c r="DK53" s="105"/>
      <c r="DL53" s="105"/>
      <c r="DM53" s="105"/>
      <c r="DN53" s="112">
        <f>SUM(Tabelle4[[#This Row],[Aufwand  ]],Tabelle4[[#This Row],[Aufwand  2]],Tabelle4[[#This Row],[Aufwand  3]],Tabelle4[[#This Row],[Aufwand  4]])</f>
        <v>0</v>
      </c>
      <c r="DO53" s="105"/>
      <c r="DP53" s="105"/>
      <c r="DQ53" s="105"/>
      <c r="DR53" s="105"/>
      <c r="DS53" s="105"/>
      <c r="DT53" s="105"/>
      <c r="DU53" s="105"/>
      <c r="DV53" s="105"/>
      <c r="DW53" s="107">
        <f>SUM(Tabelle4[[#This Row],[Aufwand   ]],Tabelle4[[#This Row],[Aufwand   2]],Tabelle4[[#This Row],[Aufwand   3]],Tabelle4[[#This Row],[Aufwand   4]])</f>
        <v>0</v>
      </c>
      <c r="DX53" s="105"/>
      <c r="DY53" s="105"/>
      <c r="DZ53" s="105"/>
      <c r="EA53" s="105"/>
      <c r="EB53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53" s="122">
        <f>Tabelle4[[#This Row],[Gesamaufwand]]/2000</f>
        <v>0</v>
      </c>
      <c r="ED53" s="47"/>
      <c r="EE53" s="47"/>
      <c r="EF53" s="47"/>
      <c r="EG53" s="47"/>
      <c r="EH53" s="47"/>
      <c r="EI53" s="47"/>
      <c r="EJ53" s="47"/>
      <c r="EK53" s="47"/>
      <c r="EL53" s="47"/>
    </row>
    <row r="54" spans="1:142">
      <c r="A54" s="255" t="s">
        <v>602</v>
      </c>
      <c r="B54" s="251" t="s">
        <v>105</v>
      </c>
      <c r="C54" s="254" t="s">
        <v>68</v>
      </c>
      <c r="D54" s="251" t="s">
        <v>913</v>
      </c>
      <c r="E54" s="251" t="s">
        <v>695</v>
      </c>
      <c r="F54" s="253">
        <v>2</v>
      </c>
      <c r="G54" s="253">
        <v>2</v>
      </c>
      <c r="H54" s="253"/>
      <c r="I54" s="254" t="s">
        <v>95</v>
      </c>
      <c r="J54" s="254"/>
      <c r="K54" s="105"/>
      <c r="L54" s="105"/>
      <c r="M54" s="48"/>
      <c r="N54" s="105"/>
      <c r="O54" s="255" t="s">
        <v>454</v>
      </c>
      <c r="P54" s="261">
        <v>2</v>
      </c>
      <c r="Q54" s="261">
        <v>0</v>
      </c>
      <c r="R54" s="261">
        <v>0</v>
      </c>
      <c r="S54" s="262" t="s">
        <v>455</v>
      </c>
      <c r="T54" s="263" t="s">
        <v>106</v>
      </c>
      <c r="U54" s="105"/>
      <c r="V54" s="259" t="s">
        <v>607</v>
      </c>
      <c r="W54" s="105" t="s">
        <v>6</v>
      </c>
      <c r="X54" s="105" t="s">
        <v>86</v>
      </c>
      <c r="Y54" s="105" t="s">
        <v>690</v>
      </c>
      <c r="Z54" s="105" t="s">
        <v>75</v>
      </c>
      <c r="AA54" s="105" t="s">
        <v>75</v>
      </c>
      <c r="AB54" s="105" t="s">
        <v>75</v>
      </c>
      <c r="AC54" s="105" t="s">
        <v>75</v>
      </c>
      <c r="AD54" s="105" t="s">
        <v>639</v>
      </c>
      <c r="AE54" s="105"/>
      <c r="AF54" s="105"/>
      <c r="AG54" s="105"/>
      <c r="AH54" s="115" t="s">
        <v>621</v>
      </c>
      <c r="AI54" s="115"/>
      <c r="AJ54" s="115"/>
      <c r="AK54" s="105"/>
      <c r="AL54" s="115"/>
      <c r="AM54" s="115"/>
      <c r="AN54" s="115"/>
      <c r="AO54" s="260">
        <f>Tabelle4[[#This Row],[Kredit-  / Budgetsumme
(RADAR: Gesamtkosten S)]]-Tabelle4[[#This Row],[Netto-Ausgaben Vorjahre ]]</f>
        <v>0</v>
      </c>
      <c r="AP54" s="310"/>
      <c r="AQ54" s="311"/>
      <c r="AR54" s="115">
        <f>Tabelle4[[#This Row],[Kreditrest per 1.1. aktuelles Jahr]]-Tabelle4[[#This Row],[Prognose 2018
(RADAR: Kosten 2018 S)]]</f>
        <v>0</v>
      </c>
      <c r="AS54" s="115"/>
      <c r="AT54" s="311"/>
      <c r="AU54" s="115"/>
      <c r="AV54" s="311"/>
      <c r="AW54" s="115"/>
      <c r="AX54" s="311"/>
      <c r="AY54" s="115"/>
      <c r="AZ54" s="311"/>
      <c r="BA54" s="115"/>
      <c r="BB54" s="311"/>
      <c r="BC54" s="115"/>
      <c r="BD54" s="311"/>
      <c r="BE54" s="115"/>
      <c r="BF54" s="311"/>
      <c r="BG54" s="115"/>
      <c r="BH54" s="311"/>
      <c r="BI54" s="115"/>
      <c r="BJ54" s="115"/>
      <c r="BK54" s="264"/>
      <c r="BL54" s="105"/>
      <c r="BM54" s="106"/>
      <c r="BN54" s="106"/>
      <c r="BO54" s="106"/>
      <c r="BP54" s="106"/>
      <c r="BQ54" s="106"/>
      <c r="BR54" s="106"/>
      <c r="BS54" s="106"/>
      <c r="BT54" s="108">
        <f>SUM(Tabelle4[[#This Row],[Projektverantwortung
(Lenkungsausschuss) ]:[Kommunikation ]])</f>
        <v>0</v>
      </c>
      <c r="BU54" s="105"/>
      <c r="BV54" s="106"/>
      <c r="BW54" s="106"/>
      <c r="BX54" s="106"/>
      <c r="BY54" s="106"/>
      <c r="BZ54" s="106"/>
      <c r="CA54" s="106"/>
      <c r="CB54" s="106"/>
      <c r="CC54" s="108">
        <f>SUM(Tabelle4[[#This Row],[Projektverantwortung
(Lenkungsausschuss)   ]:[Kommunikation   ]])</f>
        <v>0</v>
      </c>
      <c r="CD54" s="105"/>
      <c r="CE54" s="106"/>
      <c r="CF54" s="106"/>
      <c r="CG54" s="106"/>
      <c r="CH54" s="106"/>
      <c r="CI54" s="106"/>
      <c r="CJ54" s="106"/>
      <c r="CK54" s="106"/>
      <c r="CL54" s="108">
        <f>SUM(Tabelle4[[#This Row],[Projektverantwortung
(Lenkungsausschuss).]:[Kommunikation    ]])</f>
        <v>0</v>
      </c>
      <c r="CM54" s="105"/>
      <c r="CN54" s="106"/>
      <c r="CO54" s="106"/>
      <c r="CP54" s="106"/>
      <c r="CQ54" s="106"/>
      <c r="CR54" s="106"/>
      <c r="CS54" s="106"/>
      <c r="CT54" s="106"/>
      <c r="CU54" s="108">
        <f>SUM(Tabelle4[[#This Row],[Projektverantwortung
(Lenkungsausschuss)    ]:[Kommunikation     ]])</f>
        <v>0</v>
      </c>
      <c r="CV54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54" s="105"/>
      <c r="CX54" s="105"/>
      <c r="CY54" s="105"/>
      <c r="CZ54" s="105"/>
      <c r="DA54" s="105"/>
      <c r="DB54" s="105"/>
      <c r="DC54" s="105"/>
      <c r="DD54" s="105"/>
      <c r="DE54" s="107">
        <f>SUM(Tabelle4[[#This Row],[Aufwand ]],Tabelle4[[#This Row],[Aufwand 2]],Tabelle4[[#This Row],[Aufwand 3]],Tabelle4[[#This Row],[Aufwand 4]])</f>
        <v>0</v>
      </c>
      <c r="DF54" s="105"/>
      <c r="DG54" s="105"/>
      <c r="DH54" s="105"/>
      <c r="DI54" s="105"/>
      <c r="DJ54" s="105"/>
      <c r="DK54" s="105"/>
      <c r="DL54" s="105"/>
      <c r="DM54" s="105"/>
      <c r="DN54" s="107">
        <f>SUM(Tabelle4[[#This Row],[Aufwand  ]],Tabelle4[[#This Row],[Aufwand  2]],Tabelle4[[#This Row],[Aufwand  3]],Tabelle4[[#This Row],[Aufwand  4]])</f>
        <v>0</v>
      </c>
      <c r="DO54" s="105"/>
      <c r="DP54" s="105"/>
      <c r="DQ54" s="105"/>
      <c r="DR54" s="105"/>
      <c r="DS54" s="105"/>
      <c r="DT54" s="105"/>
      <c r="DU54" s="105"/>
      <c r="DV54" s="105"/>
      <c r="DW54" s="107">
        <f>SUM(Tabelle4[[#This Row],[Aufwand   ]],Tabelle4[[#This Row],[Aufwand   2]],Tabelle4[[#This Row],[Aufwand   3]],Tabelle4[[#This Row],[Aufwand   4]])</f>
        <v>0</v>
      </c>
      <c r="DX54" s="105"/>
      <c r="DY54" s="105"/>
      <c r="DZ54" s="105"/>
      <c r="EA54" s="105"/>
      <c r="EB54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54" s="122">
        <f>Tabelle4[[#This Row],[Gesamaufwand]]/2000</f>
        <v>0</v>
      </c>
      <c r="ED54" s="47"/>
      <c r="EE54" s="47"/>
      <c r="EF54" s="47"/>
      <c r="EG54" s="47"/>
      <c r="EH54" s="47"/>
      <c r="EI54" s="47"/>
      <c r="EJ54" s="47"/>
      <c r="EK54" s="47"/>
      <c r="EL54" s="47"/>
    </row>
    <row r="55" spans="1:142">
      <c r="A55" s="255" t="s">
        <v>279</v>
      </c>
      <c r="B55" s="251" t="s">
        <v>105</v>
      </c>
      <c r="C55" s="254" t="s">
        <v>67</v>
      </c>
      <c r="D55" s="251" t="s">
        <v>914</v>
      </c>
      <c r="E55" s="251" t="s">
        <v>97</v>
      </c>
      <c r="F55" s="253">
        <v>2</v>
      </c>
      <c r="G55" s="253">
        <v>2</v>
      </c>
      <c r="H55" s="253"/>
      <c r="I55" s="254" t="s">
        <v>95</v>
      </c>
      <c r="J55" s="254"/>
      <c r="K55" s="105"/>
      <c r="L55" s="105"/>
      <c r="M55" s="48"/>
      <c r="N55" s="105"/>
      <c r="O55" s="255" t="s">
        <v>280</v>
      </c>
      <c r="P55" s="261">
        <v>1</v>
      </c>
      <c r="Q55" s="261">
        <v>0</v>
      </c>
      <c r="R55" s="261">
        <v>0</v>
      </c>
      <c r="S55" s="262" t="s">
        <v>281</v>
      </c>
      <c r="T55" s="263" t="s">
        <v>106</v>
      </c>
      <c r="U55" s="105"/>
      <c r="V55" s="259" t="s">
        <v>12</v>
      </c>
      <c r="W55" s="105" t="s">
        <v>6</v>
      </c>
      <c r="X55" s="105" t="s">
        <v>11</v>
      </c>
      <c r="Y55" s="105" t="s">
        <v>75</v>
      </c>
      <c r="Z55" s="105" t="s">
        <v>86</v>
      </c>
      <c r="AA55" s="105" t="s">
        <v>75</v>
      </c>
      <c r="AB55" s="105" t="s">
        <v>75</v>
      </c>
      <c r="AC55" s="105" t="s">
        <v>75</v>
      </c>
      <c r="AD55" s="105" t="s">
        <v>12</v>
      </c>
      <c r="AE55" s="105"/>
      <c r="AF55" s="105"/>
      <c r="AG55" s="105"/>
      <c r="AH55" s="115" t="s">
        <v>802</v>
      </c>
      <c r="AI55" s="115" t="s">
        <v>73</v>
      </c>
      <c r="AJ55" s="115" t="s">
        <v>620</v>
      </c>
      <c r="AK55" s="110" t="s">
        <v>829</v>
      </c>
      <c r="AL55" s="115">
        <v>2500000</v>
      </c>
      <c r="AM55" s="115"/>
      <c r="AN55" s="115"/>
      <c r="AO55" s="260">
        <f>Tabelle4[[#This Row],[Kredit-  / Budgetsumme
(RADAR: Gesamtkosten S)]]-Tabelle4[[#This Row],[Netto-Ausgaben Vorjahre ]]</f>
        <v>2500000</v>
      </c>
      <c r="AP55" s="310"/>
      <c r="AQ55" s="311"/>
      <c r="AR55" s="115">
        <f>Tabelle4[[#This Row],[Kreditrest per 1.1. aktuelles Jahr]]-Tabelle4[[#This Row],[Prognose 2018
(RADAR: Kosten 2018 S)]]</f>
        <v>2500000</v>
      </c>
      <c r="AS55" s="115"/>
      <c r="AT55" s="311"/>
      <c r="AU55" s="115"/>
      <c r="AV55" s="311"/>
      <c r="AW55" s="115"/>
      <c r="AX55" s="311"/>
      <c r="AY55" s="115"/>
      <c r="AZ55" s="311"/>
      <c r="BA55" s="115"/>
      <c r="BB55" s="311"/>
      <c r="BC55" s="115"/>
      <c r="BD55" s="311"/>
      <c r="BE55" s="115"/>
      <c r="BF55" s="311"/>
      <c r="BG55" s="115"/>
      <c r="BH55" s="311"/>
      <c r="BI55" s="115"/>
      <c r="BJ55" s="115"/>
      <c r="BK55" s="264"/>
      <c r="BL55" s="105"/>
      <c r="BM55" s="106" t="s">
        <v>75</v>
      </c>
      <c r="BN55" s="106"/>
      <c r="BO55" s="106"/>
      <c r="BP55" s="106"/>
      <c r="BQ55" s="106"/>
      <c r="BR55" s="106"/>
      <c r="BS55" s="106"/>
      <c r="BT55" s="108">
        <f>SUM(Tabelle4[[#This Row],[Projektverantwortung
(Lenkungsausschuss) ]:[Kommunikation ]])</f>
        <v>0</v>
      </c>
      <c r="BU55" s="105"/>
      <c r="BV55" s="106"/>
      <c r="BW55" s="106"/>
      <c r="BX55" s="106"/>
      <c r="BY55" s="106"/>
      <c r="BZ55" s="106"/>
      <c r="CA55" s="106"/>
      <c r="CB55" s="106"/>
      <c r="CC55" s="108">
        <f>SUM(Tabelle4[[#This Row],[Projektverantwortung
(Lenkungsausschuss)   ]:[Kommunikation   ]])</f>
        <v>0</v>
      </c>
      <c r="CD55" s="105"/>
      <c r="CE55" s="106"/>
      <c r="CF55" s="106"/>
      <c r="CG55" s="106"/>
      <c r="CH55" s="106"/>
      <c r="CI55" s="106"/>
      <c r="CJ55" s="106"/>
      <c r="CK55" s="106"/>
      <c r="CL55" s="108">
        <f>SUM(Tabelle4[[#This Row],[Projektverantwortung
(Lenkungsausschuss).]:[Kommunikation    ]])</f>
        <v>0</v>
      </c>
      <c r="CM55" s="105"/>
      <c r="CN55" s="106"/>
      <c r="CO55" s="106"/>
      <c r="CP55" s="106"/>
      <c r="CQ55" s="106"/>
      <c r="CR55" s="106"/>
      <c r="CS55" s="106"/>
      <c r="CT55" s="106"/>
      <c r="CU55" s="108">
        <f>SUM(Tabelle4[[#This Row],[Projektverantwortung
(Lenkungsausschuss)    ]:[Kommunikation     ]])</f>
        <v>0</v>
      </c>
      <c r="CV55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55" s="105"/>
      <c r="CX55" s="105"/>
      <c r="CY55" s="105"/>
      <c r="CZ55" s="105"/>
      <c r="DA55" s="105"/>
      <c r="DB55" s="105"/>
      <c r="DC55" s="105"/>
      <c r="DD55" s="105"/>
      <c r="DE55" s="107">
        <f>SUM(Tabelle4[[#This Row],[Aufwand ]],Tabelle4[[#This Row],[Aufwand 2]],Tabelle4[[#This Row],[Aufwand 3]],Tabelle4[[#This Row],[Aufwand 4]])</f>
        <v>0</v>
      </c>
      <c r="DF55" s="105"/>
      <c r="DG55" s="105"/>
      <c r="DH55" s="105"/>
      <c r="DI55" s="105"/>
      <c r="DJ55" s="105"/>
      <c r="DK55" s="105"/>
      <c r="DL55" s="105"/>
      <c r="DM55" s="105"/>
      <c r="DN55" s="107">
        <f>SUM(Tabelle4[[#This Row],[Aufwand  ]],Tabelle4[[#This Row],[Aufwand  2]],Tabelle4[[#This Row],[Aufwand  3]],Tabelle4[[#This Row],[Aufwand  4]])</f>
        <v>0</v>
      </c>
      <c r="DO55" s="105"/>
      <c r="DP55" s="105"/>
      <c r="DQ55" s="105"/>
      <c r="DR55" s="105"/>
      <c r="DS55" s="105"/>
      <c r="DT55" s="105"/>
      <c r="DU55" s="105"/>
      <c r="DV55" s="105"/>
      <c r="DW55" s="107">
        <f>SUM(Tabelle4[[#This Row],[Aufwand   ]],Tabelle4[[#This Row],[Aufwand   2]],Tabelle4[[#This Row],[Aufwand   3]],Tabelle4[[#This Row],[Aufwand   4]])</f>
        <v>0</v>
      </c>
      <c r="DX55" s="105"/>
      <c r="DY55" s="105"/>
      <c r="DZ55" s="105"/>
      <c r="EA55" s="105"/>
      <c r="EB55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55" s="122">
        <f>Tabelle4[[#This Row],[Gesamaufwand]]/2000</f>
        <v>0</v>
      </c>
      <c r="ED55" s="47"/>
      <c r="EE55" s="47"/>
      <c r="EF55" s="47"/>
      <c r="EG55" s="47"/>
      <c r="EH55" s="47"/>
      <c r="EI55" s="47"/>
      <c r="EJ55" s="47"/>
      <c r="EK55" s="47"/>
      <c r="EL55" s="47"/>
    </row>
    <row r="56" spans="1:142">
      <c r="A56" s="255" t="s">
        <v>1162</v>
      </c>
      <c r="B56" s="251"/>
      <c r="C56" s="254"/>
      <c r="D56" s="251"/>
      <c r="E56" s="251"/>
      <c r="F56" s="253"/>
      <c r="G56" s="253"/>
      <c r="H56" s="253"/>
      <c r="I56" s="254"/>
      <c r="J56" s="254"/>
      <c r="K56" s="105"/>
      <c r="L56" s="105"/>
      <c r="M56" s="48"/>
      <c r="N56" s="105"/>
      <c r="O56" s="255"/>
      <c r="P56" s="261"/>
      <c r="Q56" s="261"/>
      <c r="R56" s="261"/>
      <c r="S56" s="262"/>
      <c r="T56" s="263"/>
      <c r="U56" s="105"/>
      <c r="V56" s="259"/>
      <c r="W56" s="105" t="s">
        <v>690</v>
      </c>
      <c r="X56" s="105"/>
      <c r="Y56" s="105"/>
      <c r="Z56" s="105"/>
      <c r="AA56" s="105"/>
      <c r="AB56" s="105"/>
      <c r="AC56" s="105"/>
      <c r="AD56" s="105"/>
      <c r="AE56" s="105"/>
      <c r="AF56" s="105"/>
      <c r="AG56" s="105"/>
      <c r="AH56" s="115" t="s">
        <v>1087</v>
      </c>
      <c r="AI56" s="115"/>
      <c r="AJ56" s="115"/>
      <c r="AK56" s="105"/>
      <c r="AL56" s="115"/>
      <c r="AM56" s="115"/>
      <c r="AN56" s="115"/>
      <c r="AO56" s="115"/>
      <c r="AP56" s="311"/>
      <c r="AQ56" s="311">
        <v>6000</v>
      </c>
      <c r="AR56" s="115"/>
      <c r="AS56" s="115"/>
      <c r="AT56" s="311"/>
      <c r="AU56" s="115"/>
      <c r="AV56" s="311"/>
      <c r="AW56" s="115"/>
      <c r="AX56" s="311"/>
      <c r="AY56" s="115"/>
      <c r="AZ56" s="311"/>
      <c r="BA56" s="115"/>
      <c r="BB56" s="311"/>
      <c r="BC56" s="115"/>
      <c r="BD56" s="311"/>
      <c r="BE56" s="115"/>
      <c r="BF56" s="311"/>
      <c r="BG56" s="115"/>
      <c r="BH56" s="311"/>
      <c r="BI56" s="115"/>
      <c r="BJ56" s="115"/>
      <c r="BK56" s="115"/>
      <c r="BL56" s="105"/>
      <c r="BM56" s="106"/>
      <c r="BN56" s="106"/>
      <c r="BO56" s="106"/>
      <c r="BP56" s="106"/>
      <c r="BQ56" s="106"/>
      <c r="BR56" s="106"/>
      <c r="BS56" s="106"/>
      <c r="BT56" s="108">
        <f>SUM(Tabelle4[[#This Row],[Projektverantwortung
(Lenkungsausschuss) ]:[Kommunikation ]])</f>
        <v>0</v>
      </c>
      <c r="BU56" s="108"/>
      <c r="BV56" s="151"/>
      <c r="BW56" s="151"/>
      <c r="BX56" s="151"/>
      <c r="BY56" s="151"/>
      <c r="BZ56" s="151"/>
      <c r="CA56" s="151"/>
      <c r="CB56" s="151"/>
      <c r="CC56" s="108">
        <f>SUM(Tabelle4[[#This Row],[Projektverantwortung
(Lenkungsausschuss)   ]:[Kommunikation   ]])</f>
        <v>0</v>
      </c>
      <c r="CD56" s="108"/>
      <c r="CE56" s="151"/>
      <c r="CF56" s="151"/>
      <c r="CG56" s="151"/>
      <c r="CH56" s="151"/>
      <c r="CI56" s="151"/>
      <c r="CJ56" s="151"/>
      <c r="CK56" s="151"/>
      <c r="CL56" s="108">
        <f>SUM(Tabelle4[[#This Row],[Projektverantwortung
(Lenkungsausschuss).]:[Kommunikation    ]])</f>
        <v>0</v>
      </c>
      <c r="CM56" s="108"/>
      <c r="CN56" s="151"/>
      <c r="CO56" s="151"/>
      <c r="CP56" s="151"/>
      <c r="CQ56" s="151"/>
      <c r="CR56" s="151"/>
      <c r="CS56" s="151"/>
      <c r="CT56" s="151"/>
      <c r="CU56" s="108">
        <f>SUM(Tabelle4[[#This Row],[Projektverantwortung
(Lenkungsausschuss)    ]:[Kommunikation     ]])</f>
        <v>0</v>
      </c>
      <c r="CV56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56" s="105"/>
      <c r="CX56" s="105"/>
      <c r="CY56" s="116"/>
      <c r="CZ56" s="105"/>
      <c r="DA56" s="116"/>
      <c r="DB56" s="105"/>
      <c r="DC56" s="116"/>
      <c r="DD56" s="105"/>
      <c r="DE56" s="107">
        <f>SUM(Tabelle4[[#This Row],[Aufwand ]],Tabelle4[[#This Row],[Aufwand 2]],Tabelle4[[#This Row],[Aufwand 3]],Tabelle4[[#This Row],[Aufwand 4]])</f>
        <v>0</v>
      </c>
      <c r="DF56" s="116"/>
      <c r="DG56" s="105"/>
      <c r="DH56" s="105"/>
      <c r="DI56" s="116"/>
      <c r="DJ56" s="105"/>
      <c r="DK56" s="116"/>
      <c r="DL56" s="105"/>
      <c r="DM56" s="116"/>
      <c r="DN56" s="107">
        <f>SUM(Tabelle4[[#This Row],[Aufwand  ]],Tabelle4[[#This Row],[Aufwand  2]],Tabelle4[[#This Row],[Aufwand  3]],Tabelle4[[#This Row],[Aufwand  4]])</f>
        <v>0</v>
      </c>
      <c r="DO56" s="116"/>
      <c r="DP56" s="116"/>
      <c r="DQ56" s="116"/>
      <c r="DR56" s="105"/>
      <c r="DS56" s="105"/>
      <c r="DT56" s="116"/>
      <c r="DU56" s="105"/>
      <c r="DV56" s="116"/>
      <c r="DW56" s="107" t="e">
        <f>#REF!</f>
        <v>#REF!</v>
      </c>
      <c r="DX56" s="116"/>
      <c r="DY56" s="152"/>
      <c r="DZ56" s="105"/>
      <c r="EA56" s="180"/>
      <c r="EB56" s="181" t="e">
        <f>#REF!</f>
        <v>#REF!</v>
      </c>
      <c r="EC56" s="109"/>
      <c r="ED56" s="47"/>
      <c r="EE56" s="47"/>
      <c r="EF56" s="47"/>
      <c r="EG56" s="47"/>
      <c r="EH56" s="47"/>
      <c r="EI56" s="47"/>
      <c r="EJ56" s="47"/>
      <c r="EK56" s="47"/>
      <c r="EL56" s="47"/>
    </row>
    <row r="57" spans="1:142">
      <c r="A57" s="255" t="s">
        <v>456</v>
      </c>
      <c r="B57" s="251" t="s">
        <v>105</v>
      </c>
      <c r="C57" s="254" t="s">
        <v>68</v>
      </c>
      <c r="D57" s="251" t="s">
        <v>913</v>
      </c>
      <c r="E57" s="251" t="s">
        <v>97</v>
      </c>
      <c r="F57" s="253">
        <v>4</v>
      </c>
      <c r="G57" s="253">
        <v>3</v>
      </c>
      <c r="H57" s="253"/>
      <c r="I57" s="254" t="s">
        <v>95</v>
      </c>
      <c r="J57" s="254"/>
      <c r="K57" s="105"/>
      <c r="L57" s="105"/>
      <c r="M57" s="48"/>
      <c r="N57" s="105"/>
      <c r="O57" s="255" t="s">
        <v>457</v>
      </c>
      <c r="P57" s="261">
        <v>2</v>
      </c>
      <c r="Q57" s="261">
        <v>0</v>
      </c>
      <c r="R57" s="261">
        <v>0</v>
      </c>
      <c r="S57" s="262" t="s">
        <v>458</v>
      </c>
      <c r="T57" s="263" t="s">
        <v>661</v>
      </c>
      <c r="U57" s="105"/>
      <c r="V57" s="259" t="s">
        <v>615</v>
      </c>
      <c r="W57" s="105" t="s">
        <v>6</v>
      </c>
      <c r="X57" s="105" t="s">
        <v>11</v>
      </c>
      <c r="Y57" s="105" t="s">
        <v>75</v>
      </c>
      <c r="Z57" s="105" t="s">
        <v>80</v>
      </c>
      <c r="AA57" s="105" t="s">
        <v>639</v>
      </c>
      <c r="AB57" s="105" t="s">
        <v>639</v>
      </c>
      <c r="AC57" s="105" t="s">
        <v>639</v>
      </c>
      <c r="AD57" s="105" t="s">
        <v>639</v>
      </c>
      <c r="AE57" s="105"/>
      <c r="AF57" s="105"/>
      <c r="AG57" s="105"/>
      <c r="AH57" s="115" t="s">
        <v>621</v>
      </c>
      <c r="AI57" s="115"/>
      <c r="AJ57" s="115"/>
      <c r="AK57" s="105"/>
      <c r="AL57" s="115"/>
      <c r="AM57" s="115"/>
      <c r="AN57" s="115"/>
      <c r="AO57" s="260">
        <f>Tabelle4[[#This Row],[Kredit-  / Budgetsumme
(RADAR: Gesamtkosten S)]]-Tabelle4[[#This Row],[Netto-Ausgaben Vorjahre ]]</f>
        <v>0</v>
      </c>
      <c r="AP57" s="310"/>
      <c r="AQ57" s="311"/>
      <c r="AR57" s="115">
        <f>Tabelle4[[#This Row],[Kreditrest per 1.1. aktuelles Jahr]]-Tabelle4[[#This Row],[Prognose 2018
(RADAR: Kosten 2018 S)]]</f>
        <v>0</v>
      </c>
      <c r="AS57" s="115"/>
      <c r="AT57" s="311"/>
      <c r="AU57" s="115"/>
      <c r="AV57" s="311"/>
      <c r="AW57" s="115"/>
      <c r="AX57" s="311"/>
      <c r="AY57" s="115"/>
      <c r="AZ57" s="311"/>
      <c r="BA57" s="115"/>
      <c r="BB57" s="311"/>
      <c r="BC57" s="115"/>
      <c r="BD57" s="311"/>
      <c r="BE57" s="115"/>
      <c r="BF57" s="311"/>
      <c r="BG57" s="115"/>
      <c r="BH57" s="311"/>
      <c r="BI57" s="115"/>
      <c r="BJ57" s="115"/>
      <c r="BK57" s="264"/>
      <c r="BL57" s="105" t="s">
        <v>4</v>
      </c>
      <c r="BM57" s="106"/>
      <c r="BN57" s="106"/>
      <c r="BO57" s="106">
        <v>8</v>
      </c>
      <c r="BP57" s="106"/>
      <c r="BQ57" s="106"/>
      <c r="BR57" s="106"/>
      <c r="BS57" s="106"/>
      <c r="BT57" s="108">
        <f>SUM(Tabelle4[[#This Row],[Projektverantwortung
(Lenkungsausschuss) ]:[Kommunikation ]])</f>
        <v>8</v>
      </c>
      <c r="BU57" s="105"/>
      <c r="BV57" s="106"/>
      <c r="BW57" s="106"/>
      <c r="BX57" s="106">
        <v>8</v>
      </c>
      <c r="BY57" s="106"/>
      <c r="BZ57" s="106"/>
      <c r="CA57" s="106"/>
      <c r="CB57" s="106"/>
      <c r="CC57" s="108">
        <f>SUM(Tabelle4[[#This Row],[Projektverantwortung
(Lenkungsausschuss)   ]:[Kommunikation   ]])</f>
        <v>8</v>
      </c>
      <c r="CD57" s="105"/>
      <c r="CE57" s="106"/>
      <c r="CF57" s="106"/>
      <c r="CG57" s="106">
        <v>8</v>
      </c>
      <c r="CH57" s="106"/>
      <c r="CI57" s="106"/>
      <c r="CJ57" s="106"/>
      <c r="CK57" s="106"/>
      <c r="CL57" s="108">
        <f>SUM(Tabelle4[[#This Row],[Projektverantwortung
(Lenkungsausschuss).]:[Kommunikation    ]])</f>
        <v>8</v>
      </c>
      <c r="CM57" s="105"/>
      <c r="CN57" s="106"/>
      <c r="CO57" s="106"/>
      <c r="CP57" s="106">
        <v>8</v>
      </c>
      <c r="CQ57" s="106"/>
      <c r="CR57" s="106"/>
      <c r="CS57" s="106"/>
      <c r="CT57" s="106"/>
      <c r="CU57" s="108">
        <f>SUM(Tabelle4[[#This Row],[Projektverantwortung
(Lenkungsausschuss)    ]:[Kommunikation     ]])</f>
        <v>8</v>
      </c>
      <c r="CV57" s="107">
        <f>SUM(Tabelle4[[#This Row],[Total Aufwand
1. Quartal 2018]],Tabelle4[[#This Row],[Total Aufwand
2. Quartal 2018]],Tabelle4[[#This Row],[Total Aufwand
3. Quartal 2018]],Tabelle4[[#This Row],[Total Aufwand
4. Quartal 2018]])</f>
        <v>32</v>
      </c>
      <c r="CW57" s="105"/>
      <c r="CX57" s="105"/>
      <c r="CY57" s="105"/>
      <c r="CZ57" s="105"/>
      <c r="DA57" s="105"/>
      <c r="DB57" s="105"/>
      <c r="DC57" s="105"/>
      <c r="DD57" s="105"/>
      <c r="DE57" s="107">
        <f>SUM(Tabelle4[[#This Row],[Aufwand ]],Tabelle4[[#This Row],[Aufwand 2]],Tabelle4[[#This Row],[Aufwand 3]],Tabelle4[[#This Row],[Aufwand 4]])</f>
        <v>0</v>
      </c>
      <c r="DF57" s="105"/>
      <c r="DG57" s="105"/>
      <c r="DH57" s="105"/>
      <c r="DI57" s="105"/>
      <c r="DJ57" s="105"/>
      <c r="DK57" s="105"/>
      <c r="DL57" s="105"/>
      <c r="DM57" s="105"/>
      <c r="DN57" s="107">
        <f>SUM(Tabelle4[[#This Row],[Aufwand  ]],Tabelle4[[#This Row],[Aufwand  2]],Tabelle4[[#This Row],[Aufwand  3]],Tabelle4[[#This Row],[Aufwand  4]])</f>
        <v>0</v>
      </c>
      <c r="DO57" s="105"/>
      <c r="DP57" s="105"/>
      <c r="DQ57" s="105"/>
      <c r="DR57" s="105"/>
      <c r="DS57" s="105"/>
      <c r="DT57" s="105"/>
      <c r="DU57" s="105"/>
      <c r="DV57" s="105"/>
      <c r="DW57" s="107">
        <f>SUM(Tabelle4[[#This Row],[Aufwand   ]],Tabelle4[[#This Row],[Aufwand   2]],Tabelle4[[#This Row],[Aufwand   3]],Tabelle4[[#This Row],[Aufwand   4]])</f>
        <v>0</v>
      </c>
      <c r="DX57" s="105"/>
      <c r="DY57" s="105"/>
      <c r="DZ57" s="105"/>
      <c r="EA57" s="105"/>
      <c r="EB57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32</v>
      </c>
      <c r="EC57" s="122">
        <f>Tabelle4[[#This Row],[Gesamaufwand]]/2000</f>
        <v>1.6E-2</v>
      </c>
      <c r="ED57" s="47"/>
      <c r="EE57" s="47"/>
      <c r="EF57" s="47"/>
      <c r="EG57" s="47"/>
      <c r="EH57" s="47"/>
      <c r="EI57" s="47"/>
      <c r="EJ57" s="47"/>
      <c r="EK57" s="47"/>
      <c r="EL57" s="47"/>
    </row>
    <row r="58" spans="1:142">
      <c r="A58" s="255" t="s">
        <v>340</v>
      </c>
      <c r="B58" s="251" t="s">
        <v>105</v>
      </c>
      <c r="C58" s="254" t="s">
        <v>67</v>
      </c>
      <c r="D58" s="251" t="s">
        <v>914</v>
      </c>
      <c r="E58" s="251" t="s">
        <v>113</v>
      </c>
      <c r="F58" s="253">
        <v>2</v>
      </c>
      <c r="G58" s="253">
        <v>1</v>
      </c>
      <c r="H58" s="253"/>
      <c r="I58" s="254" t="s">
        <v>95</v>
      </c>
      <c r="J58" s="254"/>
      <c r="K58" s="105"/>
      <c r="L58" s="105"/>
      <c r="M58" s="48"/>
      <c r="N58" s="105" t="s">
        <v>3</v>
      </c>
      <c r="O58" s="255" t="s">
        <v>341</v>
      </c>
      <c r="P58" s="261">
        <v>1</v>
      </c>
      <c r="Q58" s="261">
        <v>0</v>
      </c>
      <c r="R58" s="261">
        <v>0</v>
      </c>
      <c r="S58" s="262" t="s">
        <v>342</v>
      </c>
      <c r="T58" s="263" t="s">
        <v>672</v>
      </c>
      <c r="U58" s="105"/>
      <c r="V58" s="259" t="s">
        <v>12</v>
      </c>
      <c r="W58" s="105" t="s">
        <v>6</v>
      </c>
      <c r="X58" s="105" t="s">
        <v>86</v>
      </c>
      <c r="Y58" s="105" t="s">
        <v>690</v>
      </c>
      <c r="Z58" s="105" t="s">
        <v>81</v>
      </c>
      <c r="AA58" s="105" t="s">
        <v>81</v>
      </c>
      <c r="AB58" s="105" t="s">
        <v>13</v>
      </c>
      <c r="AC58" s="105" t="s">
        <v>634</v>
      </c>
      <c r="AD58" s="105" t="s">
        <v>12</v>
      </c>
      <c r="AE58" s="105"/>
      <c r="AF58" s="105"/>
      <c r="AG58" s="105"/>
      <c r="AH58" s="115" t="s">
        <v>802</v>
      </c>
      <c r="AI58" s="115" t="s">
        <v>73</v>
      </c>
      <c r="AJ58" s="115" t="s">
        <v>74</v>
      </c>
      <c r="AK58" s="105" t="s">
        <v>807</v>
      </c>
      <c r="AL58" s="115">
        <v>830000</v>
      </c>
      <c r="AM58" s="115">
        <v>96500</v>
      </c>
      <c r="AN58" s="115">
        <f>Tabelle4[[#This Row],[Kredit-  / Budgetsumme
(RADAR: Gesamtkosten S)]]-Tabelle4[[#This Row],[Kreditrest per 1.1. aktuelles Jahr]]</f>
        <v>565247</v>
      </c>
      <c r="AO58" s="260">
        <v>264753</v>
      </c>
      <c r="AP58" s="310"/>
      <c r="AQ58" s="311"/>
      <c r="AR58" s="115">
        <f>Tabelle4[[#This Row],[Kreditrest per 1.1. aktuelles Jahr]]-Tabelle4[[#This Row],[Prognose 2018
(RADAR: Kosten 2018 S)]]</f>
        <v>264753</v>
      </c>
      <c r="AS58" s="115"/>
      <c r="AT58" s="311"/>
      <c r="AU58" s="115"/>
      <c r="AV58" s="311"/>
      <c r="AW58" s="115"/>
      <c r="AX58" s="311"/>
      <c r="AY58" s="115"/>
      <c r="AZ58" s="311"/>
      <c r="BA58" s="115"/>
      <c r="BB58" s="311"/>
      <c r="BC58" s="115"/>
      <c r="BD58" s="311"/>
      <c r="BE58" s="115"/>
      <c r="BF58" s="311"/>
      <c r="BG58" s="115"/>
      <c r="BH58" s="311"/>
      <c r="BI58" s="115"/>
      <c r="BJ58" s="115"/>
      <c r="BK58" s="264"/>
      <c r="BL58" s="105"/>
      <c r="BM58" s="106"/>
      <c r="BN58" s="106"/>
      <c r="BO58" s="106">
        <v>20</v>
      </c>
      <c r="BP58" s="106"/>
      <c r="BQ58" s="106">
        <v>20</v>
      </c>
      <c r="BR58" s="106">
        <v>20</v>
      </c>
      <c r="BS58" s="106"/>
      <c r="BT58" s="108">
        <f>SUM(Tabelle4[[#This Row],[Projektverantwortung
(Lenkungsausschuss) ]:[Kommunikation ]])</f>
        <v>60</v>
      </c>
      <c r="BU58" s="105"/>
      <c r="BV58" s="106">
        <v>0</v>
      </c>
      <c r="BW58" s="106">
        <v>0</v>
      </c>
      <c r="BX58" s="106">
        <v>0</v>
      </c>
      <c r="BY58" s="106">
        <v>0</v>
      </c>
      <c r="BZ58" s="106">
        <v>0</v>
      </c>
      <c r="CA58" s="106">
        <v>0</v>
      </c>
      <c r="CB58" s="106">
        <v>0</v>
      </c>
      <c r="CC58" s="108">
        <f>SUM(Tabelle4[[#This Row],[Projektverantwortung
(Lenkungsausschuss)   ]:[Kommunikation   ]])</f>
        <v>0</v>
      </c>
      <c r="CD58" s="105"/>
      <c r="CE58" s="106"/>
      <c r="CF58" s="106"/>
      <c r="CG58" s="106"/>
      <c r="CH58" s="106"/>
      <c r="CI58" s="106"/>
      <c r="CJ58" s="106"/>
      <c r="CK58" s="106"/>
      <c r="CL58" s="108">
        <f>SUM(Tabelle4[[#This Row],[Projektverantwortung
(Lenkungsausschuss).]:[Kommunikation    ]])</f>
        <v>0</v>
      </c>
      <c r="CM58" s="105"/>
      <c r="CN58" s="106"/>
      <c r="CO58" s="106"/>
      <c r="CP58" s="106"/>
      <c r="CQ58" s="106"/>
      <c r="CR58" s="106"/>
      <c r="CS58" s="106"/>
      <c r="CT58" s="106"/>
      <c r="CU58" s="108">
        <f>SUM(Tabelle4[[#This Row],[Projektverantwortung
(Lenkungsausschuss)    ]:[Kommunikation     ]])</f>
        <v>0</v>
      </c>
      <c r="CV58" s="107">
        <f>SUM(Tabelle4[[#This Row],[Total Aufwand
1. Quartal 2018]],Tabelle4[[#This Row],[Total Aufwand
2. Quartal 2018]],Tabelle4[[#This Row],[Total Aufwand
3. Quartal 2018]],Tabelle4[[#This Row],[Total Aufwand
4. Quartal 2018]])</f>
        <v>60</v>
      </c>
      <c r="CW58" s="105"/>
      <c r="CX58" s="105"/>
      <c r="CY58" s="105"/>
      <c r="CZ58" s="105"/>
      <c r="DA58" s="105"/>
      <c r="DB58" s="105"/>
      <c r="DC58" s="105"/>
      <c r="DD58" s="105"/>
      <c r="DE58" s="107">
        <f>SUM(Tabelle4[[#This Row],[Aufwand ]],Tabelle4[[#This Row],[Aufwand 2]],Tabelle4[[#This Row],[Aufwand 3]],Tabelle4[[#This Row],[Aufwand 4]])</f>
        <v>0</v>
      </c>
      <c r="DF58" s="105"/>
      <c r="DG58" s="105"/>
      <c r="DH58" s="105"/>
      <c r="DI58" s="105"/>
      <c r="DJ58" s="105"/>
      <c r="DK58" s="105"/>
      <c r="DL58" s="105"/>
      <c r="DM58" s="105"/>
      <c r="DN58" s="107">
        <f>SUM(Tabelle4[[#This Row],[Aufwand  ]],Tabelle4[[#This Row],[Aufwand  2]],Tabelle4[[#This Row],[Aufwand  3]],Tabelle4[[#This Row],[Aufwand  4]])</f>
        <v>0</v>
      </c>
      <c r="DO58" s="105"/>
      <c r="DP58" s="105"/>
      <c r="DQ58" s="105"/>
      <c r="DR58" s="105"/>
      <c r="DS58" s="105"/>
      <c r="DT58" s="105"/>
      <c r="DU58" s="105"/>
      <c r="DV58" s="105"/>
      <c r="DW58" s="107">
        <f>SUM(Tabelle4[[#This Row],[Aufwand   ]],Tabelle4[[#This Row],[Aufwand   2]],Tabelle4[[#This Row],[Aufwand   3]],Tabelle4[[#This Row],[Aufwand   4]])</f>
        <v>0</v>
      </c>
      <c r="DX58" s="105"/>
      <c r="DY58" s="105"/>
      <c r="DZ58" s="105"/>
      <c r="EA58" s="105"/>
      <c r="EB58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60</v>
      </c>
      <c r="EC58" s="122">
        <f>Tabelle4[[#This Row],[Gesamaufwand]]/2000</f>
        <v>0.03</v>
      </c>
      <c r="ED58" s="47"/>
      <c r="EE58" s="47"/>
      <c r="EF58" s="47"/>
      <c r="EG58" s="47"/>
      <c r="EH58" s="47"/>
      <c r="EI58" s="47"/>
      <c r="EJ58" s="47"/>
      <c r="EK58" s="47"/>
      <c r="EL58" s="47"/>
    </row>
    <row r="59" spans="1:142">
      <c r="A59" s="255" t="s">
        <v>459</v>
      </c>
      <c r="B59" s="251" t="s">
        <v>105</v>
      </c>
      <c r="C59" s="254" t="s">
        <v>68</v>
      </c>
      <c r="D59" s="251" t="s">
        <v>913</v>
      </c>
      <c r="E59" s="251" t="s">
        <v>97</v>
      </c>
      <c r="F59" s="253">
        <v>3</v>
      </c>
      <c r="G59" s="253">
        <v>2</v>
      </c>
      <c r="H59" s="253"/>
      <c r="I59" s="254" t="s">
        <v>95</v>
      </c>
      <c r="J59" s="254"/>
      <c r="K59" s="105"/>
      <c r="L59" s="105"/>
      <c r="M59" s="48"/>
      <c r="N59" s="105"/>
      <c r="O59" s="255" t="s">
        <v>460</v>
      </c>
      <c r="P59" s="261">
        <v>2</v>
      </c>
      <c r="Q59" s="261">
        <v>0</v>
      </c>
      <c r="R59" s="261">
        <v>0</v>
      </c>
      <c r="S59" s="262" t="s">
        <v>221</v>
      </c>
      <c r="T59" s="263" t="s">
        <v>692</v>
      </c>
      <c r="U59" s="105"/>
      <c r="V59" s="259" t="s">
        <v>610</v>
      </c>
      <c r="W59" s="105" t="s">
        <v>6</v>
      </c>
      <c r="X59" s="105" t="s">
        <v>75</v>
      </c>
      <c r="Y59" s="105" t="s">
        <v>75</v>
      </c>
      <c r="Z59" s="105" t="s">
        <v>86</v>
      </c>
      <c r="AA59" s="105" t="s">
        <v>639</v>
      </c>
      <c r="AB59" s="105" t="s">
        <v>639</v>
      </c>
      <c r="AC59" s="105" t="s">
        <v>639</v>
      </c>
      <c r="AD59" s="105" t="s">
        <v>639</v>
      </c>
      <c r="AE59" s="105"/>
      <c r="AF59" s="105"/>
      <c r="AG59" s="105"/>
      <c r="AH59" s="115" t="s">
        <v>621</v>
      </c>
      <c r="AI59" s="115"/>
      <c r="AJ59" s="115"/>
      <c r="AK59" s="105"/>
      <c r="AL59" s="115"/>
      <c r="AM59" s="115"/>
      <c r="AN59" s="115"/>
      <c r="AO59" s="260">
        <f>Tabelle4[[#This Row],[Kredit-  / Budgetsumme
(RADAR: Gesamtkosten S)]]-Tabelle4[[#This Row],[Netto-Ausgaben Vorjahre ]]</f>
        <v>0</v>
      </c>
      <c r="AP59" s="310"/>
      <c r="AQ59" s="311"/>
      <c r="AR59" s="115">
        <f>Tabelle4[[#This Row],[Kreditrest per 1.1. aktuelles Jahr]]-Tabelle4[[#This Row],[Prognose 2018
(RADAR: Kosten 2018 S)]]</f>
        <v>0</v>
      </c>
      <c r="AS59" s="115"/>
      <c r="AT59" s="311"/>
      <c r="AU59" s="115"/>
      <c r="AV59" s="311"/>
      <c r="AW59" s="115"/>
      <c r="AX59" s="311"/>
      <c r="AY59" s="115"/>
      <c r="AZ59" s="311"/>
      <c r="BA59" s="115"/>
      <c r="BB59" s="311"/>
      <c r="BC59" s="115"/>
      <c r="BD59" s="311"/>
      <c r="BE59" s="115"/>
      <c r="BF59" s="311"/>
      <c r="BG59" s="115"/>
      <c r="BH59" s="311"/>
      <c r="BI59" s="115"/>
      <c r="BJ59" s="115"/>
      <c r="BK59" s="264"/>
      <c r="BL59" s="105"/>
      <c r="BM59" s="106" t="s">
        <v>75</v>
      </c>
      <c r="BN59" s="106"/>
      <c r="BO59" s="106"/>
      <c r="BP59" s="106"/>
      <c r="BQ59" s="106"/>
      <c r="BR59" s="106"/>
      <c r="BS59" s="106"/>
      <c r="BT59" s="108">
        <f>SUM(Tabelle4[[#This Row],[Projektverantwortung
(Lenkungsausschuss) ]:[Kommunikation ]])</f>
        <v>0</v>
      </c>
      <c r="BU59" s="105"/>
      <c r="BV59" s="106"/>
      <c r="BW59" s="106"/>
      <c r="BX59" s="106"/>
      <c r="BY59" s="106"/>
      <c r="BZ59" s="106"/>
      <c r="CA59" s="106"/>
      <c r="CB59" s="106"/>
      <c r="CC59" s="108">
        <f>SUM(Tabelle4[[#This Row],[Projektverantwortung
(Lenkungsausschuss)   ]:[Kommunikation   ]])</f>
        <v>0</v>
      </c>
      <c r="CD59" s="105"/>
      <c r="CE59" s="106"/>
      <c r="CF59" s="106"/>
      <c r="CG59" s="106"/>
      <c r="CH59" s="106"/>
      <c r="CI59" s="106"/>
      <c r="CJ59" s="106"/>
      <c r="CK59" s="106"/>
      <c r="CL59" s="108">
        <f>SUM(Tabelle4[[#This Row],[Projektverantwortung
(Lenkungsausschuss).]:[Kommunikation    ]])</f>
        <v>0</v>
      </c>
      <c r="CM59" s="105"/>
      <c r="CN59" s="106"/>
      <c r="CO59" s="106"/>
      <c r="CP59" s="106"/>
      <c r="CQ59" s="106"/>
      <c r="CR59" s="106"/>
      <c r="CS59" s="106"/>
      <c r="CT59" s="106"/>
      <c r="CU59" s="108">
        <f>SUM(Tabelle4[[#This Row],[Projektverantwortung
(Lenkungsausschuss)    ]:[Kommunikation     ]])</f>
        <v>0</v>
      </c>
      <c r="CV59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59" s="105"/>
      <c r="CX59" s="105"/>
      <c r="CY59" s="105"/>
      <c r="CZ59" s="105"/>
      <c r="DA59" s="105"/>
      <c r="DB59" s="105"/>
      <c r="DC59" s="105"/>
      <c r="DD59" s="105"/>
      <c r="DE59" s="107">
        <f>SUM(Tabelle4[[#This Row],[Aufwand ]],Tabelle4[[#This Row],[Aufwand 2]],Tabelle4[[#This Row],[Aufwand 3]],Tabelle4[[#This Row],[Aufwand 4]])</f>
        <v>0</v>
      </c>
      <c r="DF59" s="105"/>
      <c r="DG59" s="105"/>
      <c r="DH59" s="105"/>
      <c r="DI59" s="105"/>
      <c r="DJ59" s="105"/>
      <c r="DK59" s="105"/>
      <c r="DL59" s="105"/>
      <c r="DM59" s="105"/>
      <c r="DN59" s="107">
        <f>SUM(Tabelle4[[#This Row],[Aufwand  ]],Tabelle4[[#This Row],[Aufwand  2]],Tabelle4[[#This Row],[Aufwand  3]],Tabelle4[[#This Row],[Aufwand  4]])</f>
        <v>0</v>
      </c>
      <c r="DO59" s="105"/>
      <c r="DP59" s="105"/>
      <c r="DQ59" s="105"/>
      <c r="DR59" s="105"/>
      <c r="DS59" s="105"/>
      <c r="DT59" s="105"/>
      <c r="DU59" s="105"/>
      <c r="DV59" s="105"/>
      <c r="DW59" s="107">
        <f>SUM(Tabelle4[[#This Row],[Aufwand   ]],Tabelle4[[#This Row],[Aufwand   2]],Tabelle4[[#This Row],[Aufwand   3]],Tabelle4[[#This Row],[Aufwand   4]])</f>
        <v>0</v>
      </c>
      <c r="DX59" s="105"/>
      <c r="DY59" s="105"/>
      <c r="DZ59" s="105"/>
      <c r="EA59" s="105"/>
      <c r="EB59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59" s="122">
        <f>Tabelle4[[#This Row],[Gesamaufwand]]/2000</f>
        <v>0</v>
      </c>
      <c r="ED59" s="47"/>
      <c r="EE59" s="47"/>
      <c r="EF59" s="47"/>
      <c r="EG59" s="47"/>
      <c r="EH59" s="47"/>
      <c r="EI59" s="47"/>
      <c r="EJ59" s="47"/>
      <c r="EK59" s="47"/>
      <c r="EL59" s="47"/>
    </row>
    <row r="60" spans="1:142">
      <c r="A60" s="255" t="s">
        <v>845</v>
      </c>
      <c r="B60" s="251" t="s">
        <v>103</v>
      </c>
      <c r="C60" s="254" t="s">
        <v>75</v>
      </c>
      <c r="D60" s="251" t="s">
        <v>780</v>
      </c>
      <c r="E60" s="251" t="s">
        <v>779</v>
      </c>
      <c r="F60" s="253">
        <v>4</v>
      </c>
      <c r="G60" s="253">
        <v>1</v>
      </c>
      <c r="H60" s="253"/>
      <c r="I60" s="254" t="s">
        <v>95</v>
      </c>
      <c r="J60" s="254"/>
      <c r="K60" s="105"/>
      <c r="L60" s="105"/>
      <c r="M60" s="48"/>
      <c r="N60" s="105"/>
      <c r="O60" s="255" t="s">
        <v>176</v>
      </c>
      <c r="P60" s="261">
        <v>1</v>
      </c>
      <c r="Q60" s="261">
        <v>0</v>
      </c>
      <c r="R60" s="261">
        <v>0</v>
      </c>
      <c r="S60" s="262" t="s">
        <v>177</v>
      </c>
      <c r="T60" s="263" t="s">
        <v>75</v>
      </c>
      <c r="U60" s="105"/>
      <c r="V60" s="259" t="s">
        <v>12</v>
      </c>
      <c r="W60" s="105" t="s">
        <v>8</v>
      </c>
      <c r="X60" s="105" t="s">
        <v>10</v>
      </c>
      <c r="Y60" s="105" t="s">
        <v>75</v>
      </c>
      <c r="Z60" s="105" t="s">
        <v>10</v>
      </c>
      <c r="AA60" s="105" t="s">
        <v>75</v>
      </c>
      <c r="AB60" s="105" t="s">
        <v>75</v>
      </c>
      <c r="AC60" s="105" t="s">
        <v>75</v>
      </c>
      <c r="AD60" s="105" t="s">
        <v>75</v>
      </c>
      <c r="AE60" s="105"/>
      <c r="AF60" s="105"/>
      <c r="AG60" s="105"/>
      <c r="AH60" s="115" t="s">
        <v>1092</v>
      </c>
      <c r="AI60" s="115"/>
      <c r="AJ60" s="115"/>
      <c r="AK60" s="105"/>
      <c r="AL60" s="115"/>
      <c r="AM60" s="115"/>
      <c r="AN60" s="115"/>
      <c r="AO60" s="260"/>
      <c r="AP60" s="310"/>
      <c r="AQ60" s="311">
        <v>3000</v>
      </c>
      <c r="AR60" s="115"/>
      <c r="AS60" s="115"/>
      <c r="AT60" s="311">
        <v>3000</v>
      </c>
      <c r="AU60" s="115"/>
      <c r="AV60" s="311">
        <v>3000</v>
      </c>
      <c r="AW60" s="115"/>
      <c r="AX60" s="311">
        <v>3000</v>
      </c>
      <c r="AY60" s="115"/>
      <c r="AZ60" s="311">
        <v>3000</v>
      </c>
      <c r="BA60" s="115"/>
      <c r="BB60" s="311">
        <v>3000</v>
      </c>
      <c r="BC60" s="115"/>
      <c r="BD60" s="311">
        <v>3000</v>
      </c>
      <c r="BE60" s="115"/>
      <c r="BF60" s="311">
        <v>3000</v>
      </c>
      <c r="BG60" s="115"/>
      <c r="BH60" s="311">
        <v>3000</v>
      </c>
      <c r="BI60" s="115"/>
      <c r="BJ60" s="115"/>
      <c r="BK60" s="264"/>
      <c r="BL60" s="105"/>
      <c r="BM60" s="106"/>
      <c r="BN60" s="106"/>
      <c r="BO60" s="106"/>
      <c r="BP60" s="106"/>
      <c r="BQ60" s="106"/>
      <c r="BR60" s="106"/>
      <c r="BS60" s="106"/>
      <c r="BT60" s="108">
        <f>SUM(Tabelle4[[#This Row],[Projektverantwortung
(Lenkungsausschuss) ]:[Kommunikation ]])</f>
        <v>0</v>
      </c>
      <c r="BU60" s="105"/>
      <c r="BV60" s="106"/>
      <c r="BW60" s="106"/>
      <c r="BX60" s="106"/>
      <c r="BY60" s="106"/>
      <c r="BZ60" s="106"/>
      <c r="CA60" s="106"/>
      <c r="CB60" s="106"/>
      <c r="CC60" s="108">
        <f>SUM(Tabelle4[[#This Row],[Projektverantwortung
(Lenkungsausschuss)   ]:[Kommunikation   ]])</f>
        <v>0</v>
      </c>
      <c r="CD60" s="105"/>
      <c r="CE60" s="106"/>
      <c r="CF60" s="106"/>
      <c r="CG60" s="106"/>
      <c r="CH60" s="106"/>
      <c r="CI60" s="106"/>
      <c r="CJ60" s="106"/>
      <c r="CK60" s="106"/>
      <c r="CL60" s="108">
        <f>SUM(Tabelle4[[#This Row],[Projektverantwortung
(Lenkungsausschuss).]:[Kommunikation    ]])</f>
        <v>0</v>
      </c>
      <c r="CM60" s="105"/>
      <c r="CN60" s="106"/>
      <c r="CO60" s="106"/>
      <c r="CP60" s="106"/>
      <c r="CQ60" s="106"/>
      <c r="CR60" s="106"/>
      <c r="CS60" s="106"/>
      <c r="CT60" s="106"/>
      <c r="CU60" s="108">
        <f>SUM(Tabelle4[[#This Row],[Projektverantwortung
(Lenkungsausschuss)    ]:[Kommunikation     ]])</f>
        <v>0</v>
      </c>
      <c r="CV60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60" s="105"/>
      <c r="CX60" s="105"/>
      <c r="CY60" s="105"/>
      <c r="CZ60" s="105"/>
      <c r="DA60" s="105"/>
      <c r="DB60" s="105"/>
      <c r="DC60" s="105"/>
      <c r="DD60" s="105"/>
      <c r="DE60" s="107">
        <f>SUM(Tabelle4[[#This Row],[Aufwand ]],Tabelle4[[#This Row],[Aufwand 2]],Tabelle4[[#This Row],[Aufwand 3]],Tabelle4[[#This Row],[Aufwand 4]])</f>
        <v>0</v>
      </c>
      <c r="DF60" s="105"/>
      <c r="DG60" s="105"/>
      <c r="DH60" s="105"/>
      <c r="DI60" s="105"/>
      <c r="DJ60" s="105"/>
      <c r="DK60" s="105"/>
      <c r="DL60" s="105"/>
      <c r="DM60" s="105"/>
      <c r="DN60" s="107">
        <f>SUM(Tabelle4[[#This Row],[Aufwand  ]],Tabelle4[[#This Row],[Aufwand  2]],Tabelle4[[#This Row],[Aufwand  3]],Tabelle4[[#This Row],[Aufwand  4]])</f>
        <v>0</v>
      </c>
      <c r="DO60" s="105"/>
      <c r="DP60" s="105"/>
      <c r="DQ60" s="105"/>
      <c r="DR60" s="105"/>
      <c r="DS60" s="105"/>
      <c r="DT60" s="105"/>
      <c r="DU60" s="105"/>
      <c r="DV60" s="105"/>
      <c r="DW60" s="107">
        <f>SUM(Tabelle4[[#This Row],[Aufwand   ]],Tabelle4[[#This Row],[Aufwand   2]],Tabelle4[[#This Row],[Aufwand   3]],Tabelle4[[#This Row],[Aufwand   4]])</f>
        <v>0</v>
      </c>
      <c r="DX60" s="105"/>
      <c r="DY60" s="105"/>
      <c r="DZ60" s="105"/>
      <c r="EA60" s="105"/>
      <c r="EB60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60" s="122">
        <f>Tabelle4[[#This Row],[Gesamaufwand]]/2000</f>
        <v>0</v>
      </c>
      <c r="ED60" s="47"/>
      <c r="EE60" s="47"/>
      <c r="EF60" s="47"/>
      <c r="EG60" s="47"/>
      <c r="EH60" s="47"/>
      <c r="EI60" s="47"/>
      <c r="EJ60" s="47"/>
      <c r="EK60" s="47"/>
      <c r="EL60" s="47"/>
    </row>
    <row r="61" spans="1:142">
      <c r="A61" s="255" t="s">
        <v>282</v>
      </c>
      <c r="B61" s="251" t="s">
        <v>105</v>
      </c>
      <c r="C61" s="254" t="s">
        <v>67</v>
      </c>
      <c r="D61" s="251" t="s">
        <v>914</v>
      </c>
      <c r="E61" s="251" t="s">
        <v>112</v>
      </c>
      <c r="F61" s="253">
        <v>2</v>
      </c>
      <c r="G61" s="253">
        <v>1</v>
      </c>
      <c r="H61" s="253"/>
      <c r="I61" s="254" t="s">
        <v>95</v>
      </c>
      <c r="J61" s="254"/>
      <c r="K61" s="105"/>
      <c r="L61" s="105"/>
      <c r="M61" s="48"/>
      <c r="N61" s="105"/>
      <c r="O61" s="255" t="s">
        <v>283</v>
      </c>
      <c r="P61" s="261">
        <v>1</v>
      </c>
      <c r="Q61" s="261">
        <v>0</v>
      </c>
      <c r="R61" s="261">
        <v>0</v>
      </c>
      <c r="S61" s="262" t="s">
        <v>284</v>
      </c>
      <c r="T61" s="263" t="s">
        <v>75</v>
      </c>
      <c r="U61" s="105"/>
      <c r="V61" s="259" t="s">
        <v>12</v>
      </c>
      <c r="W61" s="105" t="s">
        <v>7</v>
      </c>
      <c r="X61" s="105" t="s">
        <v>11</v>
      </c>
      <c r="Y61" s="105" t="s">
        <v>22</v>
      </c>
      <c r="Z61" s="105" t="s">
        <v>860</v>
      </c>
      <c r="AA61" s="105" t="s">
        <v>639</v>
      </c>
      <c r="AB61" s="105" t="s">
        <v>639</v>
      </c>
      <c r="AC61" s="105" t="s">
        <v>639</v>
      </c>
      <c r="AD61" s="105" t="s">
        <v>12</v>
      </c>
      <c r="AE61" s="105"/>
      <c r="AF61" s="105"/>
      <c r="AG61" s="105"/>
      <c r="AH61" s="115" t="s">
        <v>21</v>
      </c>
      <c r="AI61" s="115"/>
      <c r="AJ61" s="115"/>
      <c r="AK61" s="105" t="s">
        <v>817</v>
      </c>
      <c r="AL61" s="115"/>
      <c r="AM61" s="115"/>
      <c r="AN61" s="115"/>
      <c r="AO61" s="260">
        <f>Tabelle4[[#This Row],[Kredit-  / Budgetsumme
(RADAR: Gesamtkosten S)]]-Tabelle4[[#This Row],[Netto-Ausgaben Vorjahre ]]</f>
        <v>0</v>
      </c>
      <c r="AP61" s="310"/>
      <c r="AQ61" s="311"/>
      <c r="AR61" s="115">
        <f>Tabelle4[[#This Row],[Kreditrest per 1.1. aktuelles Jahr]]-Tabelle4[[#This Row],[Prognose 2018
(RADAR: Kosten 2018 S)]]</f>
        <v>0</v>
      </c>
      <c r="AS61" s="115"/>
      <c r="AT61" s="311"/>
      <c r="AU61" s="115"/>
      <c r="AV61" s="311"/>
      <c r="AW61" s="115"/>
      <c r="AX61" s="311"/>
      <c r="AY61" s="115"/>
      <c r="AZ61" s="311"/>
      <c r="BA61" s="115"/>
      <c r="BB61" s="311"/>
      <c r="BC61" s="115"/>
      <c r="BD61" s="311"/>
      <c r="BE61" s="115"/>
      <c r="BF61" s="311"/>
      <c r="BG61" s="115"/>
      <c r="BH61" s="311"/>
      <c r="BI61" s="115"/>
      <c r="BJ61" s="115"/>
      <c r="BK61" s="264"/>
      <c r="BL61" s="105"/>
      <c r="BM61" s="106"/>
      <c r="BN61" s="106"/>
      <c r="BO61" s="106"/>
      <c r="BP61" s="106"/>
      <c r="BQ61" s="106"/>
      <c r="BR61" s="106"/>
      <c r="BS61" s="106"/>
      <c r="BT61" s="108">
        <f>SUM(Tabelle4[[#This Row],[Projektverantwortung
(Lenkungsausschuss) ]:[Kommunikation ]])</f>
        <v>0</v>
      </c>
      <c r="BU61" s="105"/>
      <c r="BV61" s="106"/>
      <c r="BW61" s="106"/>
      <c r="BX61" s="106"/>
      <c r="BY61" s="106"/>
      <c r="BZ61" s="106"/>
      <c r="CA61" s="106"/>
      <c r="CB61" s="106"/>
      <c r="CC61" s="108">
        <f>SUM(Tabelle4[[#This Row],[Projektverantwortung
(Lenkungsausschuss)   ]:[Kommunikation   ]])</f>
        <v>0</v>
      </c>
      <c r="CD61" s="105"/>
      <c r="CE61" s="106"/>
      <c r="CF61" s="106"/>
      <c r="CG61" s="106"/>
      <c r="CH61" s="106"/>
      <c r="CI61" s="106"/>
      <c r="CJ61" s="106"/>
      <c r="CK61" s="106"/>
      <c r="CL61" s="108">
        <f>SUM(Tabelle4[[#This Row],[Projektverantwortung
(Lenkungsausschuss).]:[Kommunikation    ]])</f>
        <v>0</v>
      </c>
      <c r="CM61" s="105"/>
      <c r="CN61" s="106"/>
      <c r="CO61" s="106"/>
      <c r="CP61" s="106"/>
      <c r="CQ61" s="106"/>
      <c r="CR61" s="106"/>
      <c r="CS61" s="106"/>
      <c r="CT61" s="106"/>
      <c r="CU61" s="108">
        <f>SUM(Tabelle4[[#This Row],[Projektverantwortung
(Lenkungsausschuss)    ]:[Kommunikation     ]])</f>
        <v>0</v>
      </c>
      <c r="CV61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61" s="105"/>
      <c r="CX61" s="105"/>
      <c r="CY61" s="105"/>
      <c r="CZ61" s="105"/>
      <c r="DA61" s="105"/>
      <c r="DB61" s="105"/>
      <c r="DC61" s="105"/>
      <c r="DD61" s="105"/>
      <c r="DE61" s="107">
        <f>SUM(Tabelle4[[#This Row],[Aufwand ]],Tabelle4[[#This Row],[Aufwand 2]],Tabelle4[[#This Row],[Aufwand 3]],Tabelle4[[#This Row],[Aufwand 4]])</f>
        <v>0</v>
      </c>
      <c r="DF61" s="105"/>
      <c r="DG61" s="105"/>
      <c r="DH61" s="105"/>
      <c r="DI61" s="105"/>
      <c r="DJ61" s="105"/>
      <c r="DK61" s="105"/>
      <c r="DL61" s="105"/>
      <c r="DM61" s="105"/>
      <c r="DN61" s="107">
        <f>SUM(Tabelle4[[#This Row],[Aufwand  ]],Tabelle4[[#This Row],[Aufwand  2]],Tabelle4[[#This Row],[Aufwand  3]],Tabelle4[[#This Row],[Aufwand  4]])</f>
        <v>0</v>
      </c>
      <c r="DO61" s="105"/>
      <c r="DP61" s="105"/>
      <c r="DQ61" s="105"/>
      <c r="DR61" s="105"/>
      <c r="DS61" s="105"/>
      <c r="DT61" s="105"/>
      <c r="DU61" s="105"/>
      <c r="DV61" s="105"/>
      <c r="DW61" s="107">
        <f>SUM(Tabelle4[[#This Row],[Aufwand   ]],Tabelle4[[#This Row],[Aufwand   2]],Tabelle4[[#This Row],[Aufwand   3]],Tabelle4[[#This Row],[Aufwand   4]])</f>
        <v>0</v>
      </c>
      <c r="DX61" s="105"/>
      <c r="DY61" s="105"/>
      <c r="DZ61" s="105"/>
      <c r="EA61" s="105"/>
      <c r="EB61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61" s="122">
        <f>Tabelle4[[#This Row],[Gesamaufwand]]/2000</f>
        <v>0</v>
      </c>
      <c r="ED61" s="47"/>
      <c r="EE61" s="47"/>
      <c r="EF61" s="47"/>
      <c r="EG61" s="47"/>
      <c r="EH61" s="47"/>
      <c r="EI61" s="47"/>
      <c r="EJ61" s="47"/>
      <c r="EK61" s="47"/>
      <c r="EL61" s="47"/>
    </row>
    <row r="62" spans="1:142">
      <c r="A62" s="255" t="s">
        <v>461</v>
      </c>
      <c r="B62" s="251" t="s">
        <v>105</v>
      </c>
      <c r="C62" s="254" t="s">
        <v>68</v>
      </c>
      <c r="D62" s="251" t="s">
        <v>913</v>
      </c>
      <c r="E62" s="251" t="s">
        <v>97</v>
      </c>
      <c r="F62" s="253">
        <v>3</v>
      </c>
      <c r="G62" s="253">
        <v>2</v>
      </c>
      <c r="H62" s="253"/>
      <c r="I62" s="254" t="s">
        <v>95</v>
      </c>
      <c r="J62" s="254"/>
      <c r="K62" s="105"/>
      <c r="L62" s="105"/>
      <c r="M62" s="48"/>
      <c r="N62" s="105"/>
      <c r="O62" s="255" t="s">
        <v>462</v>
      </c>
      <c r="P62" s="261">
        <v>2</v>
      </c>
      <c r="Q62" s="261">
        <v>0</v>
      </c>
      <c r="R62" s="261">
        <v>0</v>
      </c>
      <c r="S62" s="262" t="s">
        <v>224</v>
      </c>
      <c r="T62" s="263" t="s">
        <v>672</v>
      </c>
      <c r="U62" s="105"/>
      <c r="V62" s="259" t="s">
        <v>610</v>
      </c>
      <c r="W62" s="105" t="s">
        <v>6</v>
      </c>
      <c r="X62" s="105" t="s">
        <v>11</v>
      </c>
      <c r="Y62" s="105" t="s">
        <v>690</v>
      </c>
      <c r="Z62" s="105" t="s">
        <v>86</v>
      </c>
      <c r="AA62" s="105" t="s">
        <v>639</v>
      </c>
      <c r="AB62" s="105" t="s">
        <v>639</v>
      </c>
      <c r="AC62" s="105" t="s">
        <v>639</v>
      </c>
      <c r="AD62" s="105" t="s">
        <v>639</v>
      </c>
      <c r="AE62" s="105"/>
      <c r="AF62" s="105"/>
      <c r="AG62" s="105"/>
      <c r="AH62" s="115" t="s">
        <v>621</v>
      </c>
      <c r="AI62" s="115"/>
      <c r="AJ62" s="115"/>
      <c r="AK62" s="105"/>
      <c r="AL62" s="115"/>
      <c r="AM62" s="115"/>
      <c r="AN62" s="115"/>
      <c r="AO62" s="260">
        <f>Tabelle4[[#This Row],[Kredit-  / Budgetsumme
(RADAR: Gesamtkosten S)]]-Tabelle4[[#This Row],[Netto-Ausgaben Vorjahre ]]</f>
        <v>0</v>
      </c>
      <c r="AP62" s="310"/>
      <c r="AQ62" s="311"/>
      <c r="AR62" s="115">
        <f>Tabelle4[[#This Row],[Kreditrest per 1.1. aktuelles Jahr]]-Tabelle4[[#This Row],[Prognose 2018
(RADAR: Kosten 2018 S)]]</f>
        <v>0</v>
      </c>
      <c r="AS62" s="115"/>
      <c r="AT62" s="311"/>
      <c r="AU62" s="115"/>
      <c r="AV62" s="311"/>
      <c r="AW62" s="115"/>
      <c r="AX62" s="311"/>
      <c r="AY62" s="115"/>
      <c r="AZ62" s="311"/>
      <c r="BA62" s="115"/>
      <c r="BB62" s="311"/>
      <c r="BC62" s="115"/>
      <c r="BD62" s="311"/>
      <c r="BE62" s="115"/>
      <c r="BF62" s="311"/>
      <c r="BG62" s="115"/>
      <c r="BH62" s="311"/>
      <c r="BI62" s="115"/>
      <c r="BJ62" s="115"/>
      <c r="BK62" s="264"/>
      <c r="BL62" s="105"/>
      <c r="BM62" s="106"/>
      <c r="BN62" s="106"/>
      <c r="BO62" s="106">
        <v>0</v>
      </c>
      <c r="BP62" s="106"/>
      <c r="BQ62" s="106"/>
      <c r="BR62" s="106"/>
      <c r="BS62" s="106"/>
      <c r="BT62" s="108">
        <f>SUM(Tabelle4[[#This Row],[Projektverantwortung
(Lenkungsausschuss) ]:[Kommunikation ]])</f>
        <v>0</v>
      </c>
      <c r="BU62" s="105"/>
      <c r="BV62" s="106"/>
      <c r="BW62" s="106"/>
      <c r="BX62" s="106">
        <v>20</v>
      </c>
      <c r="BY62" s="106"/>
      <c r="BZ62" s="106"/>
      <c r="CA62" s="106"/>
      <c r="CB62" s="106"/>
      <c r="CC62" s="108">
        <f>SUM(Tabelle4[[#This Row],[Projektverantwortung
(Lenkungsausschuss)   ]:[Kommunikation   ]])</f>
        <v>20</v>
      </c>
      <c r="CD62" s="105"/>
      <c r="CE62" s="106">
        <v>0</v>
      </c>
      <c r="CF62" s="106">
        <v>0</v>
      </c>
      <c r="CG62" s="106">
        <v>0</v>
      </c>
      <c r="CH62" s="106">
        <v>0</v>
      </c>
      <c r="CI62" s="106">
        <v>0</v>
      </c>
      <c r="CJ62" s="106">
        <v>0</v>
      </c>
      <c r="CK62" s="106">
        <v>0</v>
      </c>
      <c r="CL62" s="108">
        <f>SUM(Tabelle4[[#This Row],[Projektverantwortung
(Lenkungsausschuss).]:[Kommunikation    ]])</f>
        <v>0</v>
      </c>
      <c r="CM62" s="105"/>
      <c r="CN62" s="106">
        <v>0</v>
      </c>
      <c r="CO62" s="106">
        <v>0</v>
      </c>
      <c r="CP62" s="106">
        <v>0</v>
      </c>
      <c r="CQ62" s="106">
        <v>0</v>
      </c>
      <c r="CR62" s="106">
        <v>0</v>
      </c>
      <c r="CS62" s="106">
        <v>0</v>
      </c>
      <c r="CT62" s="106">
        <v>0</v>
      </c>
      <c r="CU62" s="108">
        <f>SUM(Tabelle4[[#This Row],[Projektverantwortung
(Lenkungsausschuss)    ]:[Kommunikation     ]])</f>
        <v>0</v>
      </c>
      <c r="CV62" s="107">
        <f>SUM(Tabelle4[[#This Row],[Total Aufwand
1. Quartal 2018]],Tabelle4[[#This Row],[Total Aufwand
2. Quartal 2018]],Tabelle4[[#This Row],[Total Aufwand
3. Quartal 2018]],Tabelle4[[#This Row],[Total Aufwand
4. Quartal 2018]])</f>
        <v>20</v>
      </c>
      <c r="CW62" s="105"/>
      <c r="CX62" s="105"/>
      <c r="CY62" s="105"/>
      <c r="CZ62" s="105"/>
      <c r="DA62" s="105"/>
      <c r="DB62" s="105"/>
      <c r="DC62" s="105"/>
      <c r="DD62" s="105"/>
      <c r="DE62" s="107">
        <f>SUM(Tabelle4[[#This Row],[Aufwand ]],Tabelle4[[#This Row],[Aufwand 2]],Tabelle4[[#This Row],[Aufwand 3]],Tabelle4[[#This Row],[Aufwand 4]])</f>
        <v>0</v>
      </c>
      <c r="DF62" s="105"/>
      <c r="DG62" s="105"/>
      <c r="DH62" s="105"/>
      <c r="DI62" s="105"/>
      <c r="DJ62" s="105"/>
      <c r="DK62" s="105"/>
      <c r="DL62" s="105"/>
      <c r="DM62" s="105"/>
      <c r="DN62" s="107">
        <f>SUM(Tabelle4[[#This Row],[Aufwand  ]],Tabelle4[[#This Row],[Aufwand  2]],Tabelle4[[#This Row],[Aufwand  3]],Tabelle4[[#This Row],[Aufwand  4]])</f>
        <v>0</v>
      </c>
      <c r="DO62" s="105"/>
      <c r="DP62" s="105"/>
      <c r="DQ62" s="105"/>
      <c r="DR62" s="105"/>
      <c r="DS62" s="105"/>
      <c r="DT62" s="105"/>
      <c r="DU62" s="105"/>
      <c r="DV62" s="105"/>
      <c r="DW62" s="107">
        <f>SUM(Tabelle4[[#This Row],[Aufwand   ]],Tabelle4[[#This Row],[Aufwand   2]],Tabelle4[[#This Row],[Aufwand   3]],Tabelle4[[#This Row],[Aufwand   4]])</f>
        <v>0</v>
      </c>
      <c r="DX62" s="105"/>
      <c r="DY62" s="105"/>
      <c r="DZ62" s="105"/>
      <c r="EA62" s="105"/>
      <c r="EB62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20</v>
      </c>
      <c r="EC62" s="122">
        <f>Tabelle4[[#This Row],[Gesamaufwand]]/2000</f>
        <v>0.01</v>
      </c>
      <c r="ED62" s="48"/>
      <c r="EE62" s="48"/>
      <c r="EF62" s="48"/>
      <c r="EG62" s="48"/>
      <c r="EH62" s="48"/>
      <c r="EI62" s="47"/>
      <c r="EJ62" s="47"/>
      <c r="EK62" s="47"/>
      <c r="EL62" s="47"/>
    </row>
    <row r="63" spans="1:142">
      <c r="A63" s="255" t="s">
        <v>463</v>
      </c>
      <c r="B63" s="251" t="s">
        <v>105</v>
      </c>
      <c r="C63" s="254" t="s">
        <v>75</v>
      </c>
      <c r="D63" s="251" t="s">
        <v>914</v>
      </c>
      <c r="E63" s="251" t="s">
        <v>112</v>
      </c>
      <c r="F63" s="253">
        <v>1</v>
      </c>
      <c r="G63" s="253">
        <v>1</v>
      </c>
      <c r="H63" s="253"/>
      <c r="I63" s="254" t="s">
        <v>94</v>
      </c>
      <c r="J63" s="254"/>
      <c r="K63" s="105"/>
      <c r="L63" s="105"/>
      <c r="M63" s="48"/>
      <c r="N63" s="105"/>
      <c r="O63" s="277" t="s">
        <v>464</v>
      </c>
      <c r="P63" s="278">
        <v>2</v>
      </c>
      <c r="Q63" s="261">
        <v>0</v>
      </c>
      <c r="R63" s="261">
        <v>0</v>
      </c>
      <c r="S63" s="262" t="s">
        <v>226</v>
      </c>
      <c r="T63" s="263" t="s">
        <v>75</v>
      </c>
      <c r="U63" s="105"/>
      <c r="V63" s="259" t="s">
        <v>12</v>
      </c>
      <c r="W63" s="105" t="s">
        <v>7</v>
      </c>
      <c r="X63" s="105" t="s">
        <v>75</v>
      </c>
      <c r="Y63" s="105" t="s">
        <v>690</v>
      </c>
      <c r="Z63" s="105" t="s">
        <v>75</v>
      </c>
      <c r="AA63" s="105" t="s">
        <v>75</v>
      </c>
      <c r="AB63" s="105" t="s">
        <v>75</v>
      </c>
      <c r="AC63" s="105" t="s">
        <v>75</v>
      </c>
      <c r="AD63" s="105"/>
      <c r="AE63" s="105"/>
      <c r="AF63" s="105"/>
      <c r="AG63" s="105"/>
      <c r="AH63" s="115" t="s">
        <v>621</v>
      </c>
      <c r="AI63" s="115"/>
      <c r="AJ63" s="115"/>
      <c r="AK63" s="105" t="s">
        <v>814</v>
      </c>
      <c r="AL63" s="115"/>
      <c r="AM63" s="115"/>
      <c r="AN63" s="115"/>
      <c r="AO63" s="260">
        <f>Tabelle4[[#This Row],[Kredit-  / Budgetsumme
(RADAR: Gesamtkosten S)]]-Tabelle4[[#This Row],[Netto-Ausgaben Vorjahre ]]</f>
        <v>0</v>
      </c>
      <c r="AP63" s="310"/>
      <c r="AQ63" s="311"/>
      <c r="AR63" s="115">
        <f>Tabelle4[[#This Row],[Kreditrest per 1.1. aktuelles Jahr]]-Tabelle4[[#This Row],[Prognose 2018
(RADAR: Kosten 2018 S)]]</f>
        <v>0</v>
      </c>
      <c r="AS63" s="115"/>
      <c r="AT63" s="311"/>
      <c r="AU63" s="115"/>
      <c r="AV63" s="311"/>
      <c r="AW63" s="115"/>
      <c r="AX63" s="311"/>
      <c r="AY63" s="115"/>
      <c r="AZ63" s="311"/>
      <c r="BA63" s="115"/>
      <c r="BB63" s="311"/>
      <c r="BC63" s="115"/>
      <c r="BD63" s="311"/>
      <c r="BE63" s="115"/>
      <c r="BF63" s="311"/>
      <c r="BG63" s="115"/>
      <c r="BH63" s="311"/>
      <c r="BI63" s="115"/>
      <c r="BJ63" s="115"/>
      <c r="BK63" s="264"/>
      <c r="BL63" s="105"/>
      <c r="BM63" s="106"/>
      <c r="BN63" s="106"/>
      <c r="BO63" s="106"/>
      <c r="BP63" s="106"/>
      <c r="BQ63" s="106"/>
      <c r="BR63" s="106"/>
      <c r="BS63" s="106"/>
      <c r="BT63" s="108">
        <f>SUM(Tabelle4[[#This Row],[Projektverantwortung
(Lenkungsausschuss) ]:[Kommunikation ]])</f>
        <v>0</v>
      </c>
      <c r="BU63" s="105"/>
      <c r="BV63" s="106"/>
      <c r="BW63" s="106"/>
      <c r="BX63" s="106"/>
      <c r="BY63" s="106"/>
      <c r="BZ63" s="106"/>
      <c r="CA63" s="106"/>
      <c r="CB63" s="106"/>
      <c r="CC63" s="108">
        <f>SUM(Tabelle4[[#This Row],[Projektverantwortung
(Lenkungsausschuss)   ]:[Kommunikation   ]])</f>
        <v>0</v>
      </c>
      <c r="CD63" s="105"/>
      <c r="CE63" s="106"/>
      <c r="CF63" s="106"/>
      <c r="CG63" s="106"/>
      <c r="CH63" s="106"/>
      <c r="CI63" s="106"/>
      <c r="CJ63" s="106"/>
      <c r="CK63" s="106"/>
      <c r="CL63" s="108">
        <f>SUM(Tabelle4[[#This Row],[Projektverantwortung
(Lenkungsausschuss).]:[Kommunikation    ]])</f>
        <v>0</v>
      </c>
      <c r="CM63" s="105"/>
      <c r="CN63" s="106"/>
      <c r="CO63" s="106"/>
      <c r="CP63" s="106"/>
      <c r="CQ63" s="106"/>
      <c r="CR63" s="106"/>
      <c r="CS63" s="106"/>
      <c r="CT63" s="106"/>
      <c r="CU63" s="108">
        <f>SUM(Tabelle4[[#This Row],[Projektverantwortung
(Lenkungsausschuss)    ]:[Kommunikation     ]])</f>
        <v>0</v>
      </c>
      <c r="CV63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63" s="105"/>
      <c r="CX63" s="105"/>
      <c r="CY63" s="105"/>
      <c r="CZ63" s="105"/>
      <c r="DA63" s="105"/>
      <c r="DB63" s="105"/>
      <c r="DC63" s="105"/>
      <c r="DD63" s="105"/>
      <c r="DE63" s="107">
        <f>SUM(Tabelle4[[#This Row],[Aufwand ]],Tabelle4[[#This Row],[Aufwand 2]],Tabelle4[[#This Row],[Aufwand 3]],Tabelle4[[#This Row],[Aufwand 4]])</f>
        <v>0</v>
      </c>
      <c r="DF63" s="105"/>
      <c r="DG63" s="105"/>
      <c r="DH63" s="105"/>
      <c r="DI63" s="105"/>
      <c r="DJ63" s="105"/>
      <c r="DK63" s="105"/>
      <c r="DL63" s="105"/>
      <c r="DM63" s="105"/>
      <c r="DN63" s="107">
        <f>SUM(Tabelle4[[#This Row],[Aufwand  ]],Tabelle4[[#This Row],[Aufwand  2]],Tabelle4[[#This Row],[Aufwand  3]],Tabelle4[[#This Row],[Aufwand  4]])</f>
        <v>0</v>
      </c>
      <c r="DO63" s="105"/>
      <c r="DP63" s="105"/>
      <c r="DQ63" s="105"/>
      <c r="DR63" s="105"/>
      <c r="DS63" s="105"/>
      <c r="DT63" s="105"/>
      <c r="DU63" s="105"/>
      <c r="DV63" s="105"/>
      <c r="DW63" s="107">
        <f>SUM(Tabelle4[[#This Row],[Aufwand   ]],Tabelle4[[#This Row],[Aufwand   2]],Tabelle4[[#This Row],[Aufwand   3]],Tabelle4[[#This Row],[Aufwand   4]])</f>
        <v>0</v>
      </c>
      <c r="DX63" s="105"/>
      <c r="DY63" s="105"/>
      <c r="DZ63" s="105"/>
      <c r="EA63" s="105"/>
      <c r="EB63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63" s="122">
        <f>Tabelle4[[#This Row],[Gesamaufwand]]/2000</f>
        <v>0</v>
      </c>
      <c r="ED63" s="47"/>
      <c r="EE63" s="47"/>
      <c r="EF63" s="47"/>
      <c r="EG63" s="47"/>
      <c r="EH63" s="47"/>
      <c r="EI63" s="47"/>
      <c r="EJ63" s="47"/>
      <c r="EK63" s="47"/>
      <c r="EL63" s="47"/>
    </row>
    <row r="64" spans="1:142">
      <c r="A64" s="255" t="s">
        <v>465</v>
      </c>
      <c r="B64" s="251" t="s">
        <v>105</v>
      </c>
      <c r="C64" s="254" t="s">
        <v>68</v>
      </c>
      <c r="D64" s="251" t="s">
        <v>913</v>
      </c>
      <c r="E64" s="251" t="s">
        <v>695</v>
      </c>
      <c r="F64" s="253">
        <v>4</v>
      </c>
      <c r="G64" s="253">
        <v>3</v>
      </c>
      <c r="H64" s="253"/>
      <c r="I64" s="254" t="s">
        <v>95</v>
      </c>
      <c r="J64" s="254"/>
      <c r="K64" s="105"/>
      <c r="L64" s="105"/>
      <c r="M64" s="48"/>
      <c r="N64" s="105"/>
      <c r="O64" s="255" t="s">
        <v>466</v>
      </c>
      <c r="P64" s="261">
        <v>2</v>
      </c>
      <c r="Q64" s="261">
        <v>0</v>
      </c>
      <c r="R64" s="261">
        <v>0</v>
      </c>
      <c r="S64" s="262" t="s">
        <v>243</v>
      </c>
      <c r="T64" s="263" t="s">
        <v>660</v>
      </c>
      <c r="U64" s="105"/>
      <c r="V64" s="259" t="s">
        <v>607</v>
      </c>
      <c r="W64" s="105" t="s">
        <v>6</v>
      </c>
      <c r="X64" s="105" t="s">
        <v>86</v>
      </c>
      <c r="Y64" s="105" t="s">
        <v>690</v>
      </c>
      <c r="Z64" s="105" t="s">
        <v>81</v>
      </c>
      <c r="AA64" s="105" t="s">
        <v>639</v>
      </c>
      <c r="AB64" s="105" t="s">
        <v>639</v>
      </c>
      <c r="AC64" s="105" t="s">
        <v>639</v>
      </c>
      <c r="AD64" s="105" t="s">
        <v>639</v>
      </c>
      <c r="AE64" s="105"/>
      <c r="AF64" s="105"/>
      <c r="AG64" s="105"/>
      <c r="AH64" s="115" t="s">
        <v>621</v>
      </c>
      <c r="AI64" s="115"/>
      <c r="AJ64" s="115"/>
      <c r="AK64" s="105"/>
      <c r="AL64" s="115"/>
      <c r="AM64" s="115"/>
      <c r="AN64" s="115"/>
      <c r="AO64" s="260">
        <f>Tabelle4[[#This Row],[Kredit-  / Budgetsumme
(RADAR: Gesamtkosten S)]]-Tabelle4[[#This Row],[Netto-Ausgaben Vorjahre ]]</f>
        <v>0</v>
      </c>
      <c r="AP64" s="310"/>
      <c r="AQ64" s="311"/>
      <c r="AR64" s="115">
        <f>Tabelle4[[#This Row],[Kreditrest per 1.1. aktuelles Jahr]]-Tabelle4[[#This Row],[Prognose 2018
(RADAR: Kosten 2018 S)]]</f>
        <v>0</v>
      </c>
      <c r="AS64" s="115"/>
      <c r="AT64" s="311"/>
      <c r="AU64" s="115"/>
      <c r="AV64" s="311"/>
      <c r="AW64" s="115"/>
      <c r="AX64" s="311"/>
      <c r="AY64" s="115"/>
      <c r="AZ64" s="311"/>
      <c r="BA64" s="115"/>
      <c r="BB64" s="311"/>
      <c r="BC64" s="115"/>
      <c r="BD64" s="311"/>
      <c r="BE64" s="115"/>
      <c r="BF64" s="311"/>
      <c r="BG64" s="115"/>
      <c r="BH64" s="311"/>
      <c r="BI64" s="115"/>
      <c r="BJ64" s="115"/>
      <c r="BK64" s="264"/>
      <c r="BL64" s="105"/>
      <c r="BM64" s="106">
        <v>0</v>
      </c>
      <c r="BN64" s="106">
        <v>0</v>
      </c>
      <c r="BO64" s="106">
        <v>0</v>
      </c>
      <c r="BP64" s="106">
        <v>0</v>
      </c>
      <c r="BQ64" s="106">
        <v>0</v>
      </c>
      <c r="BR64" s="106">
        <v>0</v>
      </c>
      <c r="BS64" s="106">
        <v>0</v>
      </c>
      <c r="BT64" s="108">
        <f>SUM(Tabelle4[[#This Row],[Projektverantwortung
(Lenkungsausschuss) ]:[Kommunikation ]])</f>
        <v>0</v>
      </c>
      <c r="BU64" s="105"/>
      <c r="BV64" s="106">
        <v>0</v>
      </c>
      <c r="BW64" s="106">
        <v>0</v>
      </c>
      <c r="BX64" s="106">
        <v>0</v>
      </c>
      <c r="BY64" s="106">
        <v>0</v>
      </c>
      <c r="BZ64" s="106">
        <v>0</v>
      </c>
      <c r="CA64" s="106">
        <v>0</v>
      </c>
      <c r="CB64" s="106">
        <v>0</v>
      </c>
      <c r="CC64" s="108">
        <f>SUM(Tabelle4[[#This Row],[Projektverantwortung
(Lenkungsausschuss)   ]:[Kommunikation   ]])</f>
        <v>0</v>
      </c>
      <c r="CD64" s="105"/>
      <c r="CE64" s="106">
        <v>0</v>
      </c>
      <c r="CF64" s="106">
        <v>0</v>
      </c>
      <c r="CG64" s="106">
        <v>0</v>
      </c>
      <c r="CH64" s="106">
        <v>0</v>
      </c>
      <c r="CI64" s="106">
        <v>0</v>
      </c>
      <c r="CJ64" s="106">
        <v>0</v>
      </c>
      <c r="CK64" s="106">
        <v>0</v>
      </c>
      <c r="CL64" s="108">
        <f>SUM(Tabelle4[[#This Row],[Projektverantwortung
(Lenkungsausschuss).]:[Kommunikation    ]])</f>
        <v>0</v>
      </c>
      <c r="CM64" s="105"/>
      <c r="CN64" s="106">
        <v>0</v>
      </c>
      <c r="CO64" s="106">
        <v>0</v>
      </c>
      <c r="CP64" s="106">
        <v>0</v>
      </c>
      <c r="CQ64" s="106">
        <v>0</v>
      </c>
      <c r="CR64" s="106">
        <v>0</v>
      </c>
      <c r="CS64" s="106">
        <v>0</v>
      </c>
      <c r="CT64" s="106">
        <v>0</v>
      </c>
      <c r="CU64" s="108">
        <f>SUM(Tabelle4[[#This Row],[Projektverantwortung
(Lenkungsausschuss)    ]:[Kommunikation     ]])</f>
        <v>0</v>
      </c>
      <c r="CV64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64" s="105"/>
      <c r="CX64" s="105"/>
      <c r="CY64" s="105"/>
      <c r="CZ64" s="105"/>
      <c r="DA64" s="105"/>
      <c r="DB64" s="105"/>
      <c r="DC64" s="105"/>
      <c r="DD64" s="105"/>
      <c r="DE64" s="107">
        <f>SUM(Tabelle4[[#This Row],[Aufwand ]],Tabelle4[[#This Row],[Aufwand 2]],Tabelle4[[#This Row],[Aufwand 3]],Tabelle4[[#This Row],[Aufwand 4]])</f>
        <v>0</v>
      </c>
      <c r="DF64" s="105"/>
      <c r="DG64" s="105"/>
      <c r="DH64" s="105"/>
      <c r="DI64" s="105"/>
      <c r="DJ64" s="105"/>
      <c r="DK64" s="105"/>
      <c r="DL64" s="105"/>
      <c r="DM64" s="105"/>
      <c r="DN64" s="107">
        <f>SUM(Tabelle4[[#This Row],[Aufwand  ]],Tabelle4[[#This Row],[Aufwand  2]],Tabelle4[[#This Row],[Aufwand  3]],Tabelle4[[#This Row],[Aufwand  4]])</f>
        <v>0</v>
      </c>
      <c r="DO64" s="105"/>
      <c r="DP64" s="105"/>
      <c r="DQ64" s="105"/>
      <c r="DR64" s="105"/>
      <c r="DS64" s="105"/>
      <c r="DT64" s="105"/>
      <c r="DU64" s="105"/>
      <c r="DV64" s="105"/>
      <c r="DW64" s="107">
        <f>SUM(Tabelle4[[#This Row],[Aufwand   ]],Tabelle4[[#This Row],[Aufwand   2]],Tabelle4[[#This Row],[Aufwand   3]],Tabelle4[[#This Row],[Aufwand   4]])</f>
        <v>0</v>
      </c>
      <c r="DX64" s="105"/>
      <c r="DY64" s="105"/>
      <c r="DZ64" s="105"/>
      <c r="EA64" s="105"/>
      <c r="EB64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64" s="122">
        <f>Tabelle4[[#This Row],[Gesamaufwand]]/2000</f>
        <v>0</v>
      </c>
      <c r="ED64" s="47"/>
      <c r="EE64" s="47"/>
      <c r="EF64" s="47"/>
      <c r="EG64" s="47"/>
      <c r="EH64" s="47"/>
      <c r="EI64" s="47"/>
      <c r="EJ64" s="47"/>
      <c r="EK64" s="47"/>
      <c r="EL64" s="47"/>
    </row>
    <row r="65" spans="1:142">
      <c r="A65" s="255" t="s">
        <v>1158</v>
      </c>
      <c r="B65" s="251"/>
      <c r="C65" s="254"/>
      <c r="D65" s="251"/>
      <c r="E65" s="251"/>
      <c r="F65" s="253"/>
      <c r="G65" s="253"/>
      <c r="H65" s="253"/>
      <c r="I65" s="254"/>
      <c r="J65" s="254"/>
      <c r="K65" s="105"/>
      <c r="L65" s="105"/>
      <c r="M65" s="48"/>
      <c r="N65" s="105"/>
      <c r="O65" s="255"/>
      <c r="P65" s="261"/>
      <c r="Q65" s="261"/>
      <c r="R65" s="261"/>
      <c r="S65" s="262"/>
      <c r="T65" s="263"/>
      <c r="U65" s="105"/>
      <c r="V65" s="259"/>
      <c r="W65" s="105"/>
      <c r="X65" s="105"/>
      <c r="Y65" s="105"/>
      <c r="Z65" s="105"/>
      <c r="AA65" s="105"/>
      <c r="AB65" s="105"/>
      <c r="AC65" s="105"/>
      <c r="AD65" s="105"/>
      <c r="AE65" s="105"/>
      <c r="AF65" s="105"/>
      <c r="AG65" s="105"/>
      <c r="AH65" s="115" t="s">
        <v>1093</v>
      </c>
      <c r="AI65" s="115"/>
      <c r="AJ65" s="115"/>
      <c r="AK65" s="105"/>
      <c r="AL65" s="115"/>
      <c r="AM65" s="115"/>
      <c r="AN65" s="115"/>
      <c r="AO65" s="115"/>
      <c r="AP65" s="311"/>
      <c r="AQ65" s="311">
        <v>35000</v>
      </c>
      <c r="AR65" s="115"/>
      <c r="AS65" s="115"/>
      <c r="AT65" s="311"/>
      <c r="AU65" s="115"/>
      <c r="AV65" s="311"/>
      <c r="AW65" s="115"/>
      <c r="AX65" s="311"/>
      <c r="AY65" s="115"/>
      <c r="AZ65" s="311"/>
      <c r="BA65" s="115"/>
      <c r="BB65" s="311"/>
      <c r="BC65" s="115"/>
      <c r="BD65" s="311"/>
      <c r="BE65" s="115"/>
      <c r="BF65" s="311"/>
      <c r="BG65" s="115"/>
      <c r="BH65" s="311"/>
      <c r="BI65" s="115"/>
      <c r="BJ65" s="115"/>
      <c r="BK65" s="115"/>
      <c r="BL65" s="105"/>
      <c r="BM65" s="106"/>
      <c r="BN65" s="106"/>
      <c r="BO65" s="106"/>
      <c r="BP65" s="106"/>
      <c r="BQ65" s="106"/>
      <c r="BR65" s="106"/>
      <c r="BS65" s="106"/>
      <c r="BT65" s="108">
        <f>SUM(Tabelle4[[#This Row],[Projektverantwortung
(Lenkungsausschuss) ]:[Kommunikation ]])</f>
        <v>0</v>
      </c>
      <c r="BU65" s="108"/>
      <c r="BV65" s="151"/>
      <c r="BW65" s="151"/>
      <c r="BX65" s="151"/>
      <c r="BY65" s="151"/>
      <c r="BZ65" s="151"/>
      <c r="CA65" s="151"/>
      <c r="CB65" s="151"/>
      <c r="CC65" s="108">
        <f>SUM(Tabelle4[[#This Row],[Projektverantwortung
(Lenkungsausschuss)   ]:[Kommunikation   ]])</f>
        <v>0</v>
      </c>
      <c r="CD65" s="108"/>
      <c r="CE65" s="151"/>
      <c r="CF65" s="151"/>
      <c r="CG65" s="151"/>
      <c r="CH65" s="151"/>
      <c r="CI65" s="151"/>
      <c r="CJ65" s="151"/>
      <c r="CK65" s="151"/>
      <c r="CL65" s="108">
        <f>SUM(Tabelle4[[#This Row],[Projektverantwortung
(Lenkungsausschuss).]:[Kommunikation    ]])</f>
        <v>0</v>
      </c>
      <c r="CM65" s="108"/>
      <c r="CN65" s="151"/>
      <c r="CO65" s="151"/>
      <c r="CP65" s="151"/>
      <c r="CQ65" s="151"/>
      <c r="CR65" s="151"/>
      <c r="CS65" s="151"/>
      <c r="CT65" s="151"/>
      <c r="CU65" s="108">
        <f>SUM(Tabelle4[[#This Row],[Projektverantwortung
(Lenkungsausschuss)    ]:[Kommunikation     ]])</f>
        <v>0</v>
      </c>
      <c r="CV65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65" s="105"/>
      <c r="CX65" s="105"/>
      <c r="CY65" s="116"/>
      <c r="CZ65" s="105"/>
      <c r="DA65" s="116"/>
      <c r="DB65" s="105"/>
      <c r="DC65" s="116"/>
      <c r="DD65" s="105"/>
      <c r="DE65" s="107">
        <f>SUM(Tabelle4[[#This Row],[Aufwand ]],Tabelle4[[#This Row],[Aufwand 2]],Tabelle4[[#This Row],[Aufwand 3]],Tabelle4[[#This Row],[Aufwand 4]])</f>
        <v>0</v>
      </c>
      <c r="DF65" s="116"/>
      <c r="DG65" s="105"/>
      <c r="DH65" s="105"/>
      <c r="DI65" s="116"/>
      <c r="DJ65" s="105"/>
      <c r="DK65" s="116"/>
      <c r="DL65" s="105"/>
      <c r="DM65" s="116"/>
      <c r="DN65" s="107">
        <f>SUM(Tabelle4[[#This Row],[Aufwand  ]],Tabelle4[[#This Row],[Aufwand  2]],Tabelle4[[#This Row],[Aufwand  3]],Tabelle4[[#This Row],[Aufwand  4]])</f>
        <v>0</v>
      </c>
      <c r="DO65" s="116"/>
      <c r="DP65" s="116"/>
      <c r="DQ65" s="116"/>
      <c r="DR65" s="105"/>
      <c r="DS65" s="105"/>
      <c r="DT65" s="116"/>
      <c r="DU65" s="105"/>
      <c r="DV65" s="116"/>
      <c r="DW65" s="107" t="e">
        <f>#REF!</f>
        <v>#REF!</v>
      </c>
      <c r="DX65" s="116"/>
      <c r="DY65" s="152"/>
      <c r="DZ65" s="105"/>
      <c r="EA65" s="180"/>
      <c r="EB65" s="181" t="e">
        <f>#REF!</f>
        <v>#REF!</v>
      </c>
      <c r="EC65" s="109"/>
      <c r="ED65" s="47"/>
      <c r="EE65" s="47"/>
      <c r="EF65" s="47"/>
      <c r="EG65" s="47"/>
      <c r="EH65" s="47"/>
      <c r="EI65" s="47"/>
      <c r="EJ65" s="47"/>
      <c r="EK65" s="47"/>
      <c r="EL65" s="47"/>
    </row>
    <row r="66" spans="1:142">
      <c r="A66" s="255" t="s">
        <v>285</v>
      </c>
      <c r="B66" s="251" t="s">
        <v>105</v>
      </c>
      <c r="C66" s="254" t="s">
        <v>67</v>
      </c>
      <c r="D66" s="251" t="s">
        <v>914</v>
      </c>
      <c r="E66" s="251" t="s">
        <v>112</v>
      </c>
      <c r="F66" s="253">
        <v>2</v>
      </c>
      <c r="G66" s="253">
        <v>2</v>
      </c>
      <c r="H66" s="253"/>
      <c r="I66" s="254" t="s">
        <v>95</v>
      </c>
      <c r="J66" s="254"/>
      <c r="K66" s="105"/>
      <c r="L66" s="105"/>
      <c r="M66" s="48"/>
      <c r="N66" s="105"/>
      <c r="O66" s="255" t="s">
        <v>286</v>
      </c>
      <c r="P66" s="261">
        <v>1</v>
      </c>
      <c r="Q66" s="261">
        <v>0</v>
      </c>
      <c r="R66" s="261">
        <v>0</v>
      </c>
      <c r="S66" s="262" t="s">
        <v>287</v>
      </c>
      <c r="T66" s="263" t="s">
        <v>75</v>
      </c>
      <c r="U66" s="105"/>
      <c r="V66" s="259" t="s">
        <v>12</v>
      </c>
      <c r="W66" s="105" t="s">
        <v>7</v>
      </c>
      <c r="X66" s="105" t="s">
        <v>11</v>
      </c>
      <c r="Y66" s="105" t="s">
        <v>690</v>
      </c>
      <c r="Z66" s="105" t="s">
        <v>78</v>
      </c>
      <c r="AA66" s="105" t="s">
        <v>639</v>
      </c>
      <c r="AB66" s="105" t="s">
        <v>639</v>
      </c>
      <c r="AC66" s="105" t="s">
        <v>639</v>
      </c>
      <c r="AD66" s="105" t="s">
        <v>12</v>
      </c>
      <c r="AE66" s="105"/>
      <c r="AF66" s="105"/>
      <c r="AG66" s="105"/>
      <c r="AH66" s="115" t="s">
        <v>802</v>
      </c>
      <c r="AI66" s="115" t="s">
        <v>73</v>
      </c>
      <c r="AJ66" s="115" t="s">
        <v>74</v>
      </c>
      <c r="AK66" s="105" t="s">
        <v>813</v>
      </c>
      <c r="AL66" s="115">
        <v>144000</v>
      </c>
      <c r="AM66" s="115"/>
      <c r="AN66" s="115">
        <v>107635.63</v>
      </c>
      <c r="AO66" s="260">
        <f>Tabelle4[[#This Row],[Kredit-  / Budgetsumme
(RADAR: Gesamtkosten S)]]-Tabelle4[[#This Row],[Netto-Ausgaben Vorjahre ]]</f>
        <v>36364.369999999995</v>
      </c>
      <c r="AP66" s="310"/>
      <c r="AQ66" s="311"/>
      <c r="AR66" s="115">
        <f>Tabelle4[[#This Row],[Kreditrest per 1.1. aktuelles Jahr]]-Tabelle4[[#This Row],[Prognose 2018
(RADAR: Kosten 2018 S)]]</f>
        <v>36364.369999999995</v>
      </c>
      <c r="AS66" s="115"/>
      <c r="AT66" s="311"/>
      <c r="AU66" s="115"/>
      <c r="AV66" s="311"/>
      <c r="AW66" s="115"/>
      <c r="AX66" s="311"/>
      <c r="AY66" s="115"/>
      <c r="AZ66" s="311"/>
      <c r="BA66" s="115"/>
      <c r="BB66" s="311"/>
      <c r="BC66" s="115"/>
      <c r="BD66" s="311"/>
      <c r="BE66" s="115"/>
      <c r="BF66" s="311"/>
      <c r="BG66" s="115"/>
      <c r="BH66" s="311"/>
      <c r="BI66" s="115"/>
      <c r="BJ66" s="115"/>
      <c r="BK66" s="264"/>
      <c r="BL66" s="105"/>
      <c r="BM66" s="106">
        <v>20</v>
      </c>
      <c r="BN66" s="106"/>
      <c r="BO66" s="106">
        <v>40</v>
      </c>
      <c r="BP66" s="106"/>
      <c r="BQ66" s="106"/>
      <c r="BR66" s="106"/>
      <c r="BS66" s="106"/>
      <c r="BT66" s="108">
        <f>SUM(Tabelle4[[#This Row],[Projektverantwortung
(Lenkungsausschuss) ]:[Kommunikation ]])</f>
        <v>60</v>
      </c>
      <c r="BU66" s="105"/>
      <c r="BV66" s="106"/>
      <c r="BW66" s="106"/>
      <c r="BX66" s="106"/>
      <c r="BY66" s="106"/>
      <c r="BZ66" s="106"/>
      <c r="CA66" s="106"/>
      <c r="CB66" s="106"/>
      <c r="CC66" s="108">
        <f>SUM(Tabelle4[[#This Row],[Projektverantwortung
(Lenkungsausschuss)   ]:[Kommunikation   ]])</f>
        <v>0</v>
      </c>
      <c r="CD66" s="105"/>
      <c r="CE66" s="106"/>
      <c r="CF66" s="106"/>
      <c r="CG66" s="106"/>
      <c r="CH66" s="106"/>
      <c r="CI66" s="106"/>
      <c r="CJ66" s="106"/>
      <c r="CK66" s="106"/>
      <c r="CL66" s="108">
        <f>SUM(Tabelle4[[#This Row],[Projektverantwortung
(Lenkungsausschuss).]:[Kommunikation    ]])</f>
        <v>0</v>
      </c>
      <c r="CM66" s="105"/>
      <c r="CN66" s="106"/>
      <c r="CO66" s="106"/>
      <c r="CP66" s="106"/>
      <c r="CQ66" s="106"/>
      <c r="CR66" s="106"/>
      <c r="CS66" s="106"/>
      <c r="CT66" s="106"/>
      <c r="CU66" s="108">
        <f>SUM(Tabelle4[[#This Row],[Projektverantwortung
(Lenkungsausschuss)    ]:[Kommunikation     ]])</f>
        <v>0</v>
      </c>
      <c r="CV66" s="107">
        <f>SUM(Tabelle4[[#This Row],[Total Aufwand
1. Quartal 2018]],Tabelle4[[#This Row],[Total Aufwand
2. Quartal 2018]],Tabelle4[[#This Row],[Total Aufwand
3. Quartal 2018]],Tabelle4[[#This Row],[Total Aufwand
4. Quartal 2018]])</f>
        <v>60</v>
      </c>
      <c r="CW66" s="105"/>
      <c r="CX66" s="105"/>
      <c r="CY66" s="105"/>
      <c r="CZ66" s="105"/>
      <c r="DA66" s="105"/>
      <c r="DB66" s="105"/>
      <c r="DC66" s="105"/>
      <c r="DD66" s="105"/>
      <c r="DE66" s="107">
        <f>SUM(Tabelle4[[#This Row],[Aufwand ]],Tabelle4[[#This Row],[Aufwand 2]],Tabelle4[[#This Row],[Aufwand 3]],Tabelle4[[#This Row],[Aufwand 4]])</f>
        <v>0</v>
      </c>
      <c r="DF66" s="105"/>
      <c r="DG66" s="105"/>
      <c r="DH66" s="105"/>
      <c r="DI66" s="105"/>
      <c r="DJ66" s="105"/>
      <c r="DK66" s="105"/>
      <c r="DL66" s="105"/>
      <c r="DM66" s="105"/>
      <c r="DN66" s="107">
        <f>SUM(Tabelle4[[#This Row],[Aufwand  ]],Tabelle4[[#This Row],[Aufwand  2]],Tabelle4[[#This Row],[Aufwand  3]],Tabelle4[[#This Row],[Aufwand  4]])</f>
        <v>0</v>
      </c>
      <c r="DO66" s="105"/>
      <c r="DP66" s="105"/>
      <c r="DQ66" s="105"/>
      <c r="DR66" s="105"/>
      <c r="DS66" s="105"/>
      <c r="DT66" s="105"/>
      <c r="DU66" s="105"/>
      <c r="DV66" s="105"/>
      <c r="DW66" s="107">
        <f>SUM(Tabelle4[[#This Row],[Aufwand   ]],Tabelle4[[#This Row],[Aufwand   2]],Tabelle4[[#This Row],[Aufwand   3]],Tabelle4[[#This Row],[Aufwand   4]])</f>
        <v>0</v>
      </c>
      <c r="DX66" s="105"/>
      <c r="DY66" s="105"/>
      <c r="DZ66" s="105"/>
      <c r="EA66" s="105"/>
      <c r="EB66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60</v>
      </c>
      <c r="EC66" s="122">
        <f>Tabelle4[[#This Row],[Gesamaufwand]]/2000</f>
        <v>0.03</v>
      </c>
      <c r="ED66" s="47"/>
      <c r="EE66" s="47"/>
      <c r="EF66" s="47"/>
      <c r="EG66" s="47"/>
      <c r="EH66" s="47"/>
      <c r="EI66" s="47"/>
      <c r="EJ66" s="47"/>
      <c r="EK66" s="47"/>
      <c r="EL66" s="47"/>
    </row>
    <row r="67" spans="1:142">
      <c r="A67" s="255" t="s">
        <v>843</v>
      </c>
      <c r="B67" s="251" t="s">
        <v>105</v>
      </c>
      <c r="C67" s="254" t="s">
        <v>67</v>
      </c>
      <c r="D67" s="251" t="s">
        <v>914</v>
      </c>
      <c r="E67" s="251" t="s">
        <v>112</v>
      </c>
      <c r="F67" s="253">
        <v>1</v>
      </c>
      <c r="G67" s="253">
        <v>1</v>
      </c>
      <c r="H67" s="253"/>
      <c r="I67" s="254" t="s">
        <v>94</v>
      </c>
      <c r="J67" s="254"/>
      <c r="K67" s="105"/>
      <c r="L67" s="105"/>
      <c r="M67" s="48"/>
      <c r="N67" s="105"/>
      <c r="O67" s="255"/>
      <c r="P67" s="261"/>
      <c r="Q67" s="261"/>
      <c r="R67" s="261"/>
      <c r="S67" s="262"/>
      <c r="T67" s="263"/>
      <c r="U67" s="105"/>
      <c r="V67" s="259" t="s">
        <v>12</v>
      </c>
      <c r="W67" s="105" t="s">
        <v>7</v>
      </c>
      <c r="X67" s="105" t="s">
        <v>9</v>
      </c>
      <c r="Y67" s="105" t="s">
        <v>690</v>
      </c>
      <c r="Z67" s="105" t="s">
        <v>618</v>
      </c>
      <c r="AA67" s="105" t="s">
        <v>639</v>
      </c>
      <c r="AB67" s="105" t="s">
        <v>639</v>
      </c>
      <c r="AC67" s="105" t="s">
        <v>639</v>
      </c>
      <c r="AD67" s="105" t="s">
        <v>12</v>
      </c>
      <c r="AE67" s="105"/>
      <c r="AF67" s="105"/>
      <c r="AG67" s="105"/>
      <c r="AH67" s="115" t="s">
        <v>21</v>
      </c>
      <c r="AI67" s="115" t="s">
        <v>73</v>
      </c>
      <c r="AJ67" s="115" t="s">
        <v>74</v>
      </c>
      <c r="AK67" s="105" t="s">
        <v>813</v>
      </c>
      <c r="AL67" s="115">
        <v>2610000</v>
      </c>
      <c r="AM67" s="115"/>
      <c r="AN67" s="115"/>
      <c r="AO67" s="260">
        <f>Tabelle4[[#This Row],[Kredit-  / Budgetsumme
(RADAR: Gesamtkosten S)]]-Tabelle4[[#This Row],[Netto-Ausgaben Vorjahre ]]</f>
        <v>2610000</v>
      </c>
      <c r="AP67" s="310"/>
      <c r="AQ67" s="311">
        <v>350000</v>
      </c>
      <c r="AR67" s="115">
        <f>Tabelle4[[#This Row],[Kreditrest per 1.1. aktuelles Jahr]]-Tabelle4[[#This Row],[Prognose 2018
(RADAR: Kosten 2018 S)]]</f>
        <v>2260000</v>
      </c>
      <c r="AS67" s="115"/>
      <c r="AT67" s="311">
        <v>750000</v>
      </c>
      <c r="AU67" s="115"/>
      <c r="AV67" s="311">
        <v>750000</v>
      </c>
      <c r="AW67" s="115"/>
      <c r="AX67" s="311">
        <v>850000</v>
      </c>
      <c r="AY67" s="115"/>
      <c r="AZ67" s="311"/>
      <c r="BA67" s="115"/>
      <c r="BB67" s="311"/>
      <c r="BC67" s="115"/>
      <c r="BD67" s="311"/>
      <c r="BE67" s="115"/>
      <c r="BF67" s="311"/>
      <c r="BG67" s="115"/>
      <c r="BH67" s="311"/>
      <c r="BI67" s="115"/>
      <c r="BJ67" s="115"/>
      <c r="BK67" s="115"/>
      <c r="BL67" s="105"/>
      <c r="BM67" s="106">
        <v>20</v>
      </c>
      <c r="BN67" s="106"/>
      <c r="BO67" s="106">
        <v>80</v>
      </c>
      <c r="BP67" s="106"/>
      <c r="BQ67" s="106"/>
      <c r="BR67" s="106"/>
      <c r="BS67" s="106"/>
      <c r="BT67" s="108">
        <f>SUM(Tabelle4[[#This Row],[Projektverantwortung
(Lenkungsausschuss) ]:[Kommunikation ]])</f>
        <v>100</v>
      </c>
      <c r="BU67" s="108"/>
      <c r="BV67" s="106">
        <v>20</v>
      </c>
      <c r="BW67" s="106"/>
      <c r="BX67" s="106">
        <v>80</v>
      </c>
      <c r="BY67" s="106"/>
      <c r="BZ67" s="106"/>
      <c r="CA67" s="106"/>
      <c r="CB67" s="106"/>
      <c r="CC67" s="108">
        <f>SUM(Tabelle4[[#This Row],[Projektverantwortung
(Lenkungsausschuss)   ]:[Kommunikation   ]])</f>
        <v>100</v>
      </c>
      <c r="CD67" s="108"/>
      <c r="CE67" s="106">
        <v>20</v>
      </c>
      <c r="CF67" s="106"/>
      <c r="CG67" s="106">
        <v>80</v>
      </c>
      <c r="CH67" s="151"/>
      <c r="CI67" s="151"/>
      <c r="CJ67" s="151"/>
      <c r="CK67" s="151"/>
      <c r="CL67" s="108">
        <f>SUM(Tabelle4[[#This Row],[Projektverantwortung
(Lenkungsausschuss).]:[Kommunikation    ]])</f>
        <v>100</v>
      </c>
      <c r="CM67" s="108"/>
      <c r="CN67" s="106">
        <v>20</v>
      </c>
      <c r="CO67" s="106"/>
      <c r="CP67" s="106">
        <v>150</v>
      </c>
      <c r="CQ67" s="151"/>
      <c r="CR67" s="151"/>
      <c r="CS67" s="151"/>
      <c r="CT67" s="151"/>
      <c r="CU67" s="108">
        <f>SUM(Tabelle4[[#This Row],[Projektverantwortung
(Lenkungsausschuss)    ]:[Kommunikation     ]])</f>
        <v>170</v>
      </c>
      <c r="CV67" s="107">
        <f>SUM(Tabelle4[[#This Row],[Total Aufwand
1. Quartal 2018]],Tabelle4[[#This Row],[Total Aufwand
2. Quartal 2018]],Tabelle4[[#This Row],[Total Aufwand
3. Quartal 2018]],Tabelle4[[#This Row],[Total Aufwand
4. Quartal 2018]])</f>
        <v>470</v>
      </c>
      <c r="CW67" s="105"/>
      <c r="CX67" s="105"/>
      <c r="CY67" s="105"/>
      <c r="CZ67" s="105"/>
      <c r="DA67" s="105"/>
      <c r="DB67" s="105"/>
      <c r="DC67" s="105"/>
      <c r="DD67" s="105"/>
      <c r="DE67" s="107">
        <f>SUM(Tabelle4[[#This Row],[Aufwand ]],Tabelle4[[#This Row],[Aufwand 2]],Tabelle4[[#This Row],[Aufwand 3]],Tabelle4[[#This Row],[Aufwand 4]])</f>
        <v>0</v>
      </c>
      <c r="DF67" s="116"/>
      <c r="DG67" s="105"/>
      <c r="DH67" s="105"/>
      <c r="DI67" s="116"/>
      <c r="DJ67" s="105"/>
      <c r="DK67" s="116"/>
      <c r="DL67" s="105"/>
      <c r="DM67" s="116"/>
      <c r="DN67" s="107">
        <f>SUM(Tabelle4[[#This Row],[Aufwand  ]],Tabelle4[[#This Row],[Aufwand  2]],Tabelle4[[#This Row],[Aufwand  3]],Tabelle4[[#This Row],[Aufwand  4]])</f>
        <v>0</v>
      </c>
      <c r="DO67" s="116"/>
      <c r="DP67" s="105"/>
      <c r="DQ67" s="105"/>
      <c r="DR67" s="116"/>
      <c r="DS67" s="105"/>
      <c r="DT67" s="116"/>
      <c r="DU67" s="105"/>
      <c r="DV67" s="116"/>
      <c r="DW67" s="107">
        <f>SUM(Tabelle4[[#This Row],[Aufwand   ]],Tabelle4[[#This Row],[Aufwand   2]],Tabelle4[[#This Row],[Aufwand   3]],Tabelle4[[#This Row],[Aufwand   4]])</f>
        <v>0</v>
      </c>
      <c r="DX67" s="116"/>
      <c r="DY67" s="152"/>
      <c r="DZ67" s="105"/>
      <c r="EA67" s="105"/>
      <c r="EB67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470</v>
      </c>
      <c r="EC67" s="122">
        <f>Tabelle4[[#This Row],[Gesamaufwand]]/2000</f>
        <v>0.23499999999999999</v>
      </c>
      <c r="ED67" s="47"/>
      <c r="EE67" s="47"/>
      <c r="EF67" s="47"/>
      <c r="EG67" s="47"/>
      <c r="EH67" s="47"/>
      <c r="EI67" s="47"/>
      <c r="EJ67" s="47"/>
      <c r="EK67" s="47"/>
      <c r="EL67" s="47"/>
    </row>
    <row r="68" spans="1:142">
      <c r="A68" s="265" t="s">
        <v>467</v>
      </c>
      <c r="B68" s="251" t="s">
        <v>1331</v>
      </c>
      <c r="C68" s="254" t="s">
        <v>690</v>
      </c>
      <c r="D68" s="251"/>
      <c r="E68" s="251" t="s">
        <v>75</v>
      </c>
      <c r="F68" s="253"/>
      <c r="G68" s="253"/>
      <c r="H68" s="253"/>
      <c r="I68" s="254"/>
      <c r="J68" s="254"/>
      <c r="K68" s="105"/>
      <c r="L68" s="105"/>
      <c r="M68" s="48"/>
      <c r="N68" s="105"/>
      <c r="O68" s="255" t="s">
        <v>468</v>
      </c>
      <c r="P68" s="261">
        <v>2</v>
      </c>
      <c r="Q68" s="261">
        <v>0</v>
      </c>
      <c r="R68" s="261">
        <v>0</v>
      </c>
      <c r="S68" s="262" t="s">
        <v>469</v>
      </c>
      <c r="T68" s="263" t="s">
        <v>75</v>
      </c>
      <c r="U68" s="105"/>
      <c r="V68" s="259" t="s">
        <v>615</v>
      </c>
      <c r="W68" s="105" t="s">
        <v>690</v>
      </c>
      <c r="X68" s="105" t="s">
        <v>690</v>
      </c>
      <c r="Y68" s="105" t="s">
        <v>690</v>
      </c>
      <c r="Z68" s="105" t="s">
        <v>690</v>
      </c>
      <c r="AA68" s="105" t="s">
        <v>690</v>
      </c>
      <c r="AB68" s="105" t="s">
        <v>690</v>
      </c>
      <c r="AC68" s="105" t="s">
        <v>690</v>
      </c>
      <c r="AD68" s="105" t="s">
        <v>690</v>
      </c>
      <c r="AE68" s="105"/>
      <c r="AF68" s="105"/>
      <c r="AG68" s="105"/>
      <c r="AH68" s="115" t="s">
        <v>690</v>
      </c>
      <c r="AI68" s="115"/>
      <c r="AJ68" s="115"/>
      <c r="AK68" s="105"/>
      <c r="AL68" s="115"/>
      <c r="AM68" s="115"/>
      <c r="AN68" s="115"/>
      <c r="AO68" s="260">
        <f>Tabelle4[[#This Row],[Kredit-  / Budgetsumme
(RADAR: Gesamtkosten S)]]-Tabelle4[[#This Row],[Netto-Ausgaben Vorjahre ]]</f>
        <v>0</v>
      </c>
      <c r="AP68" s="310"/>
      <c r="AQ68" s="311"/>
      <c r="AR68" s="115">
        <f>Tabelle4[[#This Row],[Kreditrest per 1.1. aktuelles Jahr]]-Tabelle4[[#This Row],[Prognose 2018
(RADAR: Kosten 2018 S)]]</f>
        <v>0</v>
      </c>
      <c r="AS68" s="115"/>
      <c r="AT68" s="311"/>
      <c r="AU68" s="115"/>
      <c r="AV68" s="311"/>
      <c r="AW68" s="115"/>
      <c r="AX68" s="311"/>
      <c r="AY68" s="115"/>
      <c r="AZ68" s="311"/>
      <c r="BA68" s="115"/>
      <c r="BB68" s="311"/>
      <c r="BC68" s="115"/>
      <c r="BD68" s="311"/>
      <c r="BE68" s="115"/>
      <c r="BF68" s="311"/>
      <c r="BG68" s="115"/>
      <c r="BH68" s="311"/>
      <c r="BI68" s="115"/>
      <c r="BJ68" s="115"/>
      <c r="BK68" s="264"/>
      <c r="BL68" s="105"/>
      <c r="BM68" s="106"/>
      <c r="BN68" s="106"/>
      <c r="BO68" s="106"/>
      <c r="BP68" s="106"/>
      <c r="BQ68" s="106"/>
      <c r="BR68" s="106"/>
      <c r="BS68" s="106"/>
      <c r="BT68" s="108">
        <f>SUM(Tabelle4[[#This Row],[Projektverantwortung
(Lenkungsausschuss) ]:[Kommunikation ]])</f>
        <v>0</v>
      </c>
      <c r="BU68" s="105"/>
      <c r="BV68" s="106"/>
      <c r="BW68" s="106"/>
      <c r="BX68" s="106"/>
      <c r="BY68" s="106"/>
      <c r="BZ68" s="106"/>
      <c r="CA68" s="106"/>
      <c r="CB68" s="106"/>
      <c r="CC68" s="108">
        <f>SUM(Tabelle4[[#This Row],[Projektverantwortung
(Lenkungsausschuss)   ]:[Kommunikation   ]])</f>
        <v>0</v>
      </c>
      <c r="CD68" s="105"/>
      <c r="CE68" s="106"/>
      <c r="CF68" s="106"/>
      <c r="CG68" s="106"/>
      <c r="CH68" s="106"/>
      <c r="CI68" s="106"/>
      <c r="CJ68" s="106"/>
      <c r="CK68" s="106"/>
      <c r="CL68" s="108">
        <f>SUM(Tabelle4[[#This Row],[Projektverantwortung
(Lenkungsausschuss).]:[Kommunikation    ]])</f>
        <v>0</v>
      </c>
      <c r="CM68" s="105"/>
      <c r="CN68" s="106"/>
      <c r="CO68" s="106"/>
      <c r="CP68" s="106"/>
      <c r="CQ68" s="106"/>
      <c r="CR68" s="106"/>
      <c r="CS68" s="106"/>
      <c r="CT68" s="106"/>
      <c r="CU68" s="108">
        <f>SUM(Tabelle4[[#This Row],[Projektverantwortung
(Lenkungsausschuss)    ]:[Kommunikation     ]])</f>
        <v>0</v>
      </c>
      <c r="CV68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68" s="105"/>
      <c r="CX68" s="105"/>
      <c r="CY68" s="105"/>
      <c r="CZ68" s="105"/>
      <c r="DA68" s="105"/>
      <c r="DB68" s="105"/>
      <c r="DC68" s="105"/>
      <c r="DD68" s="105"/>
      <c r="DE68" s="107">
        <f>SUM(Tabelle4[[#This Row],[Aufwand ]],Tabelle4[[#This Row],[Aufwand 2]],Tabelle4[[#This Row],[Aufwand 3]],Tabelle4[[#This Row],[Aufwand 4]])</f>
        <v>0</v>
      </c>
      <c r="DF68" s="105"/>
      <c r="DG68" s="105"/>
      <c r="DH68" s="105"/>
      <c r="DI68" s="105"/>
      <c r="DJ68" s="105"/>
      <c r="DK68" s="105"/>
      <c r="DL68" s="105"/>
      <c r="DM68" s="105"/>
      <c r="DN68" s="107">
        <f>SUM(Tabelle4[[#This Row],[Aufwand  ]],Tabelle4[[#This Row],[Aufwand  2]],Tabelle4[[#This Row],[Aufwand  3]],Tabelle4[[#This Row],[Aufwand  4]])</f>
        <v>0</v>
      </c>
      <c r="DO68" s="105"/>
      <c r="DP68" s="105"/>
      <c r="DQ68" s="105"/>
      <c r="DR68" s="105"/>
      <c r="DS68" s="105"/>
      <c r="DT68" s="105"/>
      <c r="DU68" s="105"/>
      <c r="DV68" s="105"/>
      <c r="DW68" s="107">
        <f>SUM(Tabelle4[[#This Row],[Aufwand   ]],Tabelle4[[#This Row],[Aufwand   2]],Tabelle4[[#This Row],[Aufwand   3]],Tabelle4[[#This Row],[Aufwand   4]])</f>
        <v>0</v>
      </c>
      <c r="DX68" s="105"/>
      <c r="DY68" s="105"/>
      <c r="DZ68" s="105"/>
      <c r="EA68" s="105"/>
      <c r="EB68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68" s="122">
        <f>Tabelle4[[#This Row],[Gesamaufwand]]/2000</f>
        <v>0</v>
      </c>
      <c r="ED68" s="47"/>
      <c r="EE68" s="47"/>
      <c r="EF68" s="47"/>
      <c r="EG68" s="47"/>
      <c r="EH68" s="47"/>
      <c r="EI68" s="47"/>
      <c r="EJ68" s="47"/>
      <c r="EK68" s="47"/>
      <c r="EL68" s="47"/>
    </row>
    <row r="69" spans="1:142">
      <c r="A69" s="255" t="s">
        <v>412</v>
      </c>
      <c r="B69" s="251" t="s">
        <v>105</v>
      </c>
      <c r="C69" s="254" t="s">
        <v>67</v>
      </c>
      <c r="D69" s="251" t="s">
        <v>780</v>
      </c>
      <c r="E69" s="251" t="s">
        <v>115</v>
      </c>
      <c r="F69" s="253">
        <v>3</v>
      </c>
      <c r="G69" s="253">
        <v>2</v>
      </c>
      <c r="H69" s="253"/>
      <c r="I69" s="254" t="s">
        <v>95</v>
      </c>
      <c r="J69" s="254"/>
      <c r="K69" s="105"/>
      <c r="L69" s="105"/>
      <c r="M69" s="48"/>
      <c r="N69" s="105" t="s">
        <v>2</v>
      </c>
      <c r="O69" s="255" t="s">
        <v>413</v>
      </c>
      <c r="P69" s="261">
        <v>1</v>
      </c>
      <c r="Q69" s="261">
        <v>0</v>
      </c>
      <c r="R69" s="261">
        <v>0</v>
      </c>
      <c r="S69" s="262" t="s">
        <v>414</v>
      </c>
      <c r="T69" s="263" t="s">
        <v>75</v>
      </c>
      <c r="U69" s="105"/>
      <c r="V69" s="259" t="s">
        <v>12</v>
      </c>
      <c r="W69" s="105" t="s">
        <v>7</v>
      </c>
      <c r="X69" s="105" t="s">
        <v>9</v>
      </c>
      <c r="Y69" s="105" t="s">
        <v>690</v>
      </c>
      <c r="Z69" s="105" t="s">
        <v>78</v>
      </c>
      <c r="AA69" s="105" t="s">
        <v>639</v>
      </c>
      <c r="AB69" s="105" t="s">
        <v>618</v>
      </c>
      <c r="AC69" s="105" t="s">
        <v>639</v>
      </c>
      <c r="AD69" s="105" t="s">
        <v>12</v>
      </c>
      <c r="AE69" s="105"/>
      <c r="AF69" s="105"/>
      <c r="AG69" s="105"/>
      <c r="AH69" s="115" t="s">
        <v>1093</v>
      </c>
      <c r="AI69" s="115"/>
      <c r="AJ69" s="115"/>
      <c r="AK69" s="105"/>
      <c r="AL69" s="115">
        <v>60000</v>
      </c>
      <c r="AM69" s="115"/>
      <c r="AN69" s="115">
        <v>50000</v>
      </c>
      <c r="AO69" s="260">
        <v>10000</v>
      </c>
      <c r="AP69" s="310"/>
      <c r="AQ69" s="311">
        <v>10000</v>
      </c>
      <c r="AR69" s="115"/>
      <c r="AS69" s="115"/>
      <c r="AT69" s="311"/>
      <c r="AU69" s="115"/>
      <c r="AV69" s="311"/>
      <c r="AW69" s="115"/>
      <c r="AX69" s="311"/>
      <c r="AY69" s="115"/>
      <c r="AZ69" s="311"/>
      <c r="BA69" s="115"/>
      <c r="BB69" s="311"/>
      <c r="BC69" s="115"/>
      <c r="BD69" s="311"/>
      <c r="BE69" s="115"/>
      <c r="BF69" s="311"/>
      <c r="BG69" s="115"/>
      <c r="BH69" s="311"/>
      <c r="BI69" s="115"/>
      <c r="BJ69" s="115"/>
      <c r="BK69" s="264"/>
      <c r="BL69" s="105"/>
      <c r="BM69" s="106">
        <v>8</v>
      </c>
      <c r="BN69" s="106"/>
      <c r="BO69" s="106">
        <v>40</v>
      </c>
      <c r="BP69" s="106"/>
      <c r="BQ69" s="106">
        <v>8</v>
      </c>
      <c r="BR69" s="106"/>
      <c r="BS69" s="106"/>
      <c r="BT69" s="108">
        <f>SUM(Tabelle4[[#This Row],[Projektverantwortung
(Lenkungsausschuss) ]:[Kommunikation ]])</f>
        <v>56</v>
      </c>
      <c r="BU69" s="105"/>
      <c r="BV69" s="106">
        <v>8</v>
      </c>
      <c r="BW69" s="106"/>
      <c r="BX69" s="106">
        <v>0</v>
      </c>
      <c r="BY69" s="106"/>
      <c r="BZ69" s="106">
        <v>40</v>
      </c>
      <c r="CA69" s="106"/>
      <c r="CB69" s="106"/>
      <c r="CC69" s="108">
        <f>SUM(Tabelle4[[#This Row],[Projektverantwortung
(Lenkungsausschuss)   ]:[Kommunikation   ]])</f>
        <v>48</v>
      </c>
      <c r="CD69" s="105"/>
      <c r="CE69" s="106">
        <v>8</v>
      </c>
      <c r="CF69" s="106"/>
      <c r="CG69" s="106">
        <v>0</v>
      </c>
      <c r="CH69" s="106"/>
      <c r="CI69" s="106">
        <v>40</v>
      </c>
      <c r="CJ69" s="106"/>
      <c r="CK69" s="106"/>
      <c r="CL69" s="108">
        <f>SUM(Tabelle4[[#This Row],[Projektverantwortung
(Lenkungsausschuss).]:[Kommunikation    ]])</f>
        <v>48</v>
      </c>
      <c r="CM69" s="105"/>
      <c r="CN69" s="106">
        <v>8</v>
      </c>
      <c r="CO69" s="106"/>
      <c r="CP69" s="106">
        <v>0</v>
      </c>
      <c r="CQ69" s="106"/>
      <c r="CR69" s="106">
        <v>40</v>
      </c>
      <c r="CS69" s="106"/>
      <c r="CT69" s="106"/>
      <c r="CU69" s="108">
        <f>SUM(Tabelle4[[#This Row],[Projektverantwortung
(Lenkungsausschuss)    ]:[Kommunikation     ]])</f>
        <v>48</v>
      </c>
      <c r="CV69" s="107">
        <f>SUM(Tabelle4[[#This Row],[Total Aufwand
1. Quartal 2018]],Tabelle4[[#This Row],[Total Aufwand
2. Quartal 2018]],Tabelle4[[#This Row],[Total Aufwand
3. Quartal 2018]],Tabelle4[[#This Row],[Total Aufwand
4. Quartal 2018]])</f>
        <v>200</v>
      </c>
      <c r="CW69" s="105"/>
      <c r="CX69" s="105"/>
      <c r="CY69" s="105"/>
      <c r="CZ69" s="105"/>
      <c r="DA69" s="105"/>
      <c r="DB69" s="105"/>
      <c r="DC69" s="105"/>
      <c r="DD69" s="105"/>
      <c r="DE69" s="107">
        <f>SUM(Tabelle4[[#This Row],[Aufwand ]],Tabelle4[[#This Row],[Aufwand 2]],Tabelle4[[#This Row],[Aufwand 3]],Tabelle4[[#This Row],[Aufwand 4]])</f>
        <v>0</v>
      </c>
      <c r="DF69" s="105"/>
      <c r="DG69" s="105"/>
      <c r="DH69" s="105"/>
      <c r="DI69" s="105"/>
      <c r="DJ69" s="105"/>
      <c r="DK69" s="105"/>
      <c r="DL69" s="105"/>
      <c r="DM69" s="105"/>
      <c r="DN69" s="107">
        <f>SUM(Tabelle4[[#This Row],[Aufwand  ]],Tabelle4[[#This Row],[Aufwand  2]],Tabelle4[[#This Row],[Aufwand  3]],Tabelle4[[#This Row],[Aufwand  4]])</f>
        <v>0</v>
      </c>
      <c r="DO69" s="105"/>
      <c r="DP69" s="105"/>
      <c r="DQ69" s="105"/>
      <c r="DR69" s="105"/>
      <c r="DS69" s="105"/>
      <c r="DT69" s="105"/>
      <c r="DU69" s="105"/>
      <c r="DV69" s="105"/>
      <c r="DW69" s="107">
        <f>SUM(Tabelle4[[#This Row],[Aufwand   ]],Tabelle4[[#This Row],[Aufwand   2]],Tabelle4[[#This Row],[Aufwand   3]],Tabelle4[[#This Row],[Aufwand   4]])</f>
        <v>0</v>
      </c>
      <c r="DX69" s="105"/>
      <c r="DY69" s="105"/>
      <c r="DZ69" s="105"/>
      <c r="EA69" s="105"/>
      <c r="EB69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200</v>
      </c>
      <c r="EC69" s="122">
        <f>Tabelle4[[#This Row],[Gesamaufwand]]/2000</f>
        <v>0.1</v>
      </c>
      <c r="ED69" s="47"/>
      <c r="EE69" s="47"/>
      <c r="EF69" s="47"/>
      <c r="EG69" s="47"/>
      <c r="EH69" s="47"/>
      <c r="EI69" s="47"/>
      <c r="EJ69" s="47"/>
      <c r="EK69" s="47"/>
      <c r="EL69" s="47"/>
    </row>
    <row r="70" spans="1:142">
      <c r="A70" s="265" t="s">
        <v>124</v>
      </c>
      <c r="B70" s="251" t="s">
        <v>1331</v>
      </c>
      <c r="C70" s="254" t="s">
        <v>690</v>
      </c>
      <c r="D70" s="251"/>
      <c r="E70" s="251"/>
      <c r="F70" s="253"/>
      <c r="G70" s="253"/>
      <c r="H70" s="253"/>
      <c r="I70" s="254"/>
      <c r="J70" s="254"/>
      <c r="K70" s="105"/>
      <c r="L70" s="105"/>
      <c r="M70" s="48"/>
      <c r="N70" s="105"/>
      <c r="O70" s="255" t="s">
        <v>125</v>
      </c>
      <c r="P70" s="261">
        <v>5</v>
      </c>
      <c r="Q70" s="261">
        <v>0</v>
      </c>
      <c r="R70" s="261">
        <v>0</v>
      </c>
      <c r="S70" s="262" t="s">
        <v>126</v>
      </c>
      <c r="T70" s="263" t="s">
        <v>673</v>
      </c>
      <c r="U70" s="105"/>
      <c r="V70" s="259" t="s">
        <v>12</v>
      </c>
      <c r="W70" s="105" t="s">
        <v>7</v>
      </c>
      <c r="X70" s="105" t="s">
        <v>9</v>
      </c>
      <c r="Y70" s="105" t="s">
        <v>690</v>
      </c>
      <c r="Z70" s="105" t="s">
        <v>78</v>
      </c>
      <c r="AA70" s="105" t="s">
        <v>79</v>
      </c>
      <c r="AB70" s="105" t="s">
        <v>639</v>
      </c>
      <c r="AC70" s="105" t="s">
        <v>639</v>
      </c>
      <c r="AD70" s="105" t="s">
        <v>12</v>
      </c>
      <c r="AE70" s="105"/>
      <c r="AF70" s="105"/>
      <c r="AG70" s="105"/>
      <c r="AH70" s="115" t="s">
        <v>690</v>
      </c>
      <c r="AI70" s="115"/>
      <c r="AJ70" s="115"/>
      <c r="AK70" s="105"/>
      <c r="AL70" s="115"/>
      <c r="AM70" s="115"/>
      <c r="AN70" s="115"/>
      <c r="AO70" s="260">
        <f>Tabelle4[[#This Row],[Kredit-  / Budgetsumme
(RADAR: Gesamtkosten S)]]-Tabelle4[[#This Row],[Netto-Ausgaben Vorjahre ]]</f>
        <v>0</v>
      </c>
      <c r="AP70" s="310"/>
      <c r="AQ70" s="311"/>
      <c r="AR70" s="115">
        <f>Tabelle4[[#This Row],[Kreditrest per 1.1. aktuelles Jahr]]-Tabelle4[[#This Row],[Prognose 2018
(RADAR: Kosten 2018 S)]]</f>
        <v>0</v>
      </c>
      <c r="AS70" s="115"/>
      <c r="AT70" s="311"/>
      <c r="AU70" s="115"/>
      <c r="AV70" s="311"/>
      <c r="AW70" s="115"/>
      <c r="AX70" s="311"/>
      <c r="AY70" s="115"/>
      <c r="AZ70" s="311"/>
      <c r="BA70" s="115"/>
      <c r="BB70" s="311"/>
      <c r="BC70" s="115"/>
      <c r="BD70" s="311"/>
      <c r="BE70" s="115"/>
      <c r="BF70" s="311"/>
      <c r="BG70" s="115"/>
      <c r="BH70" s="311"/>
      <c r="BI70" s="115"/>
      <c r="BJ70" s="115"/>
      <c r="BK70" s="264"/>
      <c r="BL70" s="105"/>
      <c r="BM70" s="106"/>
      <c r="BN70" s="106"/>
      <c r="BO70" s="106"/>
      <c r="BP70" s="106"/>
      <c r="BQ70" s="106"/>
      <c r="BR70" s="106"/>
      <c r="BS70" s="106"/>
      <c r="BT70" s="108"/>
      <c r="BU70" s="105"/>
      <c r="BV70" s="106"/>
      <c r="BW70" s="106"/>
      <c r="BX70" s="106"/>
      <c r="BY70" s="106"/>
      <c r="BZ70" s="106"/>
      <c r="CA70" s="106"/>
      <c r="CB70" s="106"/>
      <c r="CC70" s="108"/>
      <c r="CD70" s="105"/>
      <c r="CE70" s="106"/>
      <c r="CF70" s="106"/>
      <c r="CG70" s="106"/>
      <c r="CH70" s="106"/>
      <c r="CI70" s="106"/>
      <c r="CJ70" s="106"/>
      <c r="CK70" s="106"/>
      <c r="CL70" s="108"/>
      <c r="CM70" s="105"/>
      <c r="CN70" s="106"/>
      <c r="CO70" s="106"/>
      <c r="CP70" s="106"/>
      <c r="CQ70" s="106"/>
      <c r="CR70" s="106"/>
      <c r="CS70" s="106"/>
      <c r="CT70" s="106"/>
      <c r="CU70" s="108"/>
      <c r="CV70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70" s="105"/>
      <c r="CX70" s="105"/>
      <c r="CY70" s="105"/>
      <c r="CZ70" s="105"/>
      <c r="DA70" s="105"/>
      <c r="DB70" s="105"/>
      <c r="DC70" s="105"/>
      <c r="DD70" s="105"/>
      <c r="DE70" s="107">
        <f>SUM(Tabelle4[[#This Row],[Aufwand ]],Tabelle4[[#This Row],[Aufwand 2]],Tabelle4[[#This Row],[Aufwand 3]],Tabelle4[[#This Row],[Aufwand 4]])</f>
        <v>0</v>
      </c>
      <c r="DF70" s="105"/>
      <c r="DG70" s="105"/>
      <c r="DH70" s="105"/>
      <c r="DI70" s="105"/>
      <c r="DJ70" s="105"/>
      <c r="DK70" s="105"/>
      <c r="DL70" s="105"/>
      <c r="DM70" s="105"/>
      <c r="DN70" s="107">
        <f>SUM(Tabelle4[[#This Row],[Aufwand  ]],Tabelle4[[#This Row],[Aufwand  2]],Tabelle4[[#This Row],[Aufwand  3]],Tabelle4[[#This Row],[Aufwand  4]])</f>
        <v>0</v>
      </c>
      <c r="DO70" s="105"/>
      <c r="DP70" s="105"/>
      <c r="DQ70" s="105"/>
      <c r="DR70" s="105"/>
      <c r="DS70" s="105"/>
      <c r="DT70" s="105"/>
      <c r="DU70" s="105"/>
      <c r="DV70" s="105"/>
      <c r="DW70" s="107">
        <f>SUM(Tabelle4[[#This Row],[Aufwand   ]],Tabelle4[[#This Row],[Aufwand   2]],Tabelle4[[#This Row],[Aufwand   3]],Tabelle4[[#This Row],[Aufwand   4]])</f>
        <v>0</v>
      </c>
      <c r="DX70" s="105"/>
      <c r="DY70" s="105"/>
      <c r="DZ70" s="105"/>
      <c r="EA70" s="105"/>
      <c r="EB70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70" s="122">
        <f>Tabelle4[[#This Row],[Gesamaufwand]]/2000</f>
        <v>0</v>
      </c>
      <c r="ED70" s="47"/>
      <c r="EE70" s="47"/>
      <c r="EF70" s="47"/>
      <c r="EG70" s="47"/>
      <c r="EH70" s="47"/>
      <c r="EI70" s="47"/>
      <c r="EJ70" s="47"/>
      <c r="EK70" s="47"/>
      <c r="EL70" s="47"/>
    </row>
    <row r="71" spans="1:142">
      <c r="A71" s="265" t="s">
        <v>127</v>
      </c>
      <c r="B71" s="251" t="s">
        <v>1331</v>
      </c>
      <c r="C71" s="254" t="s">
        <v>690</v>
      </c>
      <c r="D71" s="251"/>
      <c r="E71" s="251"/>
      <c r="F71" s="253"/>
      <c r="G71" s="253"/>
      <c r="H71" s="253"/>
      <c r="I71" s="254"/>
      <c r="J71" s="254"/>
      <c r="K71" s="105"/>
      <c r="L71" s="105"/>
      <c r="M71" s="48"/>
      <c r="N71" s="105"/>
      <c r="O71" s="255" t="s">
        <v>128</v>
      </c>
      <c r="P71" s="261">
        <v>5</v>
      </c>
      <c r="Q71" s="261">
        <v>0</v>
      </c>
      <c r="R71" s="261">
        <v>0</v>
      </c>
      <c r="S71" s="262" t="s">
        <v>129</v>
      </c>
      <c r="T71" s="263" t="s">
        <v>673</v>
      </c>
      <c r="U71" s="105"/>
      <c r="V71" s="259" t="s">
        <v>12</v>
      </c>
      <c r="W71" s="105" t="s">
        <v>690</v>
      </c>
      <c r="X71" s="105" t="s">
        <v>690</v>
      </c>
      <c r="Y71" s="105" t="s">
        <v>690</v>
      </c>
      <c r="Z71" s="105" t="s">
        <v>690</v>
      </c>
      <c r="AA71" s="105" t="s">
        <v>690</v>
      </c>
      <c r="AB71" s="105" t="s">
        <v>690</v>
      </c>
      <c r="AC71" s="105" t="s">
        <v>690</v>
      </c>
      <c r="AD71" s="105" t="s">
        <v>690</v>
      </c>
      <c r="AE71" s="105"/>
      <c r="AF71" s="105"/>
      <c r="AG71" s="105"/>
      <c r="AH71" s="115" t="s">
        <v>690</v>
      </c>
      <c r="AI71" s="115"/>
      <c r="AJ71" s="115"/>
      <c r="AK71" s="105"/>
      <c r="AL71" s="115"/>
      <c r="AM71" s="115"/>
      <c r="AN71" s="115"/>
      <c r="AO71" s="260">
        <f>Tabelle4[[#This Row],[Kredit-  / Budgetsumme
(RADAR: Gesamtkosten S)]]-Tabelle4[[#This Row],[Netto-Ausgaben Vorjahre ]]</f>
        <v>0</v>
      </c>
      <c r="AP71" s="310"/>
      <c r="AQ71" s="311"/>
      <c r="AR71" s="115">
        <f>Tabelle4[[#This Row],[Kreditrest per 1.1. aktuelles Jahr]]-Tabelle4[[#This Row],[Prognose 2018
(RADAR: Kosten 2018 S)]]</f>
        <v>0</v>
      </c>
      <c r="AS71" s="115"/>
      <c r="AT71" s="311"/>
      <c r="AU71" s="115"/>
      <c r="AV71" s="311"/>
      <c r="AW71" s="115"/>
      <c r="AX71" s="311"/>
      <c r="AY71" s="115"/>
      <c r="AZ71" s="311"/>
      <c r="BA71" s="115"/>
      <c r="BB71" s="311"/>
      <c r="BC71" s="115"/>
      <c r="BD71" s="311"/>
      <c r="BE71" s="115"/>
      <c r="BF71" s="311"/>
      <c r="BG71" s="115"/>
      <c r="BH71" s="311"/>
      <c r="BI71" s="115"/>
      <c r="BJ71" s="115"/>
      <c r="BK71" s="264"/>
      <c r="BL71" s="105"/>
      <c r="BM71" s="106"/>
      <c r="BN71" s="106"/>
      <c r="BO71" s="106"/>
      <c r="BP71" s="106"/>
      <c r="BQ71" s="106"/>
      <c r="BR71" s="106"/>
      <c r="BS71" s="106"/>
      <c r="BT71" s="108">
        <f>SUM(Tabelle4[[#This Row],[Projektverantwortung
(Lenkungsausschuss) ]:[Kommunikation ]])</f>
        <v>0</v>
      </c>
      <c r="BU71" s="105"/>
      <c r="BV71" s="106"/>
      <c r="BW71" s="106"/>
      <c r="BX71" s="106"/>
      <c r="BY71" s="106"/>
      <c r="BZ71" s="106"/>
      <c r="CA71" s="106"/>
      <c r="CB71" s="106"/>
      <c r="CC71" s="108">
        <f>SUM(Tabelle4[[#This Row],[Projektverantwortung
(Lenkungsausschuss)   ]:[Kommunikation   ]])</f>
        <v>0</v>
      </c>
      <c r="CD71" s="105"/>
      <c r="CE71" s="106"/>
      <c r="CF71" s="106"/>
      <c r="CG71" s="106"/>
      <c r="CH71" s="106"/>
      <c r="CI71" s="106"/>
      <c r="CJ71" s="106"/>
      <c r="CK71" s="106"/>
      <c r="CL71" s="108">
        <f>SUM(Tabelle4[[#This Row],[Projektverantwortung
(Lenkungsausschuss).]:[Kommunikation    ]])</f>
        <v>0</v>
      </c>
      <c r="CM71" s="105"/>
      <c r="CN71" s="106"/>
      <c r="CO71" s="106"/>
      <c r="CP71" s="106"/>
      <c r="CQ71" s="106"/>
      <c r="CR71" s="106"/>
      <c r="CS71" s="106"/>
      <c r="CT71" s="106"/>
      <c r="CU71" s="108">
        <f>SUM(Tabelle4[[#This Row],[Projektverantwortung
(Lenkungsausschuss)    ]:[Kommunikation     ]])</f>
        <v>0</v>
      </c>
      <c r="CV71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71" s="105"/>
      <c r="CX71" s="105"/>
      <c r="CY71" s="105"/>
      <c r="CZ71" s="105"/>
      <c r="DA71" s="105"/>
      <c r="DB71" s="105"/>
      <c r="DC71" s="105"/>
      <c r="DD71" s="105"/>
      <c r="DE71" s="107">
        <f>SUM(Tabelle4[[#This Row],[Aufwand ]],Tabelle4[[#This Row],[Aufwand 2]],Tabelle4[[#This Row],[Aufwand 3]],Tabelle4[[#This Row],[Aufwand 4]])</f>
        <v>0</v>
      </c>
      <c r="DF71" s="105"/>
      <c r="DG71" s="105"/>
      <c r="DH71" s="105"/>
      <c r="DI71" s="105"/>
      <c r="DJ71" s="105"/>
      <c r="DK71" s="105"/>
      <c r="DL71" s="105"/>
      <c r="DM71" s="105"/>
      <c r="DN71" s="107">
        <f>SUM(Tabelle4[[#This Row],[Aufwand  ]],Tabelle4[[#This Row],[Aufwand  2]],Tabelle4[[#This Row],[Aufwand  3]],Tabelle4[[#This Row],[Aufwand  4]])</f>
        <v>0</v>
      </c>
      <c r="DO71" s="105"/>
      <c r="DP71" s="105"/>
      <c r="DQ71" s="105"/>
      <c r="DR71" s="105"/>
      <c r="DS71" s="105"/>
      <c r="DT71" s="105"/>
      <c r="DU71" s="105"/>
      <c r="DV71" s="105"/>
      <c r="DW71" s="107">
        <f>SUM(Tabelle4[[#This Row],[Aufwand   ]],Tabelle4[[#This Row],[Aufwand   2]],Tabelle4[[#This Row],[Aufwand   3]],Tabelle4[[#This Row],[Aufwand   4]])</f>
        <v>0</v>
      </c>
      <c r="DX71" s="105"/>
      <c r="DY71" s="105"/>
      <c r="DZ71" s="105"/>
      <c r="EA71" s="105"/>
      <c r="EB71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71" s="122">
        <f>Tabelle4[[#This Row],[Gesamaufwand]]/2000</f>
        <v>0</v>
      </c>
      <c r="ED71" s="47"/>
      <c r="EE71" s="47"/>
      <c r="EF71" s="47"/>
      <c r="EG71" s="47"/>
      <c r="EH71" s="47"/>
      <c r="EI71" s="47"/>
      <c r="EJ71" s="47"/>
      <c r="EK71" s="47"/>
      <c r="EL71" s="47"/>
    </row>
    <row r="72" spans="1:142">
      <c r="A72" s="265" t="s">
        <v>201</v>
      </c>
      <c r="B72" s="251" t="s">
        <v>1331</v>
      </c>
      <c r="C72" s="254" t="s">
        <v>690</v>
      </c>
      <c r="D72" s="251"/>
      <c r="E72" s="251" t="s">
        <v>859</v>
      </c>
      <c r="F72" s="253"/>
      <c r="G72" s="253"/>
      <c r="H72" s="253"/>
      <c r="I72" s="254"/>
      <c r="J72" s="254"/>
      <c r="K72" s="105"/>
      <c r="L72" s="105"/>
      <c r="M72" s="48"/>
      <c r="N72" s="105"/>
      <c r="O72" s="255" t="s">
        <v>202</v>
      </c>
      <c r="P72" s="261">
        <v>5</v>
      </c>
      <c r="Q72" s="261">
        <v>0</v>
      </c>
      <c r="R72" s="261">
        <v>0</v>
      </c>
      <c r="S72" s="262" t="s">
        <v>146</v>
      </c>
      <c r="T72" s="263" t="s">
        <v>673</v>
      </c>
      <c r="U72" s="105"/>
      <c r="V72" s="259" t="s">
        <v>12</v>
      </c>
      <c r="W72" s="105" t="s">
        <v>8</v>
      </c>
      <c r="X72" s="105" t="s">
        <v>690</v>
      </c>
      <c r="Y72" s="105" t="s">
        <v>690</v>
      </c>
      <c r="Z72" s="105" t="s">
        <v>690</v>
      </c>
      <c r="AA72" s="105" t="s">
        <v>690</v>
      </c>
      <c r="AB72" s="105" t="s">
        <v>690</v>
      </c>
      <c r="AC72" s="105" t="s">
        <v>690</v>
      </c>
      <c r="AD72" s="105" t="s">
        <v>690</v>
      </c>
      <c r="AE72" s="105"/>
      <c r="AF72" s="105"/>
      <c r="AG72" s="105"/>
      <c r="AH72" s="115" t="s">
        <v>1092</v>
      </c>
      <c r="AI72" s="115"/>
      <c r="AJ72" s="115"/>
      <c r="AK72" s="105"/>
      <c r="AL72" s="115"/>
      <c r="AM72" s="115"/>
      <c r="AN72" s="115"/>
      <c r="AO72" s="260"/>
      <c r="AP72" s="310"/>
      <c r="AQ72" s="311"/>
      <c r="AR72" s="115"/>
      <c r="AS72" s="115"/>
      <c r="AT72" s="311"/>
      <c r="AU72" s="115"/>
      <c r="AV72" s="311"/>
      <c r="AW72" s="115"/>
      <c r="AX72" s="311"/>
      <c r="AY72" s="115"/>
      <c r="AZ72" s="311"/>
      <c r="BA72" s="115"/>
      <c r="BB72" s="311"/>
      <c r="BC72" s="115"/>
      <c r="BD72" s="311"/>
      <c r="BE72" s="115"/>
      <c r="BF72" s="311"/>
      <c r="BG72" s="115"/>
      <c r="BH72" s="311"/>
      <c r="BI72" s="115"/>
      <c r="BJ72" s="115"/>
      <c r="BK72" s="264"/>
      <c r="BL72" s="105"/>
      <c r="BM72" s="106"/>
      <c r="BN72" s="106"/>
      <c r="BO72" s="106"/>
      <c r="BP72" s="106"/>
      <c r="BQ72" s="106"/>
      <c r="BR72" s="106"/>
      <c r="BS72" s="106"/>
      <c r="BT72" s="108">
        <f>SUM(Tabelle4[[#This Row],[Projektverantwortung
(Lenkungsausschuss) ]:[Kommunikation ]])</f>
        <v>0</v>
      </c>
      <c r="BU72" s="105"/>
      <c r="BV72" s="106"/>
      <c r="BW72" s="106"/>
      <c r="BX72" s="106"/>
      <c r="BY72" s="106"/>
      <c r="BZ72" s="106"/>
      <c r="CA72" s="106"/>
      <c r="CB72" s="106"/>
      <c r="CC72" s="108">
        <f>SUM(Tabelle4[[#This Row],[Projektverantwortung
(Lenkungsausschuss)   ]:[Kommunikation   ]])</f>
        <v>0</v>
      </c>
      <c r="CD72" s="105"/>
      <c r="CE72" s="106"/>
      <c r="CF72" s="106"/>
      <c r="CG72" s="106"/>
      <c r="CH72" s="106"/>
      <c r="CI72" s="106"/>
      <c r="CJ72" s="106"/>
      <c r="CK72" s="106"/>
      <c r="CL72" s="108">
        <f>SUM(Tabelle4[[#This Row],[Projektverantwortung
(Lenkungsausschuss).]:[Kommunikation    ]])</f>
        <v>0</v>
      </c>
      <c r="CM72" s="105"/>
      <c r="CN72" s="106"/>
      <c r="CO72" s="106"/>
      <c r="CP72" s="106"/>
      <c r="CQ72" s="106"/>
      <c r="CR72" s="106"/>
      <c r="CS72" s="106"/>
      <c r="CT72" s="106"/>
      <c r="CU72" s="108">
        <f>SUM(Tabelle4[[#This Row],[Projektverantwortung
(Lenkungsausschuss)    ]:[Kommunikation     ]])</f>
        <v>0</v>
      </c>
      <c r="CV72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72" s="105"/>
      <c r="CX72" s="105"/>
      <c r="CY72" s="105"/>
      <c r="CZ72" s="105"/>
      <c r="DA72" s="105"/>
      <c r="DB72" s="105"/>
      <c r="DC72" s="105"/>
      <c r="DD72" s="105"/>
      <c r="DE72" s="107">
        <f>SUM(Tabelle4[[#This Row],[Aufwand ]],Tabelle4[[#This Row],[Aufwand 2]],Tabelle4[[#This Row],[Aufwand 3]],Tabelle4[[#This Row],[Aufwand 4]])</f>
        <v>0</v>
      </c>
      <c r="DF72" s="105"/>
      <c r="DG72" s="105"/>
      <c r="DH72" s="105"/>
      <c r="DI72" s="105"/>
      <c r="DJ72" s="105"/>
      <c r="DK72" s="105"/>
      <c r="DL72" s="105"/>
      <c r="DM72" s="105"/>
      <c r="DN72" s="107">
        <f>SUM(Tabelle4[[#This Row],[Aufwand  ]],Tabelle4[[#This Row],[Aufwand  2]],Tabelle4[[#This Row],[Aufwand  3]],Tabelle4[[#This Row],[Aufwand  4]])</f>
        <v>0</v>
      </c>
      <c r="DO72" s="105"/>
      <c r="DP72" s="105"/>
      <c r="DQ72" s="105"/>
      <c r="DR72" s="105"/>
      <c r="DS72" s="105"/>
      <c r="DT72" s="105"/>
      <c r="DU72" s="105"/>
      <c r="DV72" s="105"/>
      <c r="DW72" s="107">
        <f>SUM(Tabelle4[[#This Row],[Aufwand   ]],Tabelle4[[#This Row],[Aufwand   2]],Tabelle4[[#This Row],[Aufwand   3]],Tabelle4[[#This Row],[Aufwand   4]])</f>
        <v>0</v>
      </c>
      <c r="DX72" s="105"/>
      <c r="DY72" s="105"/>
      <c r="DZ72" s="105"/>
      <c r="EA72" s="105"/>
      <c r="EB72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72" s="122">
        <f>Tabelle4[[#This Row],[Gesamaufwand]]/2000</f>
        <v>0</v>
      </c>
      <c r="ED72" s="48"/>
      <c r="EE72" s="48"/>
      <c r="EF72" s="48"/>
      <c r="EG72" s="48"/>
      <c r="EH72" s="48"/>
      <c r="EI72" s="47"/>
      <c r="EJ72" s="47"/>
      <c r="EK72" s="47"/>
      <c r="EL72" s="47"/>
    </row>
    <row r="73" spans="1:142">
      <c r="A73" s="265" t="s">
        <v>130</v>
      </c>
      <c r="B73" s="251" t="s">
        <v>1331</v>
      </c>
      <c r="C73" s="254" t="s">
        <v>690</v>
      </c>
      <c r="D73" s="251"/>
      <c r="E73" s="251"/>
      <c r="F73" s="253"/>
      <c r="G73" s="253"/>
      <c r="H73" s="253"/>
      <c r="I73" s="254"/>
      <c r="J73" s="254"/>
      <c r="K73" s="105"/>
      <c r="L73" s="105"/>
      <c r="M73" s="48"/>
      <c r="N73" s="105"/>
      <c r="O73" s="255" t="s">
        <v>131</v>
      </c>
      <c r="P73" s="261">
        <v>5</v>
      </c>
      <c r="Q73" s="261">
        <v>0</v>
      </c>
      <c r="R73" s="261">
        <v>0</v>
      </c>
      <c r="S73" s="262" t="s">
        <v>132</v>
      </c>
      <c r="T73" s="263" t="s">
        <v>673</v>
      </c>
      <c r="U73" s="105"/>
      <c r="V73" s="259" t="s">
        <v>12</v>
      </c>
      <c r="W73" s="105" t="s">
        <v>690</v>
      </c>
      <c r="X73" s="105" t="s">
        <v>690</v>
      </c>
      <c r="Y73" s="105" t="s">
        <v>690</v>
      </c>
      <c r="Z73" s="105" t="s">
        <v>690</v>
      </c>
      <c r="AA73" s="105" t="s">
        <v>690</v>
      </c>
      <c r="AB73" s="105" t="s">
        <v>690</v>
      </c>
      <c r="AC73" s="105" t="s">
        <v>690</v>
      </c>
      <c r="AD73" s="105" t="s">
        <v>690</v>
      </c>
      <c r="AE73" s="105"/>
      <c r="AF73" s="105"/>
      <c r="AG73" s="105"/>
      <c r="AH73" s="115" t="s">
        <v>690</v>
      </c>
      <c r="AI73" s="115"/>
      <c r="AJ73" s="115"/>
      <c r="AK73" s="105"/>
      <c r="AL73" s="115"/>
      <c r="AM73" s="115"/>
      <c r="AN73" s="115"/>
      <c r="AO73" s="260">
        <f>Tabelle4[[#This Row],[Kredit-  / Budgetsumme
(RADAR: Gesamtkosten S)]]-Tabelle4[[#This Row],[Netto-Ausgaben Vorjahre ]]</f>
        <v>0</v>
      </c>
      <c r="AP73" s="310"/>
      <c r="AQ73" s="311"/>
      <c r="AR73" s="115">
        <f>Tabelle4[[#This Row],[Kreditrest per 1.1. aktuelles Jahr]]-Tabelle4[[#This Row],[Prognose 2018
(RADAR: Kosten 2018 S)]]</f>
        <v>0</v>
      </c>
      <c r="AS73" s="115"/>
      <c r="AT73" s="311"/>
      <c r="AU73" s="115"/>
      <c r="AV73" s="311"/>
      <c r="AW73" s="115"/>
      <c r="AX73" s="311"/>
      <c r="AY73" s="115"/>
      <c r="AZ73" s="311"/>
      <c r="BA73" s="115"/>
      <c r="BB73" s="311"/>
      <c r="BC73" s="115"/>
      <c r="BD73" s="311"/>
      <c r="BE73" s="115"/>
      <c r="BF73" s="311"/>
      <c r="BG73" s="115"/>
      <c r="BH73" s="311"/>
      <c r="BI73" s="115"/>
      <c r="BJ73" s="115"/>
      <c r="BK73" s="264"/>
      <c r="BL73" s="105"/>
      <c r="BM73" s="106"/>
      <c r="BN73" s="106"/>
      <c r="BO73" s="106"/>
      <c r="BP73" s="106"/>
      <c r="BQ73" s="106"/>
      <c r="BR73" s="106"/>
      <c r="BS73" s="106"/>
      <c r="BT73" s="108">
        <f>SUM(Tabelle4[[#This Row],[Projektverantwortung
(Lenkungsausschuss) ]:[Kommunikation ]])</f>
        <v>0</v>
      </c>
      <c r="BU73" s="105"/>
      <c r="BV73" s="106"/>
      <c r="BW73" s="106"/>
      <c r="BX73" s="106"/>
      <c r="BY73" s="106"/>
      <c r="BZ73" s="106"/>
      <c r="CA73" s="106"/>
      <c r="CB73" s="106"/>
      <c r="CC73" s="108">
        <f>SUM(Tabelle4[[#This Row],[Projektverantwortung
(Lenkungsausschuss)   ]:[Kommunikation   ]])</f>
        <v>0</v>
      </c>
      <c r="CD73" s="105"/>
      <c r="CE73" s="106"/>
      <c r="CF73" s="106"/>
      <c r="CG73" s="106"/>
      <c r="CH73" s="106"/>
      <c r="CI73" s="106"/>
      <c r="CJ73" s="106"/>
      <c r="CK73" s="106"/>
      <c r="CL73" s="108">
        <f>SUM(Tabelle4[[#This Row],[Projektverantwortung
(Lenkungsausschuss).]:[Kommunikation    ]])</f>
        <v>0</v>
      </c>
      <c r="CM73" s="105"/>
      <c r="CN73" s="106"/>
      <c r="CO73" s="106"/>
      <c r="CP73" s="106"/>
      <c r="CQ73" s="106"/>
      <c r="CR73" s="106"/>
      <c r="CS73" s="106"/>
      <c r="CT73" s="106"/>
      <c r="CU73" s="108">
        <f>SUM(Tabelle4[[#This Row],[Projektverantwortung
(Lenkungsausschuss)    ]:[Kommunikation     ]])</f>
        <v>0</v>
      </c>
      <c r="CV73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73" s="105"/>
      <c r="CX73" s="105"/>
      <c r="CY73" s="105"/>
      <c r="CZ73" s="105"/>
      <c r="DA73" s="105"/>
      <c r="DB73" s="105"/>
      <c r="DC73" s="105"/>
      <c r="DD73" s="105"/>
      <c r="DE73" s="107">
        <f>SUM(Tabelle4[[#This Row],[Aufwand ]],Tabelle4[[#This Row],[Aufwand 2]],Tabelle4[[#This Row],[Aufwand 3]],Tabelle4[[#This Row],[Aufwand 4]])</f>
        <v>0</v>
      </c>
      <c r="DF73" s="105"/>
      <c r="DG73" s="105"/>
      <c r="DH73" s="105"/>
      <c r="DI73" s="105"/>
      <c r="DJ73" s="105"/>
      <c r="DK73" s="105"/>
      <c r="DL73" s="105"/>
      <c r="DM73" s="105"/>
      <c r="DN73" s="107">
        <f>SUM(Tabelle4[[#This Row],[Aufwand  ]],Tabelle4[[#This Row],[Aufwand  2]],Tabelle4[[#This Row],[Aufwand  3]],Tabelle4[[#This Row],[Aufwand  4]])</f>
        <v>0</v>
      </c>
      <c r="DO73" s="105"/>
      <c r="DP73" s="105"/>
      <c r="DQ73" s="105"/>
      <c r="DR73" s="105"/>
      <c r="DS73" s="105"/>
      <c r="DT73" s="105"/>
      <c r="DU73" s="105"/>
      <c r="DV73" s="105"/>
      <c r="DW73" s="107">
        <f>SUM(Tabelle4[[#This Row],[Aufwand   ]],Tabelle4[[#This Row],[Aufwand   2]],Tabelle4[[#This Row],[Aufwand   3]],Tabelle4[[#This Row],[Aufwand   4]])</f>
        <v>0</v>
      </c>
      <c r="DX73" s="105"/>
      <c r="DY73" s="105"/>
      <c r="DZ73" s="105"/>
      <c r="EA73" s="105"/>
      <c r="EB73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73" s="122">
        <f>Tabelle4[[#This Row],[Gesamaufwand]]/2000</f>
        <v>0</v>
      </c>
      <c r="ED73" s="48"/>
      <c r="EE73" s="48"/>
      <c r="EF73" s="48"/>
      <c r="EG73" s="48"/>
      <c r="EH73" s="48"/>
      <c r="EI73" s="47"/>
      <c r="EJ73" s="47"/>
      <c r="EK73" s="47"/>
      <c r="EL73" s="47"/>
    </row>
    <row r="74" spans="1:142">
      <c r="A74" s="265" t="s">
        <v>203</v>
      </c>
      <c r="B74" s="251" t="s">
        <v>1331</v>
      </c>
      <c r="C74" s="254" t="s">
        <v>690</v>
      </c>
      <c r="D74" s="251"/>
      <c r="E74" s="251" t="s">
        <v>859</v>
      </c>
      <c r="F74" s="253"/>
      <c r="G74" s="253"/>
      <c r="H74" s="253"/>
      <c r="I74" s="254"/>
      <c r="J74" s="254"/>
      <c r="K74" s="105"/>
      <c r="L74" s="105"/>
      <c r="M74" s="48"/>
      <c r="N74" s="105"/>
      <c r="O74" s="255" t="s">
        <v>204</v>
      </c>
      <c r="P74" s="261">
        <v>5</v>
      </c>
      <c r="Q74" s="261">
        <v>0</v>
      </c>
      <c r="R74" s="261">
        <v>0</v>
      </c>
      <c r="S74" s="262" t="s">
        <v>184</v>
      </c>
      <c r="T74" s="263" t="s">
        <v>673</v>
      </c>
      <c r="U74" s="105"/>
      <c r="V74" s="259" t="s">
        <v>12</v>
      </c>
      <c r="W74" s="105" t="s">
        <v>690</v>
      </c>
      <c r="X74" s="105" t="s">
        <v>690</v>
      </c>
      <c r="Y74" s="105" t="s">
        <v>690</v>
      </c>
      <c r="Z74" s="105" t="s">
        <v>690</v>
      </c>
      <c r="AA74" s="105" t="s">
        <v>690</v>
      </c>
      <c r="AB74" s="105" t="s">
        <v>690</v>
      </c>
      <c r="AC74" s="105" t="s">
        <v>690</v>
      </c>
      <c r="AD74" s="105" t="s">
        <v>690</v>
      </c>
      <c r="AE74" s="105"/>
      <c r="AF74" s="105"/>
      <c r="AG74" s="105"/>
      <c r="AH74" s="115" t="s">
        <v>690</v>
      </c>
      <c r="AI74" s="115"/>
      <c r="AJ74" s="115"/>
      <c r="AK74" s="105"/>
      <c r="AL74" s="115"/>
      <c r="AM74" s="115"/>
      <c r="AN74" s="115"/>
      <c r="AO74" s="260">
        <f>Tabelle4[[#This Row],[Kredit-  / Budgetsumme
(RADAR: Gesamtkosten S)]]-Tabelle4[[#This Row],[Netto-Ausgaben Vorjahre ]]</f>
        <v>0</v>
      </c>
      <c r="AP74" s="310"/>
      <c r="AQ74" s="311"/>
      <c r="AR74" s="115">
        <f>Tabelle4[[#This Row],[Kreditrest per 1.1. aktuelles Jahr]]-Tabelle4[[#This Row],[Prognose 2018
(RADAR: Kosten 2018 S)]]</f>
        <v>0</v>
      </c>
      <c r="AS74" s="115"/>
      <c r="AT74" s="311"/>
      <c r="AU74" s="115"/>
      <c r="AV74" s="311"/>
      <c r="AW74" s="115"/>
      <c r="AX74" s="311"/>
      <c r="AY74" s="115"/>
      <c r="AZ74" s="311"/>
      <c r="BA74" s="115"/>
      <c r="BB74" s="311"/>
      <c r="BC74" s="115"/>
      <c r="BD74" s="311"/>
      <c r="BE74" s="115"/>
      <c r="BF74" s="311"/>
      <c r="BG74" s="115"/>
      <c r="BH74" s="311"/>
      <c r="BI74" s="115"/>
      <c r="BJ74" s="115"/>
      <c r="BK74" s="264"/>
      <c r="BL74" s="105"/>
      <c r="BM74" s="106"/>
      <c r="BN74" s="106"/>
      <c r="BO74" s="106"/>
      <c r="BP74" s="106"/>
      <c r="BQ74" s="106"/>
      <c r="BR74" s="106"/>
      <c r="BS74" s="106"/>
      <c r="BT74" s="108">
        <f>SUM(Tabelle4[[#This Row],[Projektverantwortung
(Lenkungsausschuss) ]:[Kommunikation ]])</f>
        <v>0</v>
      </c>
      <c r="BU74" s="105"/>
      <c r="BV74" s="106"/>
      <c r="BW74" s="106"/>
      <c r="BX74" s="106"/>
      <c r="BY74" s="106"/>
      <c r="BZ74" s="106"/>
      <c r="CA74" s="106"/>
      <c r="CB74" s="106"/>
      <c r="CC74" s="108">
        <f>SUM(Tabelle4[[#This Row],[Projektverantwortung
(Lenkungsausschuss)   ]:[Kommunikation   ]])</f>
        <v>0</v>
      </c>
      <c r="CD74" s="105"/>
      <c r="CE74" s="106"/>
      <c r="CF74" s="106"/>
      <c r="CG74" s="106"/>
      <c r="CH74" s="106"/>
      <c r="CI74" s="106"/>
      <c r="CJ74" s="106"/>
      <c r="CK74" s="106"/>
      <c r="CL74" s="108">
        <f>SUM(Tabelle4[[#This Row],[Projektverantwortung
(Lenkungsausschuss).]:[Kommunikation    ]])</f>
        <v>0</v>
      </c>
      <c r="CM74" s="105"/>
      <c r="CN74" s="106"/>
      <c r="CO74" s="106"/>
      <c r="CP74" s="106"/>
      <c r="CQ74" s="106"/>
      <c r="CR74" s="106"/>
      <c r="CS74" s="106"/>
      <c r="CT74" s="106"/>
      <c r="CU74" s="108">
        <f>SUM(Tabelle4[[#This Row],[Projektverantwortung
(Lenkungsausschuss)    ]:[Kommunikation     ]])</f>
        <v>0</v>
      </c>
      <c r="CV74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74" s="105"/>
      <c r="CX74" s="105"/>
      <c r="CY74" s="105"/>
      <c r="CZ74" s="105"/>
      <c r="DA74" s="105"/>
      <c r="DB74" s="105"/>
      <c r="DC74" s="105"/>
      <c r="DD74" s="105"/>
      <c r="DE74" s="107">
        <f>SUM(Tabelle4[[#This Row],[Aufwand ]],Tabelle4[[#This Row],[Aufwand 2]],Tabelle4[[#This Row],[Aufwand 3]],Tabelle4[[#This Row],[Aufwand 4]])</f>
        <v>0</v>
      </c>
      <c r="DF74" s="105"/>
      <c r="DG74" s="105"/>
      <c r="DH74" s="105"/>
      <c r="DI74" s="105"/>
      <c r="DJ74" s="105"/>
      <c r="DK74" s="105"/>
      <c r="DL74" s="105"/>
      <c r="DM74" s="105"/>
      <c r="DN74" s="107">
        <f>SUM(Tabelle4[[#This Row],[Aufwand  ]],Tabelle4[[#This Row],[Aufwand  2]],Tabelle4[[#This Row],[Aufwand  3]],Tabelle4[[#This Row],[Aufwand  4]])</f>
        <v>0</v>
      </c>
      <c r="DO74" s="105"/>
      <c r="DP74" s="105"/>
      <c r="DQ74" s="105"/>
      <c r="DR74" s="105"/>
      <c r="DS74" s="105"/>
      <c r="DT74" s="105"/>
      <c r="DU74" s="105"/>
      <c r="DV74" s="105"/>
      <c r="DW74" s="107">
        <f>SUM(Tabelle4[[#This Row],[Aufwand   ]],Tabelle4[[#This Row],[Aufwand   2]],Tabelle4[[#This Row],[Aufwand   3]],Tabelle4[[#This Row],[Aufwand   4]])</f>
        <v>0</v>
      </c>
      <c r="DX74" s="105"/>
      <c r="DY74" s="105"/>
      <c r="DZ74" s="105"/>
      <c r="EA74" s="105"/>
      <c r="EB74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74" s="122">
        <f>Tabelle4[[#This Row],[Gesamaufwand]]/2000</f>
        <v>0</v>
      </c>
      <c r="ED74" s="47"/>
      <c r="EE74" s="47"/>
      <c r="EF74" s="47"/>
      <c r="EG74" s="47"/>
      <c r="EH74" s="47"/>
      <c r="EI74" s="47"/>
      <c r="EJ74" s="47"/>
      <c r="EK74" s="47"/>
      <c r="EL74" s="47"/>
    </row>
    <row r="75" spans="1:142">
      <c r="A75" s="265" t="s">
        <v>133</v>
      </c>
      <c r="B75" s="251" t="s">
        <v>1331</v>
      </c>
      <c r="C75" s="254" t="s">
        <v>690</v>
      </c>
      <c r="D75" s="251"/>
      <c r="E75" s="251"/>
      <c r="F75" s="253"/>
      <c r="G75" s="253"/>
      <c r="H75" s="253"/>
      <c r="I75" s="254"/>
      <c r="J75" s="254"/>
      <c r="K75" s="105"/>
      <c r="L75" s="105"/>
      <c r="M75" s="48"/>
      <c r="N75" s="105"/>
      <c r="O75" s="255" t="s">
        <v>134</v>
      </c>
      <c r="P75" s="261">
        <v>5</v>
      </c>
      <c r="Q75" s="261">
        <v>0</v>
      </c>
      <c r="R75" s="261">
        <v>0</v>
      </c>
      <c r="S75" s="262" t="s">
        <v>135</v>
      </c>
      <c r="T75" s="263" t="s">
        <v>673</v>
      </c>
      <c r="U75" s="105"/>
      <c r="V75" s="259" t="s">
        <v>12</v>
      </c>
      <c r="W75" s="105" t="s">
        <v>690</v>
      </c>
      <c r="X75" s="105" t="s">
        <v>690</v>
      </c>
      <c r="Y75" s="105" t="s">
        <v>690</v>
      </c>
      <c r="Z75" s="105" t="s">
        <v>690</v>
      </c>
      <c r="AA75" s="105" t="s">
        <v>690</v>
      </c>
      <c r="AB75" s="105" t="s">
        <v>690</v>
      </c>
      <c r="AC75" s="105" t="s">
        <v>690</v>
      </c>
      <c r="AD75" s="105" t="s">
        <v>690</v>
      </c>
      <c r="AE75" s="105"/>
      <c r="AF75" s="105"/>
      <c r="AG75" s="105"/>
      <c r="AH75" s="115" t="s">
        <v>690</v>
      </c>
      <c r="AI75" s="115"/>
      <c r="AJ75" s="115"/>
      <c r="AK75" s="105"/>
      <c r="AL75" s="115"/>
      <c r="AM75" s="115"/>
      <c r="AN75" s="115"/>
      <c r="AO75" s="260">
        <f>Tabelle4[[#This Row],[Kredit-  / Budgetsumme
(RADAR: Gesamtkosten S)]]-Tabelle4[[#This Row],[Netto-Ausgaben Vorjahre ]]</f>
        <v>0</v>
      </c>
      <c r="AP75" s="310"/>
      <c r="AQ75" s="311"/>
      <c r="AR75" s="115">
        <f>Tabelle4[[#This Row],[Kreditrest per 1.1. aktuelles Jahr]]-Tabelle4[[#This Row],[Prognose 2018
(RADAR: Kosten 2018 S)]]</f>
        <v>0</v>
      </c>
      <c r="AS75" s="115"/>
      <c r="AT75" s="311"/>
      <c r="AU75" s="115"/>
      <c r="AV75" s="311"/>
      <c r="AW75" s="115"/>
      <c r="AX75" s="311"/>
      <c r="AY75" s="115"/>
      <c r="AZ75" s="311"/>
      <c r="BA75" s="115"/>
      <c r="BB75" s="311"/>
      <c r="BC75" s="115"/>
      <c r="BD75" s="311"/>
      <c r="BE75" s="115"/>
      <c r="BF75" s="311"/>
      <c r="BG75" s="115"/>
      <c r="BH75" s="311"/>
      <c r="BI75" s="115"/>
      <c r="BJ75" s="115"/>
      <c r="BK75" s="264"/>
      <c r="BL75" s="105"/>
      <c r="BM75" s="106"/>
      <c r="BN75" s="106"/>
      <c r="BO75" s="106"/>
      <c r="BP75" s="106"/>
      <c r="BQ75" s="106"/>
      <c r="BR75" s="106"/>
      <c r="BS75" s="106"/>
      <c r="BT75" s="108">
        <f>SUM(Tabelle4[[#This Row],[Projektverantwortung
(Lenkungsausschuss) ]:[Kommunikation ]])</f>
        <v>0</v>
      </c>
      <c r="BU75" s="105"/>
      <c r="BV75" s="106"/>
      <c r="BW75" s="106"/>
      <c r="BX75" s="106"/>
      <c r="BY75" s="106"/>
      <c r="BZ75" s="106"/>
      <c r="CA75" s="106"/>
      <c r="CB75" s="106"/>
      <c r="CC75" s="108">
        <f>SUM(Tabelle4[[#This Row],[Projektverantwortung
(Lenkungsausschuss)   ]:[Kommunikation   ]])</f>
        <v>0</v>
      </c>
      <c r="CD75" s="105"/>
      <c r="CE75" s="106"/>
      <c r="CF75" s="106"/>
      <c r="CG75" s="106"/>
      <c r="CH75" s="106"/>
      <c r="CI75" s="106"/>
      <c r="CJ75" s="106"/>
      <c r="CK75" s="106"/>
      <c r="CL75" s="108">
        <f>SUM(Tabelle4[[#This Row],[Projektverantwortung
(Lenkungsausschuss).]:[Kommunikation    ]])</f>
        <v>0</v>
      </c>
      <c r="CM75" s="105"/>
      <c r="CN75" s="106"/>
      <c r="CO75" s="106"/>
      <c r="CP75" s="106"/>
      <c r="CQ75" s="106"/>
      <c r="CR75" s="106"/>
      <c r="CS75" s="106"/>
      <c r="CT75" s="106"/>
      <c r="CU75" s="108">
        <f>SUM(Tabelle4[[#This Row],[Projektverantwortung
(Lenkungsausschuss)    ]:[Kommunikation     ]])</f>
        <v>0</v>
      </c>
      <c r="CV75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75" s="105"/>
      <c r="CX75" s="105"/>
      <c r="CY75" s="105"/>
      <c r="CZ75" s="105"/>
      <c r="DA75" s="105"/>
      <c r="DB75" s="105"/>
      <c r="DC75" s="105"/>
      <c r="DD75" s="105"/>
      <c r="DE75" s="107">
        <f>SUM(Tabelle4[[#This Row],[Aufwand ]],Tabelle4[[#This Row],[Aufwand 2]],Tabelle4[[#This Row],[Aufwand 3]],Tabelle4[[#This Row],[Aufwand 4]])</f>
        <v>0</v>
      </c>
      <c r="DF75" s="105"/>
      <c r="DG75" s="105"/>
      <c r="DH75" s="105"/>
      <c r="DI75" s="105"/>
      <c r="DJ75" s="105"/>
      <c r="DK75" s="105"/>
      <c r="DL75" s="105"/>
      <c r="DM75" s="105"/>
      <c r="DN75" s="107">
        <f>SUM(Tabelle4[[#This Row],[Aufwand  ]],Tabelle4[[#This Row],[Aufwand  2]],Tabelle4[[#This Row],[Aufwand  3]],Tabelle4[[#This Row],[Aufwand  4]])</f>
        <v>0</v>
      </c>
      <c r="DO75" s="105"/>
      <c r="DP75" s="105"/>
      <c r="DQ75" s="105"/>
      <c r="DR75" s="105"/>
      <c r="DS75" s="105"/>
      <c r="DT75" s="105"/>
      <c r="DU75" s="105"/>
      <c r="DV75" s="105"/>
      <c r="DW75" s="107">
        <f>SUM(Tabelle4[[#This Row],[Aufwand   ]],Tabelle4[[#This Row],[Aufwand   2]],Tabelle4[[#This Row],[Aufwand   3]],Tabelle4[[#This Row],[Aufwand   4]])</f>
        <v>0</v>
      </c>
      <c r="DX75" s="105"/>
      <c r="DY75" s="105"/>
      <c r="DZ75" s="105"/>
      <c r="EA75" s="105"/>
      <c r="EB75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75" s="122">
        <f>Tabelle4[[#This Row],[Gesamaufwand]]/2000</f>
        <v>0</v>
      </c>
      <c r="ED75" s="48"/>
      <c r="EE75" s="48"/>
      <c r="EF75" s="48"/>
      <c r="EG75" s="48"/>
      <c r="EH75" s="48"/>
      <c r="EI75" s="47"/>
      <c r="EJ75" s="47"/>
      <c r="EK75" s="47"/>
      <c r="EL75" s="47"/>
    </row>
    <row r="76" spans="1:142">
      <c r="A76" s="265" t="s">
        <v>205</v>
      </c>
      <c r="B76" s="251" t="s">
        <v>1331</v>
      </c>
      <c r="C76" s="254" t="s">
        <v>690</v>
      </c>
      <c r="D76" s="251"/>
      <c r="E76" s="251" t="s">
        <v>859</v>
      </c>
      <c r="F76" s="253"/>
      <c r="G76" s="253"/>
      <c r="H76" s="253"/>
      <c r="I76" s="254"/>
      <c r="J76" s="254"/>
      <c r="K76" s="105"/>
      <c r="L76" s="105"/>
      <c r="M76" s="48"/>
      <c r="N76" s="105"/>
      <c r="O76" s="255" t="s">
        <v>206</v>
      </c>
      <c r="P76" s="261">
        <v>5</v>
      </c>
      <c r="Q76" s="261">
        <v>0</v>
      </c>
      <c r="R76" s="261">
        <v>0</v>
      </c>
      <c r="S76" s="262" t="s">
        <v>207</v>
      </c>
      <c r="T76" s="263" t="s">
        <v>673</v>
      </c>
      <c r="U76" s="105"/>
      <c r="V76" s="259" t="s">
        <v>12</v>
      </c>
      <c r="W76" s="105" t="s">
        <v>690</v>
      </c>
      <c r="X76" s="105" t="s">
        <v>690</v>
      </c>
      <c r="Y76" s="105" t="s">
        <v>690</v>
      </c>
      <c r="Z76" s="105" t="s">
        <v>690</v>
      </c>
      <c r="AA76" s="105" t="s">
        <v>690</v>
      </c>
      <c r="AB76" s="105" t="s">
        <v>690</v>
      </c>
      <c r="AC76" s="105" t="s">
        <v>690</v>
      </c>
      <c r="AD76" s="105" t="s">
        <v>690</v>
      </c>
      <c r="AE76" s="105"/>
      <c r="AF76" s="105"/>
      <c r="AG76" s="105"/>
      <c r="AH76" s="115" t="s">
        <v>690</v>
      </c>
      <c r="AI76" s="115"/>
      <c r="AJ76" s="115"/>
      <c r="AK76" s="105"/>
      <c r="AL76" s="115"/>
      <c r="AM76" s="115"/>
      <c r="AN76" s="115"/>
      <c r="AO76" s="260">
        <f>Tabelle4[[#This Row],[Kredit-  / Budgetsumme
(RADAR: Gesamtkosten S)]]-Tabelle4[[#This Row],[Netto-Ausgaben Vorjahre ]]</f>
        <v>0</v>
      </c>
      <c r="AP76" s="310"/>
      <c r="AQ76" s="311"/>
      <c r="AR76" s="115">
        <f>Tabelle4[[#This Row],[Kreditrest per 1.1. aktuelles Jahr]]-Tabelle4[[#This Row],[Prognose 2018
(RADAR: Kosten 2018 S)]]</f>
        <v>0</v>
      </c>
      <c r="AS76" s="115"/>
      <c r="AT76" s="311"/>
      <c r="AU76" s="115"/>
      <c r="AV76" s="311"/>
      <c r="AW76" s="115"/>
      <c r="AX76" s="311"/>
      <c r="AY76" s="115"/>
      <c r="AZ76" s="311"/>
      <c r="BA76" s="115"/>
      <c r="BB76" s="311"/>
      <c r="BC76" s="115"/>
      <c r="BD76" s="311"/>
      <c r="BE76" s="115"/>
      <c r="BF76" s="311"/>
      <c r="BG76" s="115"/>
      <c r="BH76" s="311"/>
      <c r="BI76" s="115"/>
      <c r="BJ76" s="115"/>
      <c r="BK76" s="264"/>
      <c r="BL76" s="105"/>
      <c r="BM76" s="106"/>
      <c r="BN76" s="106"/>
      <c r="BO76" s="106"/>
      <c r="BP76" s="106"/>
      <c r="BQ76" s="106"/>
      <c r="BR76" s="106"/>
      <c r="BS76" s="106"/>
      <c r="BT76" s="108">
        <f>SUM(Tabelle4[[#This Row],[Projektverantwortung
(Lenkungsausschuss) ]:[Kommunikation ]])</f>
        <v>0</v>
      </c>
      <c r="BU76" s="105"/>
      <c r="BV76" s="106"/>
      <c r="BW76" s="106"/>
      <c r="BX76" s="106"/>
      <c r="BY76" s="106"/>
      <c r="BZ76" s="106"/>
      <c r="CA76" s="106"/>
      <c r="CB76" s="106"/>
      <c r="CC76" s="108">
        <f>SUM(Tabelle4[[#This Row],[Projektverantwortung
(Lenkungsausschuss)   ]:[Kommunikation   ]])</f>
        <v>0</v>
      </c>
      <c r="CD76" s="105"/>
      <c r="CE76" s="106"/>
      <c r="CF76" s="106"/>
      <c r="CG76" s="106"/>
      <c r="CH76" s="106"/>
      <c r="CI76" s="106"/>
      <c r="CJ76" s="106"/>
      <c r="CK76" s="106"/>
      <c r="CL76" s="108">
        <f>SUM(Tabelle4[[#This Row],[Projektverantwortung
(Lenkungsausschuss).]:[Kommunikation    ]])</f>
        <v>0</v>
      </c>
      <c r="CM76" s="105"/>
      <c r="CN76" s="106"/>
      <c r="CO76" s="106"/>
      <c r="CP76" s="106"/>
      <c r="CQ76" s="106"/>
      <c r="CR76" s="106"/>
      <c r="CS76" s="106"/>
      <c r="CT76" s="106"/>
      <c r="CU76" s="108">
        <f>SUM(Tabelle4[[#This Row],[Projektverantwortung
(Lenkungsausschuss)    ]:[Kommunikation     ]])</f>
        <v>0</v>
      </c>
      <c r="CV76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76" s="105"/>
      <c r="CX76" s="105"/>
      <c r="CY76" s="105"/>
      <c r="CZ76" s="105"/>
      <c r="DA76" s="105"/>
      <c r="DB76" s="105"/>
      <c r="DC76" s="105"/>
      <c r="DD76" s="105"/>
      <c r="DE76" s="107">
        <f>SUM(Tabelle4[[#This Row],[Aufwand ]],Tabelle4[[#This Row],[Aufwand 2]],Tabelle4[[#This Row],[Aufwand 3]],Tabelle4[[#This Row],[Aufwand 4]])</f>
        <v>0</v>
      </c>
      <c r="DF76" s="105"/>
      <c r="DG76" s="105"/>
      <c r="DH76" s="105"/>
      <c r="DI76" s="105"/>
      <c r="DJ76" s="105"/>
      <c r="DK76" s="105"/>
      <c r="DL76" s="105"/>
      <c r="DM76" s="105"/>
      <c r="DN76" s="107">
        <f>SUM(Tabelle4[[#This Row],[Aufwand  ]],Tabelle4[[#This Row],[Aufwand  2]],Tabelle4[[#This Row],[Aufwand  3]],Tabelle4[[#This Row],[Aufwand  4]])</f>
        <v>0</v>
      </c>
      <c r="DO76" s="105"/>
      <c r="DP76" s="105"/>
      <c r="DQ76" s="105"/>
      <c r="DR76" s="105"/>
      <c r="DS76" s="105"/>
      <c r="DT76" s="105"/>
      <c r="DU76" s="105"/>
      <c r="DV76" s="105"/>
      <c r="DW76" s="107">
        <f>SUM(Tabelle4[[#This Row],[Aufwand   ]],Tabelle4[[#This Row],[Aufwand   2]],Tabelle4[[#This Row],[Aufwand   3]],Tabelle4[[#This Row],[Aufwand   4]])</f>
        <v>0</v>
      </c>
      <c r="DX76" s="105"/>
      <c r="DY76" s="105"/>
      <c r="DZ76" s="105"/>
      <c r="EA76" s="105"/>
      <c r="EB76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76" s="122">
        <f>Tabelle4[[#This Row],[Gesamaufwand]]/2000</f>
        <v>0</v>
      </c>
      <c r="ED76" s="47"/>
      <c r="EE76" s="47"/>
      <c r="EF76" s="47"/>
      <c r="EG76" s="47"/>
      <c r="EH76" s="47"/>
      <c r="EI76" s="47"/>
      <c r="EJ76" s="47"/>
      <c r="EK76" s="47"/>
      <c r="EL76" s="47"/>
    </row>
    <row r="77" spans="1:142">
      <c r="A77" s="255" t="s">
        <v>178</v>
      </c>
      <c r="B77" s="251" t="s">
        <v>75</v>
      </c>
      <c r="C77" s="254" t="s">
        <v>690</v>
      </c>
      <c r="D77" s="251" t="s">
        <v>915</v>
      </c>
      <c r="E77" s="251" t="s">
        <v>118</v>
      </c>
      <c r="F77" s="253">
        <v>2</v>
      </c>
      <c r="G77" s="253">
        <v>1</v>
      </c>
      <c r="H77" s="253"/>
      <c r="I77" s="254" t="s">
        <v>95</v>
      </c>
      <c r="J77" s="254"/>
      <c r="K77" s="105"/>
      <c r="L77" s="105"/>
      <c r="M77" s="48"/>
      <c r="N77" s="105"/>
      <c r="O77" s="255" t="s">
        <v>179</v>
      </c>
      <c r="P77" s="261">
        <v>4</v>
      </c>
      <c r="Q77" s="261">
        <v>0</v>
      </c>
      <c r="R77" s="261">
        <v>0</v>
      </c>
      <c r="S77" s="262" t="s">
        <v>138</v>
      </c>
      <c r="T77" s="263" t="s">
        <v>673</v>
      </c>
      <c r="U77" s="105"/>
      <c r="V77" s="259" t="s">
        <v>12</v>
      </c>
      <c r="W77" s="105" t="s">
        <v>8</v>
      </c>
      <c r="X77" s="105" t="s">
        <v>11</v>
      </c>
      <c r="Y77" s="105" t="s">
        <v>690</v>
      </c>
      <c r="Z77" s="105" t="s">
        <v>10</v>
      </c>
      <c r="AA77" s="105" t="s">
        <v>690</v>
      </c>
      <c r="AB77" s="105" t="s">
        <v>690</v>
      </c>
      <c r="AC77" s="105" t="s">
        <v>690</v>
      </c>
      <c r="AD77" s="105" t="s">
        <v>12</v>
      </c>
      <c r="AE77" s="105"/>
      <c r="AF77" s="105"/>
      <c r="AG77" s="105"/>
      <c r="AH77" s="115" t="s">
        <v>1092</v>
      </c>
      <c r="AI77" s="115"/>
      <c r="AJ77" s="115"/>
      <c r="AK77" s="105"/>
      <c r="AL77" s="115"/>
      <c r="AM77" s="115"/>
      <c r="AN77" s="115"/>
      <c r="AO77" s="260"/>
      <c r="AP77" s="310"/>
      <c r="AQ77" s="311">
        <v>1000</v>
      </c>
      <c r="AR77" s="115"/>
      <c r="AS77" s="115"/>
      <c r="AT77" s="311">
        <v>1000</v>
      </c>
      <c r="AU77" s="115"/>
      <c r="AV77" s="311">
        <v>1000</v>
      </c>
      <c r="AW77" s="115"/>
      <c r="AX77" s="311">
        <v>1000</v>
      </c>
      <c r="AY77" s="115"/>
      <c r="AZ77" s="311">
        <v>1000</v>
      </c>
      <c r="BA77" s="115"/>
      <c r="BB77" s="311">
        <v>1000</v>
      </c>
      <c r="BC77" s="115"/>
      <c r="BD77" s="311">
        <v>1000</v>
      </c>
      <c r="BE77" s="115"/>
      <c r="BF77" s="311">
        <v>1000</v>
      </c>
      <c r="BG77" s="115"/>
      <c r="BH77" s="311">
        <v>1000</v>
      </c>
      <c r="BI77" s="115"/>
      <c r="BJ77" s="115"/>
      <c r="BK77" s="264"/>
      <c r="BL77" s="105"/>
      <c r="BM77" s="106"/>
      <c r="BN77" s="106"/>
      <c r="BO77" s="106"/>
      <c r="BP77" s="106"/>
      <c r="BQ77" s="106"/>
      <c r="BR77" s="106"/>
      <c r="BS77" s="106"/>
      <c r="BT77" s="108">
        <f>SUM(Tabelle4[[#This Row],[Projektverantwortung
(Lenkungsausschuss) ]:[Kommunikation ]])</f>
        <v>0</v>
      </c>
      <c r="BU77" s="105"/>
      <c r="BV77" s="106"/>
      <c r="BW77" s="106"/>
      <c r="BX77" s="106"/>
      <c r="BY77" s="106"/>
      <c r="BZ77" s="106"/>
      <c r="CA77" s="106"/>
      <c r="CB77" s="106"/>
      <c r="CC77" s="108">
        <f>SUM(Tabelle4[[#This Row],[Projektverantwortung
(Lenkungsausschuss)   ]:[Kommunikation   ]])</f>
        <v>0</v>
      </c>
      <c r="CD77" s="105"/>
      <c r="CE77" s="106"/>
      <c r="CF77" s="106"/>
      <c r="CG77" s="106"/>
      <c r="CH77" s="106"/>
      <c r="CI77" s="106"/>
      <c r="CJ77" s="106"/>
      <c r="CK77" s="106"/>
      <c r="CL77" s="108">
        <f>SUM(Tabelle4[[#This Row],[Projektverantwortung
(Lenkungsausschuss).]:[Kommunikation    ]])</f>
        <v>0</v>
      </c>
      <c r="CM77" s="105"/>
      <c r="CN77" s="106"/>
      <c r="CO77" s="106"/>
      <c r="CP77" s="106"/>
      <c r="CQ77" s="106"/>
      <c r="CR77" s="106"/>
      <c r="CS77" s="106"/>
      <c r="CT77" s="106"/>
      <c r="CU77" s="108">
        <f>SUM(Tabelle4[[#This Row],[Projektverantwortung
(Lenkungsausschuss)    ]:[Kommunikation     ]])</f>
        <v>0</v>
      </c>
      <c r="CV77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77" s="105"/>
      <c r="CX77" s="105"/>
      <c r="CY77" s="105"/>
      <c r="CZ77" s="105"/>
      <c r="DA77" s="105"/>
      <c r="DB77" s="105"/>
      <c r="DC77" s="105"/>
      <c r="DD77" s="105"/>
      <c r="DE77" s="107">
        <f>SUM(Tabelle4[[#This Row],[Aufwand ]],Tabelle4[[#This Row],[Aufwand 2]],Tabelle4[[#This Row],[Aufwand 3]],Tabelle4[[#This Row],[Aufwand 4]])</f>
        <v>0</v>
      </c>
      <c r="DF77" s="105"/>
      <c r="DG77" s="105"/>
      <c r="DH77" s="105"/>
      <c r="DI77" s="105"/>
      <c r="DJ77" s="105"/>
      <c r="DK77" s="105"/>
      <c r="DL77" s="105"/>
      <c r="DM77" s="105"/>
      <c r="DN77" s="107">
        <f>SUM(Tabelle4[[#This Row],[Aufwand  ]],Tabelle4[[#This Row],[Aufwand  2]],Tabelle4[[#This Row],[Aufwand  3]],Tabelle4[[#This Row],[Aufwand  4]])</f>
        <v>0</v>
      </c>
      <c r="DO77" s="105"/>
      <c r="DP77" s="105"/>
      <c r="DQ77" s="105"/>
      <c r="DR77" s="105"/>
      <c r="DS77" s="105"/>
      <c r="DT77" s="105"/>
      <c r="DU77" s="105"/>
      <c r="DV77" s="105"/>
      <c r="DW77" s="107">
        <f>SUM(Tabelle4[[#This Row],[Aufwand   ]],Tabelle4[[#This Row],[Aufwand   2]],Tabelle4[[#This Row],[Aufwand   3]],Tabelle4[[#This Row],[Aufwand   4]])</f>
        <v>0</v>
      </c>
      <c r="DX77" s="105"/>
      <c r="DY77" s="105"/>
      <c r="DZ77" s="105"/>
      <c r="EA77" s="105"/>
      <c r="EB77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77" s="122">
        <f>Tabelle4[[#This Row],[Gesamaufwand]]/2000</f>
        <v>0</v>
      </c>
      <c r="ED77" s="48"/>
      <c r="EE77" s="48"/>
      <c r="EF77" s="48"/>
      <c r="EG77" s="48"/>
      <c r="EH77" s="48"/>
      <c r="EI77" s="47"/>
      <c r="EJ77" s="47"/>
      <c r="EK77" s="47"/>
      <c r="EL77" s="47"/>
    </row>
    <row r="78" spans="1:142">
      <c r="A78" s="265" t="s">
        <v>136</v>
      </c>
      <c r="B78" s="251" t="s">
        <v>1331</v>
      </c>
      <c r="C78" s="254" t="s">
        <v>690</v>
      </c>
      <c r="D78" s="251"/>
      <c r="E78" s="251"/>
      <c r="F78" s="253"/>
      <c r="G78" s="253"/>
      <c r="H78" s="253"/>
      <c r="I78" s="254"/>
      <c r="J78" s="254"/>
      <c r="K78" s="105"/>
      <c r="L78" s="105"/>
      <c r="M78" s="48"/>
      <c r="N78" s="105"/>
      <c r="O78" s="255" t="s">
        <v>137</v>
      </c>
      <c r="P78" s="261">
        <v>3</v>
      </c>
      <c r="Q78" s="261">
        <v>0</v>
      </c>
      <c r="R78" s="261">
        <v>0</v>
      </c>
      <c r="S78" s="262" t="s">
        <v>138</v>
      </c>
      <c r="T78" s="263" t="s">
        <v>673</v>
      </c>
      <c r="U78" s="105"/>
      <c r="V78" s="259" t="s">
        <v>12</v>
      </c>
      <c r="W78" s="105" t="s">
        <v>690</v>
      </c>
      <c r="X78" s="105" t="s">
        <v>690</v>
      </c>
      <c r="Y78" s="105" t="s">
        <v>690</v>
      </c>
      <c r="Z78" s="105" t="s">
        <v>690</v>
      </c>
      <c r="AA78" s="105" t="s">
        <v>690</v>
      </c>
      <c r="AB78" s="105" t="s">
        <v>690</v>
      </c>
      <c r="AC78" s="105" t="s">
        <v>690</v>
      </c>
      <c r="AD78" s="105" t="s">
        <v>690</v>
      </c>
      <c r="AE78" s="105"/>
      <c r="AF78" s="105"/>
      <c r="AG78" s="105"/>
      <c r="AH78" s="115" t="s">
        <v>690</v>
      </c>
      <c r="AI78" s="115"/>
      <c r="AJ78" s="115"/>
      <c r="AK78" s="105"/>
      <c r="AL78" s="115"/>
      <c r="AM78" s="115"/>
      <c r="AN78" s="115"/>
      <c r="AO78" s="260">
        <f>Tabelle4[[#This Row],[Kredit-  / Budgetsumme
(RADAR: Gesamtkosten S)]]-Tabelle4[[#This Row],[Netto-Ausgaben Vorjahre ]]</f>
        <v>0</v>
      </c>
      <c r="AP78" s="310"/>
      <c r="AQ78" s="311"/>
      <c r="AR78" s="115">
        <f>Tabelle4[[#This Row],[Kreditrest per 1.1. aktuelles Jahr]]-Tabelle4[[#This Row],[Prognose 2018
(RADAR: Kosten 2018 S)]]</f>
        <v>0</v>
      </c>
      <c r="AS78" s="115"/>
      <c r="AT78" s="311"/>
      <c r="AU78" s="115"/>
      <c r="AV78" s="311"/>
      <c r="AW78" s="115"/>
      <c r="AX78" s="311"/>
      <c r="AY78" s="115"/>
      <c r="AZ78" s="311"/>
      <c r="BA78" s="115"/>
      <c r="BB78" s="311"/>
      <c r="BC78" s="115"/>
      <c r="BD78" s="311"/>
      <c r="BE78" s="115"/>
      <c r="BF78" s="311"/>
      <c r="BG78" s="115"/>
      <c r="BH78" s="311"/>
      <c r="BI78" s="115"/>
      <c r="BJ78" s="115"/>
      <c r="BK78" s="264"/>
      <c r="BL78" s="105"/>
      <c r="BM78" s="106"/>
      <c r="BN78" s="106"/>
      <c r="BO78" s="106"/>
      <c r="BP78" s="106"/>
      <c r="BQ78" s="106"/>
      <c r="BR78" s="106"/>
      <c r="BS78" s="106"/>
      <c r="BT78" s="108">
        <f>SUM(Tabelle4[[#This Row],[Projektverantwortung
(Lenkungsausschuss) ]:[Kommunikation ]])</f>
        <v>0</v>
      </c>
      <c r="BU78" s="105"/>
      <c r="BV78" s="106"/>
      <c r="BW78" s="106"/>
      <c r="BX78" s="106"/>
      <c r="BY78" s="106"/>
      <c r="BZ78" s="106"/>
      <c r="CA78" s="106"/>
      <c r="CB78" s="106"/>
      <c r="CC78" s="108">
        <f>SUM(Tabelle4[[#This Row],[Projektverantwortung
(Lenkungsausschuss)   ]:[Kommunikation   ]])</f>
        <v>0</v>
      </c>
      <c r="CD78" s="105"/>
      <c r="CE78" s="106"/>
      <c r="CF78" s="106"/>
      <c r="CG78" s="106"/>
      <c r="CH78" s="106"/>
      <c r="CI78" s="106"/>
      <c r="CJ78" s="106"/>
      <c r="CK78" s="106"/>
      <c r="CL78" s="108">
        <f>SUM(Tabelle4[[#This Row],[Projektverantwortung
(Lenkungsausschuss).]:[Kommunikation    ]])</f>
        <v>0</v>
      </c>
      <c r="CM78" s="105"/>
      <c r="CN78" s="106"/>
      <c r="CO78" s="106"/>
      <c r="CP78" s="106"/>
      <c r="CQ78" s="106"/>
      <c r="CR78" s="106"/>
      <c r="CS78" s="106"/>
      <c r="CT78" s="106"/>
      <c r="CU78" s="108">
        <f>SUM(Tabelle4[[#This Row],[Projektverantwortung
(Lenkungsausschuss)    ]:[Kommunikation     ]])</f>
        <v>0</v>
      </c>
      <c r="CV78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78" s="105"/>
      <c r="CX78" s="105"/>
      <c r="CY78" s="105"/>
      <c r="CZ78" s="105"/>
      <c r="DA78" s="105"/>
      <c r="DB78" s="105"/>
      <c r="DC78" s="105"/>
      <c r="DD78" s="105"/>
      <c r="DE78" s="107">
        <f>SUM(Tabelle4[[#This Row],[Aufwand ]],Tabelle4[[#This Row],[Aufwand 2]],Tabelle4[[#This Row],[Aufwand 3]],Tabelle4[[#This Row],[Aufwand 4]])</f>
        <v>0</v>
      </c>
      <c r="DF78" s="105"/>
      <c r="DG78" s="105"/>
      <c r="DH78" s="105"/>
      <c r="DI78" s="105"/>
      <c r="DJ78" s="105"/>
      <c r="DK78" s="105"/>
      <c r="DL78" s="105"/>
      <c r="DM78" s="105"/>
      <c r="DN78" s="107">
        <f>SUM(Tabelle4[[#This Row],[Aufwand  ]],Tabelle4[[#This Row],[Aufwand  2]],Tabelle4[[#This Row],[Aufwand  3]],Tabelle4[[#This Row],[Aufwand  4]])</f>
        <v>0</v>
      </c>
      <c r="DO78" s="105"/>
      <c r="DP78" s="105"/>
      <c r="DQ78" s="105"/>
      <c r="DR78" s="105"/>
      <c r="DS78" s="105"/>
      <c r="DT78" s="105"/>
      <c r="DU78" s="105"/>
      <c r="DV78" s="105"/>
      <c r="DW78" s="107">
        <f>SUM(Tabelle4[[#This Row],[Aufwand   ]],Tabelle4[[#This Row],[Aufwand   2]],Tabelle4[[#This Row],[Aufwand   3]],Tabelle4[[#This Row],[Aufwand   4]])</f>
        <v>0</v>
      </c>
      <c r="DX78" s="105"/>
      <c r="DY78" s="105"/>
      <c r="DZ78" s="105"/>
      <c r="EA78" s="105"/>
      <c r="EB78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78" s="122">
        <f>Tabelle4[[#This Row],[Gesamaufwand]]/2000</f>
        <v>0</v>
      </c>
      <c r="ED78" s="47"/>
      <c r="EE78" s="47"/>
      <c r="EF78" s="47"/>
      <c r="EG78" s="47"/>
      <c r="EH78" s="47"/>
      <c r="EI78" s="47"/>
      <c r="EJ78" s="47"/>
      <c r="EK78" s="47"/>
      <c r="EL78" s="47"/>
    </row>
    <row r="79" spans="1:142">
      <c r="A79" s="265" t="s">
        <v>180</v>
      </c>
      <c r="B79" s="251" t="s">
        <v>1331</v>
      </c>
      <c r="C79" s="254" t="s">
        <v>690</v>
      </c>
      <c r="D79" s="251"/>
      <c r="E79" s="251" t="s">
        <v>859</v>
      </c>
      <c r="F79" s="253"/>
      <c r="G79" s="253"/>
      <c r="H79" s="253"/>
      <c r="I79" s="254"/>
      <c r="J79" s="254"/>
      <c r="K79" s="105"/>
      <c r="L79" s="105"/>
      <c r="M79" s="48"/>
      <c r="N79" s="105"/>
      <c r="O79" s="255" t="s">
        <v>181</v>
      </c>
      <c r="P79" s="261">
        <v>3</v>
      </c>
      <c r="Q79" s="261">
        <v>0</v>
      </c>
      <c r="R79" s="261">
        <v>0</v>
      </c>
      <c r="S79" s="262" t="s">
        <v>123</v>
      </c>
      <c r="T79" s="263" t="s">
        <v>673</v>
      </c>
      <c r="U79" s="105"/>
      <c r="V79" s="259" t="s">
        <v>12</v>
      </c>
      <c r="W79" s="105" t="s">
        <v>690</v>
      </c>
      <c r="X79" s="105" t="s">
        <v>690</v>
      </c>
      <c r="Y79" s="105" t="s">
        <v>690</v>
      </c>
      <c r="Z79" s="105" t="s">
        <v>690</v>
      </c>
      <c r="AA79" s="105" t="s">
        <v>690</v>
      </c>
      <c r="AB79" s="105" t="s">
        <v>690</v>
      </c>
      <c r="AC79" s="105" t="s">
        <v>690</v>
      </c>
      <c r="AD79" s="105" t="s">
        <v>690</v>
      </c>
      <c r="AE79" s="105"/>
      <c r="AF79" s="105"/>
      <c r="AG79" s="105"/>
      <c r="AH79" s="115" t="s">
        <v>690</v>
      </c>
      <c r="AI79" s="115"/>
      <c r="AJ79" s="115"/>
      <c r="AK79" s="105"/>
      <c r="AL79" s="115"/>
      <c r="AM79" s="115"/>
      <c r="AN79" s="115"/>
      <c r="AO79" s="260">
        <f>Tabelle4[[#This Row],[Kredit-  / Budgetsumme
(RADAR: Gesamtkosten S)]]-Tabelle4[[#This Row],[Netto-Ausgaben Vorjahre ]]</f>
        <v>0</v>
      </c>
      <c r="AP79" s="310"/>
      <c r="AQ79" s="311"/>
      <c r="AR79" s="115">
        <f>Tabelle4[[#This Row],[Kreditrest per 1.1. aktuelles Jahr]]-Tabelle4[[#This Row],[Prognose 2018
(RADAR: Kosten 2018 S)]]</f>
        <v>0</v>
      </c>
      <c r="AS79" s="115"/>
      <c r="AT79" s="311"/>
      <c r="AU79" s="115"/>
      <c r="AV79" s="311"/>
      <c r="AW79" s="115"/>
      <c r="AX79" s="311"/>
      <c r="AY79" s="115"/>
      <c r="AZ79" s="311"/>
      <c r="BA79" s="115"/>
      <c r="BB79" s="311"/>
      <c r="BC79" s="115"/>
      <c r="BD79" s="311"/>
      <c r="BE79" s="115"/>
      <c r="BF79" s="311"/>
      <c r="BG79" s="115"/>
      <c r="BH79" s="311"/>
      <c r="BI79" s="115"/>
      <c r="BJ79" s="115"/>
      <c r="BK79" s="264"/>
      <c r="BL79" s="105"/>
      <c r="BM79" s="106"/>
      <c r="BN79" s="106"/>
      <c r="BO79" s="106"/>
      <c r="BP79" s="106"/>
      <c r="BQ79" s="106"/>
      <c r="BR79" s="106"/>
      <c r="BS79" s="106"/>
      <c r="BT79" s="108">
        <f>SUM(Tabelle4[[#This Row],[Projektverantwortung
(Lenkungsausschuss) ]:[Kommunikation ]])</f>
        <v>0</v>
      </c>
      <c r="BU79" s="105"/>
      <c r="BV79" s="106"/>
      <c r="BW79" s="106"/>
      <c r="BX79" s="106"/>
      <c r="BY79" s="106"/>
      <c r="BZ79" s="106"/>
      <c r="CA79" s="106"/>
      <c r="CB79" s="106"/>
      <c r="CC79" s="108">
        <f>SUM(Tabelle4[[#This Row],[Projektverantwortung
(Lenkungsausschuss)   ]:[Kommunikation   ]])</f>
        <v>0</v>
      </c>
      <c r="CD79" s="105"/>
      <c r="CE79" s="106"/>
      <c r="CF79" s="106"/>
      <c r="CG79" s="106"/>
      <c r="CH79" s="106"/>
      <c r="CI79" s="106"/>
      <c r="CJ79" s="106"/>
      <c r="CK79" s="106"/>
      <c r="CL79" s="108">
        <f>SUM(Tabelle4[[#This Row],[Projektverantwortung
(Lenkungsausschuss).]:[Kommunikation    ]])</f>
        <v>0</v>
      </c>
      <c r="CM79" s="105"/>
      <c r="CN79" s="106"/>
      <c r="CO79" s="106"/>
      <c r="CP79" s="106"/>
      <c r="CQ79" s="106"/>
      <c r="CR79" s="106"/>
      <c r="CS79" s="106"/>
      <c r="CT79" s="106"/>
      <c r="CU79" s="108">
        <f>SUM(Tabelle4[[#This Row],[Projektverantwortung
(Lenkungsausschuss)    ]:[Kommunikation     ]])</f>
        <v>0</v>
      </c>
      <c r="CV79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79" s="105"/>
      <c r="CX79" s="105"/>
      <c r="CY79" s="105"/>
      <c r="CZ79" s="105"/>
      <c r="DA79" s="105"/>
      <c r="DB79" s="105"/>
      <c r="DC79" s="105"/>
      <c r="DD79" s="105"/>
      <c r="DE79" s="107">
        <f>SUM(Tabelle4[[#This Row],[Aufwand ]],Tabelle4[[#This Row],[Aufwand 2]],Tabelle4[[#This Row],[Aufwand 3]],Tabelle4[[#This Row],[Aufwand 4]])</f>
        <v>0</v>
      </c>
      <c r="DF79" s="105"/>
      <c r="DG79" s="105"/>
      <c r="DH79" s="105"/>
      <c r="DI79" s="105"/>
      <c r="DJ79" s="105"/>
      <c r="DK79" s="105"/>
      <c r="DL79" s="105"/>
      <c r="DM79" s="105"/>
      <c r="DN79" s="107">
        <f>SUM(Tabelle4[[#This Row],[Aufwand  ]],Tabelle4[[#This Row],[Aufwand  2]],Tabelle4[[#This Row],[Aufwand  3]],Tabelle4[[#This Row],[Aufwand  4]])</f>
        <v>0</v>
      </c>
      <c r="DO79" s="105"/>
      <c r="DP79" s="105"/>
      <c r="DQ79" s="105"/>
      <c r="DR79" s="105"/>
      <c r="DS79" s="105"/>
      <c r="DT79" s="105"/>
      <c r="DU79" s="105"/>
      <c r="DV79" s="105"/>
      <c r="DW79" s="107">
        <f>SUM(Tabelle4[[#This Row],[Aufwand   ]],Tabelle4[[#This Row],[Aufwand   2]],Tabelle4[[#This Row],[Aufwand   3]],Tabelle4[[#This Row],[Aufwand   4]])</f>
        <v>0</v>
      </c>
      <c r="DX79" s="105"/>
      <c r="DY79" s="105"/>
      <c r="DZ79" s="105"/>
      <c r="EA79" s="105"/>
      <c r="EB79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79" s="122">
        <f>Tabelle4[[#This Row],[Gesamaufwand]]/2000</f>
        <v>0</v>
      </c>
      <c r="ED79" s="48"/>
      <c r="EE79" s="48"/>
      <c r="EF79" s="48"/>
      <c r="EG79" s="48"/>
      <c r="EH79" s="48"/>
      <c r="EI79" s="47"/>
      <c r="EJ79" s="47"/>
      <c r="EK79" s="47"/>
      <c r="EL79" s="47"/>
    </row>
    <row r="80" spans="1:142">
      <c r="A80" s="255" t="s">
        <v>393</v>
      </c>
      <c r="B80" s="251" t="s">
        <v>105</v>
      </c>
      <c r="C80" s="254" t="s">
        <v>67</v>
      </c>
      <c r="D80" s="251" t="s">
        <v>914</v>
      </c>
      <c r="E80" s="251" t="s">
        <v>113</v>
      </c>
      <c r="F80" s="253">
        <v>2</v>
      </c>
      <c r="G80" s="253">
        <v>2</v>
      </c>
      <c r="H80" s="253"/>
      <c r="I80" s="254" t="s">
        <v>95</v>
      </c>
      <c r="J80" s="254"/>
      <c r="K80" s="105"/>
      <c r="L80" s="105"/>
      <c r="M80" s="48"/>
      <c r="N80" s="105"/>
      <c r="O80" s="255" t="s">
        <v>394</v>
      </c>
      <c r="P80" s="261">
        <v>1</v>
      </c>
      <c r="Q80" s="261">
        <v>0</v>
      </c>
      <c r="R80" s="261">
        <v>0</v>
      </c>
      <c r="S80" s="262" t="s">
        <v>395</v>
      </c>
      <c r="T80" s="263" t="s">
        <v>663</v>
      </c>
      <c r="U80" s="105"/>
      <c r="V80" s="259" t="s">
        <v>12</v>
      </c>
      <c r="W80" s="105" t="s">
        <v>6</v>
      </c>
      <c r="X80" s="105" t="s">
        <v>86</v>
      </c>
      <c r="Y80" s="105" t="s">
        <v>690</v>
      </c>
      <c r="Z80" s="105" t="s">
        <v>78</v>
      </c>
      <c r="AA80" s="105" t="s">
        <v>13</v>
      </c>
      <c r="AB80" s="105" t="s">
        <v>13</v>
      </c>
      <c r="AC80" s="105" t="s">
        <v>634</v>
      </c>
      <c r="AD80" s="105" t="s">
        <v>12</v>
      </c>
      <c r="AE80" s="105"/>
      <c r="AF80" s="105"/>
      <c r="AG80" s="105"/>
      <c r="AH80" s="115" t="s">
        <v>799</v>
      </c>
      <c r="AI80" s="115" t="s">
        <v>73</v>
      </c>
      <c r="AJ80" s="115" t="s">
        <v>74</v>
      </c>
      <c r="AK80" s="105" t="s">
        <v>808</v>
      </c>
      <c r="AL80" s="115">
        <v>120000</v>
      </c>
      <c r="AM80" s="115"/>
      <c r="AN80" s="115">
        <v>20238</v>
      </c>
      <c r="AO80" s="260">
        <f>Tabelle4[[#This Row],[Kredit-  / Budgetsumme
(RADAR: Gesamtkosten S)]]-Tabelle4[[#This Row],[Netto-Ausgaben Vorjahre ]]</f>
        <v>99762</v>
      </c>
      <c r="AP80" s="310"/>
      <c r="AQ80" s="311">
        <v>99762</v>
      </c>
      <c r="AR80" s="115">
        <f>Tabelle4[[#This Row],[Kreditrest per 1.1. aktuelles Jahr]]-Tabelle4[[#This Row],[Prognose 2018
(RADAR: Kosten 2018 S)]]</f>
        <v>0</v>
      </c>
      <c r="AS80" s="115"/>
      <c r="AT80" s="311"/>
      <c r="AU80" s="115"/>
      <c r="AV80" s="311"/>
      <c r="AW80" s="115"/>
      <c r="AX80" s="311"/>
      <c r="AY80" s="115"/>
      <c r="AZ80" s="311"/>
      <c r="BA80" s="115"/>
      <c r="BB80" s="311"/>
      <c r="BC80" s="115"/>
      <c r="BD80" s="311"/>
      <c r="BE80" s="115"/>
      <c r="BF80" s="311"/>
      <c r="BG80" s="115"/>
      <c r="BH80" s="311"/>
      <c r="BI80" s="115"/>
      <c r="BJ80" s="115"/>
      <c r="BK80" s="264"/>
      <c r="BL80" s="105"/>
      <c r="BM80" s="106"/>
      <c r="BN80" s="106"/>
      <c r="BO80" s="106">
        <v>20</v>
      </c>
      <c r="BP80" s="106"/>
      <c r="BQ80" s="106">
        <v>20</v>
      </c>
      <c r="BR80" s="106">
        <v>8</v>
      </c>
      <c r="BS80" s="106"/>
      <c r="BT80" s="108">
        <f>SUM(Tabelle4[[#This Row],[Projektverantwortung
(Lenkungsausschuss) ]:[Kommunikation ]])</f>
        <v>48</v>
      </c>
      <c r="BU80" s="105"/>
      <c r="BV80" s="106"/>
      <c r="BW80" s="106"/>
      <c r="BX80" s="106"/>
      <c r="BY80" s="106"/>
      <c r="BZ80" s="106">
        <v>20</v>
      </c>
      <c r="CA80" s="106"/>
      <c r="CB80" s="106"/>
      <c r="CC80" s="108">
        <f>SUM(Tabelle4[[#This Row],[Projektverantwortung
(Lenkungsausschuss)   ]:[Kommunikation   ]])</f>
        <v>20</v>
      </c>
      <c r="CD80" s="105"/>
      <c r="CE80" s="106"/>
      <c r="CF80" s="106"/>
      <c r="CG80" s="106"/>
      <c r="CH80" s="106"/>
      <c r="CI80" s="106"/>
      <c r="CJ80" s="106"/>
      <c r="CK80" s="106"/>
      <c r="CL80" s="108">
        <f>SUM(Tabelle4[[#This Row],[Projektverantwortung
(Lenkungsausschuss).]:[Kommunikation    ]])</f>
        <v>0</v>
      </c>
      <c r="CM80" s="105"/>
      <c r="CN80" s="106"/>
      <c r="CO80" s="106"/>
      <c r="CP80" s="106"/>
      <c r="CQ80" s="106"/>
      <c r="CR80" s="106"/>
      <c r="CS80" s="106"/>
      <c r="CT80" s="106"/>
      <c r="CU80" s="108">
        <f>SUM(Tabelle4[[#This Row],[Projektverantwortung
(Lenkungsausschuss)    ]:[Kommunikation     ]])</f>
        <v>0</v>
      </c>
      <c r="CV80" s="107">
        <f>SUM(Tabelle4[[#This Row],[Total Aufwand
1. Quartal 2018]],Tabelle4[[#This Row],[Total Aufwand
2. Quartal 2018]],Tabelle4[[#This Row],[Total Aufwand
3. Quartal 2018]],Tabelle4[[#This Row],[Total Aufwand
4. Quartal 2018]])</f>
        <v>68</v>
      </c>
      <c r="CW80" s="105"/>
      <c r="CX80" s="105"/>
      <c r="CY80" s="105"/>
      <c r="CZ80" s="105"/>
      <c r="DA80" s="105"/>
      <c r="DB80" s="105"/>
      <c r="DC80" s="105"/>
      <c r="DD80" s="105"/>
      <c r="DE80" s="107">
        <f>SUM(Tabelle4[[#This Row],[Aufwand ]],Tabelle4[[#This Row],[Aufwand 2]],Tabelle4[[#This Row],[Aufwand 3]],Tabelle4[[#This Row],[Aufwand 4]])</f>
        <v>0</v>
      </c>
      <c r="DF80" s="105"/>
      <c r="DG80" s="105"/>
      <c r="DH80" s="105"/>
      <c r="DI80" s="105"/>
      <c r="DJ80" s="105"/>
      <c r="DK80" s="105"/>
      <c r="DL80" s="105"/>
      <c r="DM80" s="105"/>
      <c r="DN80" s="107">
        <f>SUM(Tabelle4[[#This Row],[Aufwand  ]],Tabelle4[[#This Row],[Aufwand  2]],Tabelle4[[#This Row],[Aufwand  3]],Tabelle4[[#This Row],[Aufwand  4]])</f>
        <v>0</v>
      </c>
      <c r="DO80" s="105"/>
      <c r="DP80" s="105"/>
      <c r="DQ80" s="105"/>
      <c r="DR80" s="105"/>
      <c r="DS80" s="105"/>
      <c r="DT80" s="105"/>
      <c r="DU80" s="105"/>
      <c r="DV80" s="105"/>
      <c r="DW80" s="107">
        <f>SUM(Tabelle4[[#This Row],[Aufwand   ]],Tabelle4[[#This Row],[Aufwand   2]],Tabelle4[[#This Row],[Aufwand   3]],Tabelle4[[#This Row],[Aufwand   4]])</f>
        <v>0</v>
      </c>
      <c r="DX80" s="105"/>
      <c r="DY80" s="105"/>
      <c r="DZ80" s="105"/>
      <c r="EA80" s="105"/>
      <c r="EB80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68</v>
      </c>
      <c r="EC80" s="122">
        <f>Tabelle4[[#This Row],[Gesamaufwand]]/2000</f>
        <v>3.4000000000000002E-2</v>
      </c>
      <c r="ED80" s="48"/>
      <c r="EE80" s="48"/>
      <c r="EF80" s="48"/>
      <c r="EG80" s="48"/>
      <c r="EH80" s="48"/>
      <c r="EI80" s="47"/>
      <c r="EJ80" s="47"/>
      <c r="EK80" s="47"/>
      <c r="EL80" s="47"/>
    </row>
    <row r="81" spans="1:142">
      <c r="A81" s="248" t="s">
        <v>785</v>
      </c>
      <c r="B81" s="249" t="s">
        <v>75</v>
      </c>
      <c r="C81" s="250" t="s">
        <v>75</v>
      </c>
      <c r="D81" s="251" t="s">
        <v>780</v>
      </c>
      <c r="E81" s="251" t="s">
        <v>781</v>
      </c>
      <c r="F81" s="253" t="s">
        <v>690</v>
      </c>
      <c r="G81" s="253" t="s">
        <v>690</v>
      </c>
      <c r="H81" s="253"/>
      <c r="I81" s="250" t="s">
        <v>96</v>
      </c>
      <c r="J81" s="250"/>
      <c r="K81" s="110"/>
      <c r="L81" s="110"/>
      <c r="M81" s="77"/>
      <c r="N81" s="110"/>
      <c r="O81" s="248"/>
      <c r="P81" s="256"/>
      <c r="Q81" s="256"/>
      <c r="R81" s="256"/>
      <c r="S81" s="257"/>
      <c r="T81" s="258" t="s">
        <v>670</v>
      </c>
      <c r="U81" s="110"/>
      <c r="V81" s="266" t="s">
        <v>12</v>
      </c>
      <c r="W81" s="105" t="s">
        <v>690</v>
      </c>
      <c r="X81" s="105" t="s">
        <v>690</v>
      </c>
      <c r="Y81" s="105" t="s">
        <v>690</v>
      </c>
      <c r="Z81" s="105" t="s">
        <v>690</v>
      </c>
      <c r="AA81" s="105" t="s">
        <v>690</v>
      </c>
      <c r="AB81" s="105" t="s">
        <v>690</v>
      </c>
      <c r="AC81" s="105" t="s">
        <v>690</v>
      </c>
      <c r="AD81" s="105" t="s">
        <v>690</v>
      </c>
      <c r="AE81" s="110"/>
      <c r="AF81" s="110"/>
      <c r="AG81" s="110"/>
      <c r="AH81" s="260" t="s">
        <v>1089</v>
      </c>
      <c r="AI81" s="260"/>
      <c r="AJ81" s="260"/>
      <c r="AK81" s="110"/>
      <c r="AL81" s="260"/>
      <c r="AM81" s="260"/>
      <c r="AN81" s="260"/>
      <c r="AO81" s="260"/>
      <c r="AP81" s="310"/>
      <c r="AQ81" s="310">
        <v>15000</v>
      </c>
      <c r="AR81" s="260"/>
      <c r="AS81" s="260"/>
      <c r="AT81" s="310"/>
      <c r="AU81" s="260"/>
      <c r="AV81" s="310"/>
      <c r="AW81" s="260"/>
      <c r="AX81" s="310"/>
      <c r="AY81" s="260"/>
      <c r="AZ81" s="310"/>
      <c r="BA81" s="260"/>
      <c r="BB81" s="310"/>
      <c r="BC81" s="260"/>
      <c r="BD81" s="310"/>
      <c r="BE81" s="260"/>
      <c r="BF81" s="310"/>
      <c r="BG81" s="260"/>
      <c r="BH81" s="310"/>
      <c r="BI81" s="260"/>
      <c r="BJ81" s="260"/>
      <c r="BK81" s="276"/>
      <c r="BL81" s="105"/>
      <c r="BM81" s="111"/>
      <c r="BN81" s="111"/>
      <c r="BO81" s="111"/>
      <c r="BP81" s="111"/>
      <c r="BQ81" s="111"/>
      <c r="BR81" s="111"/>
      <c r="BS81" s="111"/>
      <c r="BT81" s="113">
        <f>SUM(Tabelle4[[#This Row],[Projektverantwortung
(Lenkungsausschuss) ]:[Kommunikation ]])</f>
        <v>0</v>
      </c>
      <c r="BU81" s="110"/>
      <c r="BV81" s="106"/>
      <c r="BW81" s="106"/>
      <c r="BX81" s="106"/>
      <c r="BY81" s="106"/>
      <c r="BZ81" s="106"/>
      <c r="CA81" s="106"/>
      <c r="CB81" s="106"/>
      <c r="CC81" s="113">
        <f>SUM(Tabelle4[[#This Row],[Projektverantwortung
(Lenkungsausschuss)   ]:[Kommunikation   ]])</f>
        <v>0</v>
      </c>
      <c r="CD81" s="110"/>
      <c r="CE81" s="114"/>
      <c r="CF81" s="114"/>
      <c r="CG81" s="114"/>
      <c r="CH81" s="114"/>
      <c r="CI81" s="114"/>
      <c r="CJ81" s="114"/>
      <c r="CK81" s="114"/>
      <c r="CL81" s="113">
        <f>SUM(Tabelle4[[#This Row],[Projektverantwortung
(Lenkungsausschuss).]:[Kommunikation    ]])</f>
        <v>0</v>
      </c>
      <c r="CM81" s="110"/>
      <c r="CN81" s="114"/>
      <c r="CO81" s="114"/>
      <c r="CP81" s="114"/>
      <c r="CQ81" s="114"/>
      <c r="CR81" s="114"/>
      <c r="CS81" s="114"/>
      <c r="CT81" s="114"/>
      <c r="CU81" s="113">
        <f>SUM(Tabelle4[[#This Row],[Projektverantwortung
(Lenkungsausschuss)    ]:[Kommunikation     ]])</f>
        <v>0</v>
      </c>
      <c r="CV81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81" s="105"/>
      <c r="CX81" s="105"/>
      <c r="CY81" s="105"/>
      <c r="CZ81" s="105"/>
      <c r="DA81" s="105"/>
      <c r="DB81" s="105"/>
      <c r="DC81" s="105"/>
      <c r="DD81" s="105"/>
      <c r="DE81" s="107">
        <f>SUM(Tabelle4[[#This Row],[Aufwand ]],Tabelle4[[#This Row],[Aufwand 2]],Tabelle4[[#This Row],[Aufwand 3]],Tabelle4[[#This Row],[Aufwand 4]])</f>
        <v>0</v>
      </c>
      <c r="DF81" s="105"/>
      <c r="DG81" s="105"/>
      <c r="DH81" s="105"/>
      <c r="DI81" s="105"/>
      <c r="DJ81" s="105"/>
      <c r="DK81" s="105"/>
      <c r="DL81" s="105"/>
      <c r="DM81" s="105"/>
      <c r="DN81" s="112">
        <f>SUM(Tabelle4[[#This Row],[Aufwand  ]],Tabelle4[[#This Row],[Aufwand  2]],Tabelle4[[#This Row],[Aufwand  3]],Tabelle4[[#This Row],[Aufwand  4]])</f>
        <v>0</v>
      </c>
      <c r="DO81" s="105"/>
      <c r="DP81" s="105"/>
      <c r="DQ81" s="105"/>
      <c r="DR81" s="105"/>
      <c r="DS81" s="105"/>
      <c r="DT81" s="105"/>
      <c r="DU81" s="105"/>
      <c r="DV81" s="105"/>
      <c r="DW81" s="107">
        <f>SUM(Tabelle4[[#This Row],[Aufwand   ]],Tabelle4[[#This Row],[Aufwand   2]],Tabelle4[[#This Row],[Aufwand   3]],Tabelle4[[#This Row],[Aufwand   4]])</f>
        <v>0</v>
      </c>
      <c r="DX81" s="105"/>
      <c r="DY81" s="105"/>
      <c r="DZ81" s="105"/>
      <c r="EA81" s="105"/>
      <c r="EB81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81" s="122">
        <f>Tabelle4[[#This Row],[Gesamaufwand]]/2000</f>
        <v>0</v>
      </c>
      <c r="ED81" s="48"/>
      <c r="EE81" s="48"/>
      <c r="EF81" s="48"/>
      <c r="EG81" s="48"/>
      <c r="EH81" s="48"/>
      <c r="EI81" s="47"/>
      <c r="EJ81" s="47"/>
      <c r="EK81" s="47"/>
      <c r="EL81" s="47"/>
    </row>
    <row r="82" spans="1:142">
      <c r="A82" s="279" t="s">
        <v>1096</v>
      </c>
      <c r="B82" s="280"/>
      <c r="C82" s="281"/>
      <c r="D82" s="280"/>
      <c r="E82" s="280"/>
      <c r="F82" s="282"/>
      <c r="G82" s="282"/>
      <c r="H82" s="282"/>
      <c r="I82" s="281"/>
      <c r="J82" s="281"/>
      <c r="K82" s="188"/>
      <c r="L82" s="188"/>
      <c r="M82" s="317"/>
      <c r="N82" s="188"/>
      <c r="O82" s="279"/>
      <c r="P82" s="283"/>
      <c r="Q82" s="283"/>
      <c r="R82" s="283"/>
      <c r="S82" s="284"/>
      <c r="T82" s="285"/>
      <c r="U82" s="188"/>
      <c r="V82" s="286"/>
      <c r="W82" s="188"/>
      <c r="X82" s="188"/>
      <c r="Y82" s="188"/>
      <c r="Z82" s="188"/>
      <c r="AA82" s="188"/>
      <c r="AB82" s="188"/>
      <c r="AC82" s="188"/>
      <c r="AD82" s="188"/>
      <c r="AE82" s="188"/>
      <c r="AF82" s="188"/>
      <c r="AG82" s="188"/>
      <c r="AH82" s="287" t="s">
        <v>75</v>
      </c>
      <c r="AI82" s="287"/>
      <c r="AJ82" s="287"/>
      <c r="AK82" s="188"/>
      <c r="AL82" s="287"/>
      <c r="AM82" s="287"/>
      <c r="AN82" s="287"/>
      <c r="AO82" s="287"/>
      <c r="AP82" s="313"/>
      <c r="AQ82" s="313"/>
      <c r="AR82" s="287">
        <f>Tabelle4[[#This Row],[Kreditrest per 1.1. aktuelles Jahr]]-Tabelle4[[#This Row],[Prognose 2018
(RADAR: Kosten 2018 S)]]</f>
        <v>0</v>
      </c>
      <c r="AS82" s="287"/>
      <c r="AT82" s="313"/>
      <c r="AU82" s="287"/>
      <c r="AV82" s="313"/>
      <c r="AW82" s="287"/>
      <c r="AX82" s="313"/>
      <c r="AY82" s="287"/>
      <c r="AZ82" s="313"/>
      <c r="BA82" s="287"/>
      <c r="BB82" s="313"/>
      <c r="BC82" s="287"/>
      <c r="BD82" s="313"/>
      <c r="BE82" s="287"/>
      <c r="BF82" s="313"/>
      <c r="BG82" s="287"/>
      <c r="BH82" s="313"/>
      <c r="BI82" s="287"/>
      <c r="BJ82" s="287"/>
      <c r="BK82" s="287"/>
      <c r="BL82" s="188"/>
      <c r="BM82" s="189"/>
      <c r="BN82" s="189"/>
      <c r="BO82" s="189"/>
      <c r="BP82" s="189"/>
      <c r="BQ82" s="189"/>
      <c r="BR82" s="189"/>
      <c r="BS82" s="189"/>
      <c r="BT82" s="190">
        <f>SUM(Tabelle4[[#This Row],[Projektverantwortung
(Lenkungsausschuss) ]:[Kommunikation ]])</f>
        <v>0</v>
      </c>
      <c r="BU82" s="190"/>
      <c r="BV82" s="191"/>
      <c r="BW82" s="191"/>
      <c r="BX82" s="191"/>
      <c r="BY82" s="191"/>
      <c r="BZ82" s="191"/>
      <c r="CA82" s="191"/>
      <c r="CB82" s="191"/>
      <c r="CC82" s="190">
        <f>SUM(Tabelle4[[#This Row],[Projektverantwortung
(Lenkungsausschuss)   ]:[Kommunikation   ]])</f>
        <v>0</v>
      </c>
      <c r="CD82" s="190"/>
      <c r="CE82" s="191"/>
      <c r="CF82" s="191"/>
      <c r="CG82" s="191"/>
      <c r="CH82" s="191"/>
      <c r="CI82" s="191"/>
      <c r="CJ82" s="191"/>
      <c r="CK82" s="191"/>
      <c r="CL82" s="190">
        <f>SUM(Tabelle4[[#This Row],[Projektverantwortung
(Lenkungsausschuss).]:[Kommunikation    ]])</f>
        <v>0</v>
      </c>
      <c r="CM82" s="190"/>
      <c r="CN82" s="191"/>
      <c r="CO82" s="191"/>
      <c r="CP82" s="191"/>
      <c r="CQ82" s="191"/>
      <c r="CR82" s="191"/>
      <c r="CS82" s="191"/>
      <c r="CT82" s="191"/>
      <c r="CU82" s="190">
        <f>SUM(Tabelle4[[#This Row],[Projektverantwortung
(Lenkungsausschuss)    ]:[Kommunikation     ]])</f>
        <v>0</v>
      </c>
      <c r="CV82" s="192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82" s="188"/>
      <c r="CX82" s="188"/>
      <c r="CY82" s="193"/>
      <c r="CZ82" s="188"/>
      <c r="DA82" s="193"/>
      <c r="DB82" s="188"/>
      <c r="DC82" s="193"/>
      <c r="DD82" s="188"/>
      <c r="DE82" s="192">
        <f>SUM(Tabelle4[[#This Row],[Aufwand ]],Tabelle4[[#This Row],[Aufwand 2]],Tabelle4[[#This Row],[Aufwand 3]],Tabelle4[[#This Row],[Aufwand 4]])</f>
        <v>0</v>
      </c>
      <c r="DF82" s="193"/>
      <c r="DG82" s="188"/>
      <c r="DH82" s="188"/>
      <c r="DI82" s="193"/>
      <c r="DJ82" s="188"/>
      <c r="DK82" s="193"/>
      <c r="DL82" s="188"/>
      <c r="DM82" s="193"/>
      <c r="DN82" s="192">
        <f>SUM(Tabelle4[[#This Row],[Aufwand  ]],Tabelle4[[#This Row],[Aufwand  2]],Tabelle4[[#This Row],[Aufwand  3]],Tabelle4[[#This Row],[Aufwand  4]])</f>
        <v>0</v>
      </c>
      <c r="DO82" s="193"/>
      <c r="DP82" s="193"/>
      <c r="DQ82" s="193"/>
      <c r="DR82" s="188"/>
      <c r="DS82" s="188"/>
      <c r="DT82" s="193"/>
      <c r="DU82" s="188"/>
      <c r="DV82" s="193"/>
      <c r="DW82" s="192" t="e">
        <f>#REF!</f>
        <v>#REF!</v>
      </c>
      <c r="DX82" s="193"/>
      <c r="DY82" s="194"/>
      <c r="DZ82" s="188"/>
      <c r="EA82" s="195"/>
      <c r="EB82" s="196" t="e">
        <f>#REF!</f>
        <v>#REF!</v>
      </c>
      <c r="EC82" s="197"/>
      <c r="ED82" s="47"/>
      <c r="EE82" s="47"/>
      <c r="EF82" s="47"/>
      <c r="EG82" s="47"/>
      <c r="EH82" s="47"/>
      <c r="EI82" s="47"/>
      <c r="EJ82" s="47"/>
      <c r="EK82" s="47"/>
      <c r="EL82" s="47"/>
    </row>
    <row r="83" spans="1:142">
      <c r="A83" s="265" t="s">
        <v>415</v>
      </c>
      <c r="B83" s="251" t="s">
        <v>105</v>
      </c>
      <c r="C83" s="254" t="s">
        <v>75</v>
      </c>
      <c r="D83" s="251" t="s">
        <v>780</v>
      </c>
      <c r="E83" s="251" t="s">
        <v>781</v>
      </c>
      <c r="F83" s="253">
        <v>5</v>
      </c>
      <c r="G83" s="253">
        <v>5</v>
      </c>
      <c r="H83" s="253"/>
      <c r="I83" s="254" t="s">
        <v>96</v>
      </c>
      <c r="J83" s="254"/>
      <c r="K83" s="105"/>
      <c r="L83" s="105"/>
      <c r="M83" s="48"/>
      <c r="N83" s="105"/>
      <c r="O83" s="255" t="s">
        <v>416</v>
      </c>
      <c r="P83" s="261">
        <v>1</v>
      </c>
      <c r="Q83" s="261">
        <v>0</v>
      </c>
      <c r="R83" s="261">
        <v>0</v>
      </c>
      <c r="S83" s="262" t="s">
        <v>417</v>
      </c>
      <c r="T83" s="263" t="s">
        <v>75</v>
      </c>
      <c r="U83" s="105"/>
      <c r="V83" s="259" t="s">
        <v>12</v>
      </c>
      <c r="W83" s="105" t="s">
        <v>690</v>
      </c>
      <c r="X83" s="105" t="s">
        <v>690</v>
      </c>
      <c r="Y83" s="105" t="s">
        <v>690</v>
      </c>
      <c r="Z83" s="105" t="s">
        <v>690</v>
      </c>
      <c r="AA83" s="105" t="s">
        <v>690</v>
      </c>
      <c r="AB83" s="105" t="s">
        <v>690</v>
      </c>
      <c r="AC83" s="105" t="s">
        <v>690</v>
      </c>
      <c r="AD83" s="105" t="s">
        <v>690</v>
      </c>
      <c r="AE83" s="105"/>
      <c r="AF83" s="105"/>
      <c r="AG83" s="105"/>
      <c r="AH83" s="115" t="s">
        <v>802</v>
      </c>
      <c r="AI83" s="115"/>
      <c r="AJ83" s="115"/>
      <c r="AK83" s="105"/>
      <c r="AL83" s="115"/>
      <c r="AM83" s="115"/>
      <c r="AN83" s="115"/>
      <c r="AO83" s="260">
        <f>Tabelle4[[#This Row],[Kredit-  / Budgetsumme
(RADAR: Gesamtkosten S)]]-Tabelle4[[#This Row],[Netto-Ausgaben Vorjahre ]]</f>
        <v>0</v>
      </c>
      <c r="AP83" s="310"/>
      <c r="AQ83" s="311"/>
      <c r="AR83" s="115">
        <f>Tabelle4[[#This Row],[Kreditrest per 1.1. aktuelles Jahr]]-Tabelle4[[#This Row],[Prognose 2018
(RADAR: Kosten 2018 S)]]</f>
        <v>0</v>
      </c>
      <c r="AS83" s="115"/>
      <c r="AT83" s="311"/>
      <c r="AU83" s="115"/>
      <c r="AV83" s="311"/>
      <c r="AW83" s="115"/>
      <c r="AX83" s="311"/>
      <c r="AY83" s="115"/>
      <c r="AZ83" s="311"/>
      <c r="BA83" s="115"/>
      <c r="BB83" s="311"/>
      <c r="BC83" s="115"/>
      <c r="BD83" s="311"/>
      <c r="BE83" s="115"/>
      <c r="BF83" s="311"/>
      <c r="BG83" s="115"/>
      <c r="BH83" s="311"/>
      <c r="BI83" s="115"/>
      <c r="BJ83" s="115"/>
      <c r="BK83" s="264"/>
      <c r="BL83" s="105"/>
      <c r="BM83" s="106"/>
      <c r="BN83" s="106"/>
      <c r="BO83" s="106"/>
      <c r="BP83" s="106"/>
      <c r="BQ83" s="106"/>
      <c r="BR83" s="106"/>
      <c r="BS83" s="106"/>
      <c r="BT83" s="108">
        <f>SUM(Tabelle4[[#This Row],[Projektverantwortung
(Lenkungsausschuss) ]:[Kommunikation ]])</f>
        <v>0</v>
      </c>
      <c r="BU83" s="105"/>
      <c r="BV83" s="106"/>
      <c r="BW83" s="106"/>
      <c r="BX83" s="106"/>
      <c r="BY83" s="106"/>
      <c r="BZ83" s="106"/>
      <c r="CA83" s="106"/>
      <c r="CB83" s="106"/>
      <c r="CC83" s="108">
        <f>SUM(Tabelle4[[#This Row],[Projektverantwortung
(Lenkungsausschuss)   ]:[Kommunikation   ]])</f>
        <v>0</v>
      </c>
      <c r="CD83" s="105"/>
      <c r="CE83" s="106"/>
      <c r="CF83" s="106"/>
      <c r="CG83" s="106"/>
      <c r="CH83" s="106"/>
      <c r="CI83" s="106"/>
      <c r="CJ83" s="106"/>
      <c r="CK83" s="106"/>
      <c r="CL83" s="108">
        <f>SUM(Tabelle4[[#This Row],[Projektverantwortung
(Lenkungsausschuss).]:[Kommunikation    ]])</f>
        <v>0</v>
      </c>
      <c r="CM83" s="105"/>
      <c r="CN83" s="106"/>
      <c r="CO83" s="106"/>
      <c r="CP83" s="106"/>
      <c r="CQ83" s="106"/>
      <c r="CR83" s="106"/>
      <c r="CS83" s="106"/>
      <c r="CT83" s="106"/>
      <c r="CU83" s="108">
        <f>SUM(Tabelle4[[#This Row],[Projektverantwortung
(Lenkungsausschuss)    ]:[Kommunikation     ]])</f>
        <v>0</v>
      </c>
      <c r="CV83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83" s="105"/>
      <c r="CX83" s="105"/>
      <c r="CY83" s="105"/>
      <c r="CZ83" s="105"/>
      <c r="DA83" s="105"/>
      <c r="DB83" s="105"/>
      <c r="DC83" s="105"/>
      <c r="DD83" s="105"/>
      <c r="DE83" s="107">
        <f>SUM(Tabelle4[[#This Row],[Aufwand ]],Tabelle4[[#This Row],[Aufwand 2]],Tabelle4[[#This Row],[Aufwand 3]],Tabelle4[[#This Row],[Aufwand 4]])</f>
        <v>0</v>
      </c>
      <c r="DF83" s="105"/>
      <c r="DG83" s="105"/>
      <c r="DH83" s="105"/>
      <c r="DI83" s="105"/>
      <c r="DJ83" s="105"/>
      <c r="DK83" s="105"/>
      <c r="DL83" s="105"/>
      <c r="DM83" s="105"/>
      <c r="DN83" s="107">
        <f>SUM(Tabelle4[[#This Row],[Aufwand  ]],Tabelle4[[#This Row],[Aufwand  2]],Tabelle4[[#This Row],[Aufwand  3]],Tabelle4[[#This Row],[Aufwand  4]])</f>
        <v>0</v>
      </c>
      <c r="DO83" s="105"/>
      <c r="DP83" s="105"/>
      <c r="DQ83" s="105"/>
      <c r="DR83" s="105"/>
      <c r="DS83" s="105"/>
      <c r="DT83" s="105"/>
      <c r="DU83" s="105"/>
      <c r="DV83" s="105"/>
      <c r="DW83" s="107">
        <f>SUM(Tabelle4[[#This Row],[Aufwand   ]],Tabelle4[[#This Row],[Aufwand   2]],Tabelle4[[#This Row],[Aufwand   3]],Tabelle4[[#This Row],[Aufwand   4]])</f>
        <v>0</v>
      </c>
      <c r="DX83" s="105"/>
      <c r="DY83" s="105"/>
      <c r="DZ83" s="105"/>
      <c r="EA83" s="105"/>
      <c r="EB83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83" s="122">
        <f>Tabelle4[[#This Row],[Gesamaufwand]]/2000</f>
        <v>0</v>
      </c>
      <c r="ED83" s="47"/>
      <c r="EE83" s="47"/>
      <c r="EF83" s="47"/>
      <c r="EG83" s="47"/>
      <c r="EH83" s="47"/>
      <c r="EI83" s="47"/>
      <c r="EJ83" s="47"/>
      <c r="EK83" s="47"/>
      <c r="EL83" s="47"/>
    </row>
    <row r="84" spans="1:142">
      <c r="A84" s="255" t="s">
        <v>470</v>
      </c>
      <c r="B84" s="251" t="s">
        <v>105</v>
      </c>
      <c r="C84" s="254" t="s">
        <v>67</v>
      </c>
      <c r="D84" s="251" t="s">
        <v>780</v>
      </c>
      <c r="E84" s="251" t="s">
        <v>115</v>
      </c>
      <c r="F84" s="253">
        <v>2</v>
      </c>
      <c r="G84" s="253">
        <v>1</v>
      </c>
      <c r="H84" s="253"/>
      <c r="I84" s="254" t="s">
        <v>95</v>
      </c>
      <c r="J84" s="254"/>
      <c r="K84" s="105"/>
      <c r="L84" s="105"/>
      <c r="M84" s="48"/>
      <c r="N84" s="105"/>
      <c r="O84" s="255" t="s">
        <v>471</v>
      </c>
      <c r="P84" s="261">
        <v>2</v>
      </c>
      <c r="Q84" s="261">
        <v>0</v>
      </c>
      <c r="R84" s="261">
        <v>0</v>
      </c>
      <c r="S84" s="262" t="s">
        <v>472</v>
      </c>
      <c r="T84" s="263" t="s">
        <v>75</v>
      </c>
      <c r="U84" s="105"/>
      <c r="V84" s="259" t="s">
        <v>12</v>
      </c>
      <c r="W84" s="105" t="s">
        <v>7</v>
      </c>
      <c r="X84" s="105" t="s">
        <v>9</v>
      </c>
      <c r="Y84" s="105" t="s">
        <v>690</v>
      </c>
      <c r="Z84" s="105" t="s">
        <v>78</v>
      </c>
      <c r="AA84" s="105" t="s">
        <v>75</v>
      </c>
      <c r="AB84" s="105" t="s">
        <v>75</v>
      </c>
      <c r="AC84" s="105" t="s">
        <v>75</v>
      </c>
      <c r="AD84" s="105" t="s">
        <v>12</v>
      </c>
      <c r="AE84" s="105"/>
      <c r="AF84" s="105"/>
      <c r="AG84" s="105"/>
      <c r="AH84" s="115" t="s">
        <v>621</v>
      </c>
      <c r="AI84" s="115"/>
      <c r="AJ84" s="115"/>
      <c r="AK84" s="105"/>
      <c r="AL84" s="115"/>
      <c r="AM84" s="115"/>
      <c r="AN84" s="115"/>
      <c r="AO84" s="260">
        <f>Tabelle4[[#This Row],[Kredit-  / Budgetsumme
(RADAR: Gesamtkosten S)]]-Tabelle4[[#This Row],[Netto-Ausgaben Vorjahre ]]</f>
        <v>0</v>
      </c>
      <c r="AP84" s="310"/>
      <c r="AQ84" s="311"/>
      <c r="AR84" s="115">
        <f>Tabelle4[[#This Row],[Kreditrest per 1.1. aktuelles Jahr]]-Tabelle4[[#This Row],[Prognose 2018
(RADAR: Kosten 2018 S)]]</f>
        <v>0</v>
      </c>
      <c r="AS84" s="115"/>
      <c r="AT84" s="311"/>
      <c r="AU84" s="115"/>
      <c r="AV84" s="311"/>
      <c r="AW84" s="115"/>
      <c r="AX84" s="311"/>
      <c r="AY84" s="115"/>
      <c r="AZ84" s="311"/>
      <c r="BA84" s="115"/>
      <c r="BB84" s="311"/>
      <c r="BC84" s="115"/>
      <c r="BD84" s="311"/>
      <c r="BE84" s="115"/>
      <c r="BF84" s="311"/>
      <c r="BG84" s="115"/>
      <c r="BH84" s="311"/>
      <c r="BI84" s="115"/>
      <c r="BJ84" s="115"/>
      <c r="BK84" s="264"/>
      <c r="BL84" s="105"/>
      <c r="BM84" s="106"/>
      <c r="BN84" s="106"/>
      <c r="BO84" s="106">
        <v>20</v>
      </c>
      <c r="BP84" s="106"/>
      <c r="BQ84" s="106"/>
      <c r="BR84" s="106"/>
      <c r="BS84" s="106"/>
      <c r="BT84" s="108">
        <f>SUM(Tabelle4[[#This Row],[Projektverantwortung
(Lenkungsausschuss) ]:[Kommunikation ]])</f>
        <v>20</v>
      </c>
      <c r="BU84" s="105"/>
      <c r="BV84" s="106"/>
      <c r="BW84" s="106"/>
      <c r="BX84" s="106"/>
      <c r="BY84" s="106"/>
      <c r="BZ84" s="106"/>
      <c r="CA84" s="106"/>
      <c r="CB84" s="106"/>
      <c r="CC84" s="108">
        <f>SUM(Tabelle4[[#This Row],[Projektverantwortung
(Lenkungsausschuss)   ]:[Kommunikation   ]])</f>
        <v>0</v>
      </c>
      <c r="CD84" s="105"/>
      <c r="CE84" s="106"/>
      <c r="CF84" s="106"/>
      <c r="CG84" s="106"/>
      <c r="CH84" s="106"/>
      <c r="CI84" s="106"/>
      <c r="CJ84" s="106"/>
      <c r="CK84" s="106"/>
      <c r="CL84" s="108">
        <f>SUM(Tabelle4[[#This Row],[Projektverantwortung
(Lenkungsausschuss).]:[Kommunikation    ]])</f>
        <v>0</v>
      </c>
      <c r="CM84" s="105"/>
      <c r="CN84" s="106"/>
      <c r="CO84" s="106"/>
      <c r="CP84" s="106"/>
      <c r="CQ84" s="106"/>
      <c r="CR84" s="106"/>
      <c r="CS84" s="106"/>
      <c r="CT84" s="106"/>
      <c r="CU84" s="108">
        <f>SUM(Tabelle4[[#This Row],[Projektverantwortung
(Lenkungsausschuss)    ]:[Kommunikation     ]])</f>
        <v>0</v>
      </c>
      <c r="CV84" s="107">
        <f>SUM(Tabelle4[[#This Row],[Total Aufwand
1. Quartal 2018]],Tabelle4[[#This Row],[Total Aufwand
2. Quartal 2018]],Tabelle4[[#This Row],[Total Aufwand
3. Quartal 2018]],Tabelle4[[#This Row],[Total Aufwand
4. Quartal 2018]])</f>
        <v>20</v>
      </c>
      <c r="CW84" s="105"/>
      <c r="CX84" s="105"/>
      <c r="CY84" s="105"/>
      <c r="CZ84" s="105"/>
      <c r="DA84" s="105"/>
      <c r="DB84" s="105"/>
      <c r="DC84" s="105"/>
      <c r="DD84" s="105"/>
      <c r="DE84" s="107">
        <f>SUM(Tabelle4[[#This Row],[Aufwand ]],Tabelle4[[#This Row],[Aufwand 2]],Tabelle4[[#This Row],[Aufwand 3]],Tabelle4[[#This Row],[Aufwand 4]])</f>
        <v>0</v>
      </c>
      <c r="DF84" s="105"/>
      <c r="DG84" s="105"/>
      <c r="DH84" s="105"/>
      <c r="DI84" s="105"/>
      <c r="DJ84" s="105"/>
      <c r="DK84" s="105"/>
      <c r="DL84" s="105"/>
      <c r="DM84" s="105"/>
      <c r="DN84" s="107">
        <f>SUM(Tabelle4[[#This Row],[Aufwand  ]],Tabelle4[[#This Row],[Aufwand  2]],Tabelle4[[#This Row],[Aufwand  3]],Tabelle4[[#This Row],[Aufwand  4]])</f>
        <v>0</v>
      </c>
      <c r="DO84" s="105"/>
      <c r="DP84" s="105"/>
      <c r="DQ84" s="105"/>
      <c r="DR84" s="105"/>
      <c r="DS84" s="105"/>
      <c r="DT84" s="105"/>
      <c r="DU84" s="105"/>
      <c r="DV84" s="105"/>
      <c r="DW84" s="107">
        <f>SUM(Tabelle4[[#This Row],[Aufwand   ]],Tabelle4[[#This Row],[Aufwand   2]],Tabelle4[[#This Row],[Aufwand   3]],Tabelle4[[#This Row],[Aufwand   4]])</f>
        <v>0</v>
      </c>
      <c r="DX84" s="105"/>
      <c r="DY84" s="105"/>
      <c r="DZ84" s="105"/>
      <c r="EA84" s="105"/>
      <c r="EB84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20</v>
      </c>
      <c r="EC84" s="122">
        <f>Tabelle4[[#This Row],[Gesamaufwand]]/2000</f>
        <v>0.01</v>
      </c>
      <c r="ED84" s="47"/>
      <c r="EE84" s="47"/>
      <c r="EF84" s="47"/>
      <c r="EG84" s="47"/>
      <c r="EH84" s="47"/>
      <c r="EI84" s="47"/>
      <c r="EJ84" s="47"/>
      <c r="EK84" s="47"/>
      <c r="EL84" s="47"/>
    </row>
    <row r="85" spans="1:142">
      <c r="A85" s="255" t="s">
        <v>1161</v>
      </c>
      <c r="B85" s="251" t="s">
        <v>1331</v>
      </c>
      <c r="C85" s="254"/>
      <c r="D85" s="251"/>
      <c r="E85" s="251"/>
      <c r="F85" s="253"/>
      <c r="G85" s="253"/>
      <c r="H85" s="253"/>
      <c r="I85" s="254"/>
      <c r="J85" s="254"/>
      <c r="K85" s="105"/>
      <c r="L85" s="105"/>
      <c r="M85" s="48"/>
      <c r="N85" s="105"/>
      <c r="O85" s="255"/>
      <c r="P85" s="261"/>
      <c r="Q85" s="261"/>
      <c r="R85" s="261"/>
      <c r="S85" s="262"/>
      <c r="T85" s="263"/>
      <c r="U85" s="105"/>
      <c r="V85" s="259"/>
      <c r="W85" s="105"/>
      <c r="X85" s="105"/>
      <c r="Y85" s="105"/>
      <c r="Z85" s="105"/>
      <c r="AA85" s="105"/>
      <c r="AB85" s="105"/>
      <c r="AC85" s="105"/>
      <c r="AD85" s="105"/>
      <c r="AE85" s="105"/>
      <c r="AF85" s="105"/>
      <c r="AG85" s="105"/>
      <c r="AH85" s="115" t="s">
        <v>1089</v>
      </c>
      <c r="AI85" s="115"/>
      <c r="AJ85" s="115"/>
      <c r="AK85" s="105"/>
      <c r="AL85" s="115"/>
      <c r="AM85" s="115"/>
      <c r="AN85" s="115"/>
      <c r="AO85" s="115"/>
      <c r="AP85" s="311"/>
      <c r="AQ85" s="311">
        <v>30000</v>
      </c>
      <c r="AR85" s="115"/>
      <c r="AS85" s="115"/>
      <c r="AT85" s="311"/>
      <c r="AU85" s="115"/>
      <c r="AV85" s="311"/>
      <c r="AW85" s="115"/>
      <c r="AX85" s="311"/>
      <c r="AY85" s="115"/>
      <c r="AZ85" s="311"/>
      <c r="BA85" s="115"/>
      <c r="BB85" s="311"/>
      <c r="BC85" s="115"/>
      <c r="BD85" s="311"/>
      <c r="BE85" s="115"/>
      <c r="BF85" s="311"/>
      <c r="BG85" s="115"/>
      <c r="BH85" s="311"/>
      <c r="BI85" s="115"/>
      <c r="BJ85" s="115"/>
      <c r="BK85" s="115"/>
      <c r="BL85" s="105"/>
      <c r="BM85" s="106"/>
      <c r="BN85" s="106"/>
      <c r="BO85" s="106"/>
      <c r="BP85" s="106"/>
      <c r="BQ85" s="106"/>
      <c r="BR85" s="106"/>
      <c r="BS85" s="106"/>
      <c r="BT85" s="108">
        <f>SUM(Tabelle4[[#This Row],[Projektverantwortung
(Lenkungsausschuss) ]:[Kommunikation ]])</f>
        <v>0</v>
      </c>
      <c r="BU85" s="108"/>
      <c r="BV85" s="151"/>
      <c r="BW85" s="151"/>
      <c r="BX85" s="151"/>
      <c r="BY85" s="151"/>
      <c r="BZ85" s="151"/>
      <c r="CA85" s="151"/>
      <c r="CB85" s="151"/>
      <c r="CC85" s="108">
        <f>SUM(Tabelle4[[#This Row],[Projektverantwortung
(Lenkungsausschuss)   ]:[Kommunikation   ]])</f>
        <v>0</v>
      </c>
      <c r="CD85" s="108"/>
      <c r="CE85" s="151"/>
      <c r="CF85" s="151"/>
      <c r="CG85" s="151"/>
      <c r="CH85" s="151"/>
      <c r="CI85" s="151"/>
      <c r="CJ85" s="151"/>
      <c r="CK85" s="151"/>
      <c r="CL85" s="108">
        <f>SUM(Tabelle4[[#This Row],[Projektverantwortung
(Lenkungsausschuss).]:[Kommunikation    ]])</f>
        <v>0</v>
      </c>
      <c r="CM85" s="108"/>
      <c r="CN85" s="151"/>
      <c r="CO85" s="151"/>
      <c r="CP85" s="151"/>
      <c r="CQ85" s="151"/>
      <c r="CR85" s="151"/>
      <c r="CS85" s="151"/>
      <c r="CT85" s="151"/>
      <c r="CU85" s="108">
        <f>SUM(Tabelle4[[#This Row],[Projektverantwortung
(Lenkungsausschuss)    ]:[Kommunikation     ]])</f>
        <v>0</v>
      </c>
      <c r="CV85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85" s="105"/>
      <c r="CX85" s="105"/>
      <c r="CY85" s="116"/>
      <c r="CZ85" s="105"/>
      <c r="DA85" s="116"/>
      <c r="DB85" s="105"/>
      <c r="DC85" s="116"/>
      <c r="DD85" s="105"/>
      <c r="DE85" s="107">
        <f>SUM(Tabelle4[[#This Row],[Aufwand ]],Tabelle4[[#This Row],[Aufwand 2]],Tabelle4[[#This Row],[Aufwand 3]],Tabelle4[[#This Row],[Aufwand 4]])</f>
        <v>0</v>
      </c>
      <c r="DF85" s="116"/>
      <c r="DG85" s="105"/>
      <c r="DH85" s="105"/>
      <c r="DI85" s="116"/>
      <c r="DJ85" s="105"/>
      <c r="DK85" s="116"/>
      <c r="DL85" s="105"/>
      <c r="DM85" s="116"/>
      <c r="DN85" s="107">
        <f>SUM(Tabelle4[[#This Row],[Aufwand  ]],Tabelle4[[#This Row],[Aufwand  2]],Tabelle4[[#This Row],[Aufwand  3]],Tabelle4[[#This Row],[Aufwand  4]])</f>
        <v>0</v>
      </c>
      <c r="DO85" s="116"/>
      <c r="DP85" s="116"/>
      <c r="DQ85" s="116"/>
      <c r="DR85" s="105"/>
      <c r="DS85" s="105"/>
      <c r="DT85" s="116"/>
      <c r="DU85" s="105"/>
      <c r="DV85" s="116"/>
      <c r="DW85" s="107" t="e">
        <f>#REF!</f>
        <v>#REF!</v>
      </c>
      <c r="DX85" s="116"/>
      <c r="DY85" s="152"/>
      <c r="DZ85" s="105"/>
      <c r="EA85" s="180"/>
      <c r="EB85" s="181" t="e">
        <f>#REF!</f>
        <v>#REF!</v>
      </c>
      <c r="EC85" s="109"/>
      <c r="ED85" s="47"/>
      <c r="EE85" s="47"/>
      <c r="EF85" s="47"/>
      <c r="EG85" s="47"/>
      <c r="EH85" s="47"/>
      <c r="EI85" s="47"/>
      <c r="EJ85" s="47"/>
      <c r="EK85" s="47"/>
      <c r="EL85" s="47"/>
    </row>
    <row r="86" spans="1:142">
      <c r="A86" s="255" t="s">
        <v>1082</v>
      </c>
      <c r="B86" s="251" t="s">
        <v>105</v>
      </c>
      <c r="C86" s="254" t="s">
        <v>68</v>
      </c>
      <c r="D86" s="251" t="s">
        <v>914</v>
      </c>
      <c r="E86" s="251" t="s">
        <v>859</v>
      </c>
      <c r="F86" s="253">
        <v>4</v>
      </c>
      <c r="G86" s="253">
        <v>1</v>
      </c>
      <c r="H86" s="253"/>
      <c r="I86" s="254" t="s">
        <v>95</v>
      </c>
      <c r="J86" s="254"/>
      <c r="K86" s="105"/>
      <c r="L86" s="105"/>
      <c r="M86" s="48"/>
      <c r="N86" s="105"/>
      <c r="O86" s="255" t="s">
        <v>214</v>
      </c>
      <c r="P86" s="261">
        <v>5</v>
      </c>
      <c r="Q86" s="261">
        <v>0</v>
      </c>
      <c r="R86" s="261">
        <v>0</v>
      </c>
      <c r="S86" s="262" t="s">
        <v>215</v>
      </c>
      <c r="T86" s="263" t="s">
        <v>673</v>
      </c>
      <c r="U86" s="105"/>
      <c r="V86" s="259" t="s">
        <v>12</v>
      </c>
      <c r="W86" s="105" t="s">
        <v>8</v>
      </c>
      <c r="X86" s="105" t="s">
        <v>10</v>
      </c>
      <c r="Y86" s="105"/>
      <c r="Z86" s="105" t="s">
        <v>82</v>
      </c>
      <c r="AA86" s="105"/>
      <c r="AB86" s="105"/>
      <c r="AC86" s="105"/>
      <c r="AD86" s="105"/>
      <c r="AE86" s="105"/>
      <c r="AF86" s="105"/>
      <c r="AG86" s="105"/>
      <c r="AH86" s="115" t="s">
        <v>1092</v>
      </c>
      <c r="AI86" s="115"/>
      <c r="AJ86" s="115"/>
      <c r="AK86" s="105"/>
      <c r="AL86" s="115"/>
      <c r="AM86" s="115"/>
      <c r="AN86" s="115"/>
      <c r="AO86" s="115"/>
      <c r="AP86" s="311"/>
      <c r="AQ86" s="311">
        <v>1000</v>
      </c>
      <c r="AR86" s="115"/>
      <c r="AS86" s="115"/>
      <c r="AT86" s="311">
        <v>1000</v>
      </c>
      <c r="AU86" s="115"/>
      <c r="AV86" s="311">
        <v>1000</v>
      </c>
      <c r="AW86" s="115"/>
      <c r="AX86" s="311">
        <v>1000</v>
      </c>
      <c r="AY86" s="115"/>
      <c r="AZ86" s="311">
        <v>1000</v>
      </c>
      <c r="BA86" s="115"/>
      <c r="BB86" s="311">
        <v>1000</v>
      </c>
      <c r="BC86" s="115"/>
      <c r="BD86" s="311">
        <v>1000</v>
      </c>
      <c r="BE86" s="115"/>
      <c r="BF86" s="311">
        <v>1000</v>
      </c>
      <c r="BG86" s="115"/>
      <c r="BH86" s="311">
        <v>1000</v>
      </c>
      <c r="BI86" s="115"/>
      <c r="BJ86" s="115"/>
      <c r="BK86" s="115"/>
      <c r="BL86" s="105"/>
      <c r="BM86" s="106"/>
      <c r="BN86" s="106"/>
      <c r="BO86" s="106"/>
      <c r="BP86" s="106"/>
      <c r="BQ86" s="106"/>
      <c r="BR86" s="106"/>
      <c r="BS86" s="106"/>
      <c r="BT86" s="108">
        <f>SUM(Tabelle4[[#This Row],[Projektverantwortung
(Lenkungsausschuss) ]:[Kommunikation ]])</f>
        <v>0</v>
      </c>
      <c r="BU86" s="108"/>
      <c r="BV86" s="151"/>
      <c r="BW86" s="151"/>
      <c r="BX86" s="151"/>
      <c r="BY86" s="151"/>
      <c r="BZ86" s="151"/>
      <c r="CA86" s="151"/>
      <c r="CB86" s="151"/>
      <c r="CC86" s="108">
        <f>SUM(Tabelle4[[#This Row],[Projektverantwortung
(Lenkungsausschuss)   ]:[Kommunikation   ]])</f>
        <v>0</v>
      </c>
      <c r="CD86" s="108"/>
      <c r="CE86" s="151"/>
      <c r="CF86" s="151"/>
      <c r="CG86" s="151"/>
      <c r="CH86" s="151"/>
      <c r="CI86" s="151"/>
      <c r="CJ86" s="151"/>
      <c r="CK86" s="151"/>
      <c r="CL86" s="108">
        <f>SUM(Tabelle4[[#This Row],[Projektverantwortung
(Lenkungsausschuss).]:[Kommunikation    ]])</f>
        <v>0</v>
      </c>
      <c r="CM86" s="108"/>
      <c r="CN86" s="151"/>
      <c r="CO86" s="151"/>
      <c r="CP86" s="151"/>
      <c r="CQ86" s="151"/>
      <c r="CR86" s="151"/>
      <c r="CS86" s="151"/>
      <c r="CT86" s="151"/>
      <c r="CU86" s="108">
        <f>SUM(Tabelle4[[#This Row],[Projektverantwortung
(Lenkungsausschuss)    ]:[Kommunikation     ]])</f>
        <v>0</v>
      </c>
      <c r="CV86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86" s="105"/>
      <c r="CX86" s="105"/>
      <c r="CY86" s="116"/>
      <c r="CZ86" s="105"/>
      <c r="DA86" s="116"/>
      <c r="DB86" s="105"/>
      <c r="DC86" s="116"/>
      <c r="DD86" s="105"/>
      <c r="DE86" s="107">
        <f>SUM(Tabelle4[[#This Row],[Aufwand ]],Tabelle4[[#This Row],[Aufwand 2]],Tabelle4[[#This Row],[Aufwand 3]],Tabelle4[[#This Row],[Aufwand 4]])</f>
        <v>0</v>
      </c>
      <c r="DF86" s="116"/>
      <c r="DG86" s="105"/>
      <c r="DH86" s="105"/>
      <c r="DI86" s="116"/>
      <c r="DJ86" s="105"/>
      <c r="DK86" s="116"/>
      <c r="DL86" s="105"/>
      <c r="DM86" s="116"/>
      <c r="DN86" s="107">
        <f>SUM(Tabelle4[[#This Row],[Aufwand  ]],Tabelle4[[#This Row],[Aufwand  2]],Tabelle4[[#This Row],[Aufwand  3]],Tabelle4[[#This Row],[Aufwand  4]])</f>
        <v>0</v>
      </c>
      <c r="DO86" s="116"/>
      <c r="DP86" s="116"/>
      <c r="DQ86" s="116"/>
      <c r="DR86" s="105"/>
      <c r="DS86" s="105"/>
      <c r="DT86" s="116"/>
      <c r="DU86" s="105"/>
      <c r="DV86" s="116"/>
      <c r="DW86" s="107" t="e">
        <f>#REF!</f>
        <v>#REF!</v>
      </c>
      <c r="DX86" s="116"/>
      <c r="DY86" s="152"/>
      <c r="DZ86" s="105"/>
      <c r="EA86" s="180"/>
      <c r="EB86" s="181" t="e">
        <f>#REF!</f>
        <v>#REF!</v>
      </c>
      <c r="EC86" s="109"/>
      <c r="ED86" s="47"/>
      <c r="EE86" s="47"/>
      <c r="EF86" s="47"/>
      <c r="EG86" s="47"/>
      <c r="EH86" s="47"/>
      <c r="EI86" s="47"/>
      <c r="EJ86" s="47"/>
      <c r="EK86" s="47"/>
      <c r="EL86" s="47"/>
    </row>
    <row r="87" spans="1:142">
      <c r="A87" s="248" t="s">
        <v>832</v>
      </c>
      <c r="B87" s="249"/>
      <c r="C87" s="250"/>
      <c r="D87" s="249"/>
      <c r="E87" s="249"/>
      <c r="F87" s="253" t="s">
        <v>690</v>
      </c>
      <c r="G87" s="253" t="s">
        <v>690</v>
      </c>
      <c r="H87" s="253"/>
      <c r="I87" s="250" t="s">
        <v>96</v>
      </c>
      <c r="J87" s="250"/>
      <c r="K87" s="110"/>
      <c r="L87" s="110"/>
      <c r="M87" s="77"/>
      <c r="N87" s="110"/>
      <c r="O87" s="248"/>
      <c r="P87" s="256"/>
      <c r="Q87" s="256"/>
      <c r="R87" s="256"/>
      <c r="S87" s="257"/>
      <c r="T87" s="258"/>
      <c r="U87" s="110"/>
      <c r="V87" s="266" t="s">
        <v>609</v>
      </c>
      <c r="W87" s="105" t="s">
        <v>690</v>
      </c>
      <c r="X87" s="105" t="s">
        <v>22</v>
      </c>
      <c r="Y87" s="105" t="s">
        <v>690</v>
      </c>
      <c r="Z87" s="105" t="s">
        <v>690</v>
      </c>
      <c r="AA87" s="105" t="s">
        <v>690</v>
      </c>
      <c r="AB87" s="105" t="s">
        <v>690</v>
      </c>
      <c r="AC87" s="105" t="s">
        <v>690</v>
      </c>
      <c r="AD87" s="105" t="s">
        <v>690</v>
      </c>
      <c r="AE87" s="110"/>
      <c r="AF87" s="110"/>
      <c r="AG87" s="110"/>
      <c r="AH87" s="260" t="s">
        <v>21</v>
      </c>
      <c r="AI87" s="260"/>
      <c r="AJ87" s="260" t="s">
        <v>620</v>
      </c>
      <c r="AK87" s="110" t="s">
        <v>833</v>
      </c>
      <c r="AL87" s="260"/>
      <c r="AM87" s="260"/>
      <c r="AN87" s="260"/>
      <c r="AO87" s="260">
        <f>Tabelle4[[#This Row],[Kredit-  / Budgetsumme
(RADAR: Gesamtkosten S)]]-Tabelle4[[#This Row],[Netto-Ausgaben Vorjahre ]]</f>
        <v>0</v>
      </c>
      <c r="AP87" s="310"/>
      <c r="AQ87" s="310">
        <v>60000</v>
      </c>
      <c r="AR87" s="260">
        <f>Tabelle4[[#This Row],[Kreditrest per 1.1. aktuelles Jahr]]-Tabelle4[[#This Row],[Prognose 2018
(RADAR: Kosten 2018 S)]]</f>
        <v>-60000</v>
      </c>
      <c r="AS87" s="260"/>
      <c r="AT87" s="310">
        <v>60000</v>
      </c>
      <c r="AU87" s="260"/>
      <c r="AV87" s="310">
        <v>60000</v>
      </c>
      <c r="AW87" s="260"/>
      <c r="AX87" s="310">
        <v>60000</v>
      </c>
      <c r="AY87" s="260"/>
      <c r="AZ87" s="310">
        <v>60000</v>
      </c>
      <c r="BA87" s="260"/>
      <c r="BB87" s="310">
        <v>60000</v>
      </c>
      <c r="BC87" s="260"/>
      <c r="BD87" s="310">
        <v>60000</v>
      </c>
      <c r="BE87" s="260"/>
      <c r="BF87" s="310">
        <v>60000</v>
      </c>
      <c r="BG87" s="260"/>
      <c r="BH87" s="310">
        <v>60000</v>
      </c>
      <c r="BI87" s="260"/>
      <c r="BJ87" s="260"/>
      <c r="BK87" s="260"/>
      <c r="BL87" s="105"/>
      <c r="BM87" s="111"/>
      <c r="BN87" s="111"/>
      <c r="BO87" s="111"/>
      <c r="BP87" s="111"/>
      <c r="BQ87" s="111"/>
      <c r="BR87" s="111"/>
      <c r="BS87" s="111"/>
      <c r="BT87" s="113">
        <f>SUM(Tabelle4[[#This Row],[Projektverantwortung
(Lenkungsausschuss) ]:[Kommunikation ]])</f>
        <v>0</v>
      </c>
      <c r="BU87" s="113"/>
      <c r="BV87" s="106"/>
      <c r="BW87" s="106"/>
      <c r="BX87" s="106"/>
      <c r="BY87" s="106"/>
      <c r="BZ87" s="106"/>
      <c r="CA87" s="106"/>
      <c r="CB87" s="106"/>
      <c r="CC87" s="113">
        <f>SUM(Tabelle4[[#This Row],[Projektverantwortung
(Lenkungsausschuss)   ]:[Kommunikation   ]])</f>
        <v>0</v>
      </c>
      <c r="CD87" s="113"/>
      <c r="CE87" s="114"/>
      <c r="CF87" s="114"/>
      <c r="CG87" s="114"/>
      <c r="CH87" s="114"/>
      <c r="CI87" s="114"/>
      <c r="CJ87" s="114"/>
      <c r="CK87" s="114"/>
      <c r="CL87" s="113">
        <f>SUM(Tabelle4[[#This Row],[Projektverantwortung
(Lenkungsausschuss).]:[Kommunikation    ]])</f>
        <v>0</v>
      </c>
      <c r="CM87" s="113"/>
      <c r="CN87" s="114"/>
      <c r="CO87" s="114"/>
      <c r="CP87" s="114"/>
      <c r="CQ87" s="114"/>
      <c r="CR87" s="114"/>
      <c r="CS87" s="114"/>
      <c r="CT87" s="114"/>
      <c r="CU87" s="113">
        <f>SUM(Tabelle4[[#This Row],[Projektverantwortung
(Lenkungsausschuss)    ]:[Kommunikation     ]])</f>
        <v>0</v>
      </c>
      <c r="CV87" s="112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87" s="105"/>
      <c r="CX87" s="105"/>
      <c r="CY87" s="105"/>
      <c r="CZ87" s="105"/>
      <c r="DA87" s="105"/>
      <c r="DB87" s="105"/>
      <c r="DC87" s="105"/>
      <c r="DD87" s="105"/>
      <c r="DE87" s="112">
        <f>SUM(Tabelle4[[#This Row],[Aufwand ]],Tabelle4[[#This Row],[Aufwand 2]],Tabelle4[[#This Row],[Aufwand 3]],Tabelle4[[#This Row],[Aufwand 4]])</f>
        <v>0</v>
      </c>
      <c r="DF87" s="142"/>
      <c r="DG87" s="110"/>
      <c r="DH87" s="110"/>
      <c r="DI87" s="142"/>
      <c r="DJ87" s="110"/>
      <c r="DK87" s="142"/>
      <c r="DL87" s="110"/>
      <c r="DM87" s="142"/>
      <c r="DN87" s="112">
        <f>SUM(Tabelle4[[#This Row],[Aufwand  ]],Tabelle4[[#This Row],[Aufwand  2]],Tabelle4[[#This Row],[Aufwand  3]],Tabelle4[[#This Row],[Aufwand  4]])</f>
        <v>0</v>
      </c>
      <c r="DO87" s="142"/>
      <c r="DP87" s="110"/>
      <c r="DQ87" s="110"/>
      <c r="DR87" s="142"/>
      <c r="DS87" s="110"/>
      <c r="DT87" s="142"/>
      <c r="DU87" s="110"/>
      <c r="DV87" s="142"/>
      <c r="DW87" s="107">
        <f>SUM(Tabelle4[[#This Row],[Aufwand   ]],Tabelle4[[#This Row],[Aufwand   2]],Tabelle4[[#This Row],[Aufwand   3]],Tabelle4[[#This Row],[Aufwand   4]])</f>
        <v>0</v>
      </c>
      <c r="DX87" s="142"/>
      <c r="DY87" s="143"/>
      <c r="DZ87" s="105"/>
      <c r="EA87" s="105"/>
      <c r="EB87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87" s="122">
        <f>Tabelle4[[#This Row],[Gesamaufwand]]/2000</f>
        <v>0</v>
      </c>
      <c r="ED87" s="47"/>
      <c r="EE87" s="47"/>
      <c r="EF87" s="47"/>
      <c r="EG87" s="47"/>
      <c r="EH87" s="47"/>
      <c r="EI87" s="47"/>
      <c r="EJ87" s="47"/>
      <c r="EK87" s="47"/>
      <c r="EL87" s="47"/>
    </row>
    <row r="88" spans="1:142">
      <c r="A88" s="255" t="s">
        <v>244</v>
      </c>
      <c r="B88" s="251" t="s">
        <v>1331</v>
      </c>
      <c r="C88" s="254" t="s">
        <v>75</v>
      </c>
      <c r="D88" s="251" t="s">
        <v>75</v>
      </c>
      <c r="E88" s="251" t="s">
        <v>75</v>
      </c>
      <c r="F88" s="253">
        <v>2</v>
      </c>
      <c r="G88" s="253">
        <v>4</v>
      </c>
      <c r="H88" s="253"/>
      <c r="I88" s="254" t="s">
        <v>95</v>
      </c>
      <c r="J88" s="254"/>
      <c r="K88" s="105"/>
      <c r="L88" s="105"/>
      <c r="M88" s="48"/>
      <c r="N88" s="105"/>
      <c r="O88" s="255" t="s">
        <v>245</v>
      </c>
      <c r="P88" s="261">
        <v>1</v>
      </c>
      <c r="Q88" s="261">
        <v>0</v>
      </c>
      <c r="R88" s="261">
        <v>0</v>
      </c>
      <c r="S88" s="262" t="s">
        <v>246</v>
      </c>
      <c r="T88" s="263" t="s">
        <v>75</v>
      </c>
      <c r="U88" s="105"/>
      <c r="V88" s="259" t="s">
        <v>12</v>
      </c>
      <c r="W88" s="105" t="s">
        <v>7</v>
      </c>
      <c r="X88" s="105" t="s">
        <v>9</v>
      </c>
      <c r="Y88" s="105" t="s">
        <v>690</v>
      </c>
      <c r="Z88" s="105" t="s">
        <v>79</v>
      </c>
      <c r="AA88" s="105" t="s">
        <v>690</v>
      </c>
      <c r="AB88" s="105" t="s">
        <v>690</v>
      </c>
      <c r="AC88" s="105" t="s">
        <v>690</v>
      </c>
      <c r="AD88" s="105" t="s">
        <v>690</v>
      </c>
      <c r="AE88" s="105"/>
      <c r="AF88" s="105"/>
      <c r="AG88" s="105"/>
      <c r="AH88" s="115" t="s">
        <v>690</v>
      </c>
      <c r="AI88" s="115"/>
      <c r="AJ88" s="115"/>
      <c r="AK88" s="105"/>
      <c r="AL88" s="115"/>
      <c r="AM88" s="115"/>
      <c r="AN88" s="115"/>
      <c r="AO88" s="260">
        <f>Tabelle4[[#This Row],[Kredit-  / Budgetsumme
(RADAR: Gesamtkosten S)]]-Tabelle4[[#This Row],[Netto-Ausgaben Vorjahre ]]</f>
        <v>0</v>
      </c>
      <c r="AP88" s="310"/>
      <c r="AQ88" s="311"/>
      <c r="AR88" s="115">
        <f>Tabelle4[[#This Row],[Kreditrest per 1.1. aktuelles Jahr]]-Tabelle4[[#This Row],[Prognose 2018
(RADAR: Kosten 2018 S)]]</f>
        <v>0</v>
      </c>
      <c r="AS88" s="115"/>
      <c r="AT88" s="311"/>
      <c r="AU88" s="115"/>
      <c r="AV88" s="311"/>
      <c r="AW88" s="115"/>
      <c r="AX88" s="311"/>
      <c r="AY88" s="115"/>
      <c r="AZ88" s="311"/>
      <c r="BA88" s="115"/>
      <c r="BB88" s="311"/>
      <c r="BC88" s="115"/>
      <c r="BD88" s="311"/>
      <c r="BE88" s="115"/>
      <c r="BF88" s="311"/>
      <c r="BG88" s="115"/>
      <c r="BH88" s="311"/>
      <c r="BI88" s="115"/>
      <c r="BJ88" s="115"/>
      <c r="BK88" s="264"/>
      <c r="BL88" s="105"/>
      <c r="BM88" s="106">
        <v>40</v>
      </c>
      <c r="BN88" s="106"/>
      <c r="BO88" s="106">
        <v>20</v>
      </c>
      <c r="BP88" s="106"/>
      <c r="BQ88" s="106"/>
      <c r="BR88" s="106"/>
      <c r="BS88" s="106"/>
      <c r="BT88" s="108">
        <f>SUM(Tabelle4[[#This Row],[Projektverantwortung
(Lenkungsausschuss) ]:[Kommunikation ]])</f>
        <v>60</v>
      </c>
      <c r="BU88" s="105"/>
      <c r="BV88" s="106">
        <v>40</v>
      </c>
      <c r="BW88" s="106"/>
      <c r="BX88" s="106">
        <v>20</v>
      </c>
      <c r="BY88" s="106"/>
      <c r="BZ88" s="106"/>
      <c r="CA88" s="106"/>
      <c r="CB88" s="106"/>
      <c r="CC88" s="108">
        <f>SUM(Tabelle4[[#This Row],[Projektverantwortung
(Lenkungsausschuss)   ]:[Kommunikation   ]])</f>
        <v>60</v>
      </c>
      <c r="CD88" s="105"/>
      <c r="CE88" s="106">
        <v>40</v>
      </c>
      <c r="CF88" s="106"/>
      <c r="CG88" s="106">
        <v>20</v>
      </c>
      <c r="CH88" s="106"/>
      <c r="CI88" s="106"/>
      <c r="CJ88" s="106"/>
      <c r="CK88" s="106"/>
      <c r="CL88" s="108">
        <f>SUM(Tabelle4[[#This Row],[Projektverantwortung
(Lenkungsausschuss).]:[Kommunikation    ]])</f>
        <v>60</v>
      </c>
      <c r="CM88" s="105"/>
      <c r="CN88" s="106">
        <v>40</v>
      </c>
      <c r="CO88" s="106"/>
      <c r="CP88" s="106">
        <v>20</v>
      </c>
      <c r="CQ88" s="106"/>
      <c r="CR88" s="106"/>
      <c r="CS88" s="106"/>
      <c r="CT88" s="106"/>
      <c r="CU88" s="108">
        <f>SUM(Tabelle4[[#This Row],[Projektverantwortung
(Lenkungsausschuss)    ]:[Kommunikation     ]])</f>
        <v>60</v>
      </c>
      <c r="CV88" s="107">
        <f>SUM(Tabelle4[[#This Row],[Total Aufwand
1. Quartal 2018]],Tabelle4[[#This Row],[Total Aufwand
2. Quartal 2018]],Tabelle4[[#This Row],[Total Aufwand
3. Quartal 2018]],Tabelle4[[#This Row],[Total Aufwand
4. Quartal 2018]])</f>
        <v>240</v>
      </c>
      <c r="CW88" s="105"/>
      <c r="CX88" s="105"/>
      <c r="CY88" s="105"/>
      <c r="CZ88" s="105"/>
      <c r="DA88" s="105"/>
      <c r="DB88" s="105"/>
      <c r="DC88" s="105"/>
      <c r="DD88" s="105"/>
      <c r="DE88" s="107">
        <f>SUM(Tabelle4[[#This Row],[Aufwand ]],Tabelle4[[#This Row],[Aufwand 2]],Tabelle4[[#This Row],[Aufwand 3]],Tabelle4[[#This Row],[Aufwand 4]])</f>
        <v>0</v>
      </c>
      <c r="DF88" s="105"/>
      <c r="DG88" s="105"/>
      <c r="DH88" s="105"/>
      <c r="DI88" s="105"/>
      <c r="DJ88" s="105"/>
      <c r="DK88" s="105"/>
      <c r="DL88" s="105"/>
      <c r="DM88" s="105"/>
      <c r="DN88" s="107">
        <f>SUM(Tabelle4[[#This Row],[Aufwand  ]],Tabelle4[[#This Row],[Aufwand  2]],Tabelle4[[#This Row],[Aufwand  3]],Tabelle4[[#This Row],[Aufwand  4]])</f>
        <v>0</v>
      </c>
      <c r="DO88" s="105"/>
      <c r="DP88" s="105"/>
      <c r="DQ88" s="105"/>
      <c r="DR88" s="105"/>
      <c r="DS88" s="105"/>
      <c r="DT88" s="105"/>
      <c r="DU88" s="105"/>
      <c r="DV88" s="105"/>
      <c r="DW88" s="107">
        <f>SUM(Tabelle4[[#This Row],[Aufwand   ]],Tabelle4[[#This Row],[Aufwand   2]],Tabelle4[[#This Row],[Aufwand   3]],Tabelle4[[#This Row],[Aufwand   4]])</f>
        <v>0</v>
      </c>
      <c r="DX88" s="105"/>
      <c r="DY88" s="105"/>
      <c r="DZ88" s="105"/>
      <c r="EA88" s="105"/>
      <c r="EB88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240</v>
      </c>
      <c r="EC88" s="122">
        <f>Tabelle4[[#This Row],[Gesamaufwand]]/2000</f>
        <v>0.12</v>
      </c>
      <c r="ED88" s="47"/>
      <c r="EE88" s="47"/>
      <c r="EF88" s="47"/>
      <c r="EG88" s="47"/>
      <c r="EH88" s="47"/>
      <c r="EI88" s="47"/>
      <c r="EJ88" s="47"/>
      <c r="EK88" s="47"/>
      <c r="EL88" s="47"/>
    </row>
    <row r="89" spans="1:142">
      <c r="A89" s="255" t="s">
        <v>865</v>
      </c>
      <c r="B89" s="251" t="s">
        <v>105</v>
      </c>
      <c r="C89" s="254" t="s">
        <v>67</v>
      </c>
      <c r="D89" s="251" t="s">
        <v>780</v>
      </c>
      <c r="E89" s="251" t="s">
        <v>781</v>
      </c>
      <c r="F89" s="253">
        <v>2</v>
      </c>
      <c r="G89" s="253">
        <v>2</v>
      </c>
      <c r="H89" s="253"/>
      <c r="I89" s="254" t="s">
        <v>95</v>
      </c>
      <c r="J89" s="268"/>
      <c r="K89" s="182"/>
      <c r="L89" s="182"/>
      <c r="M89" s="198"/>
      <c r="N89" s="182"/>
      <c r="O89" s="255" t="s">
        <v>247</v>
      </c>
      <c r="P89" s="261">
        <v>1</v>
      </c>
      <c r="Q89" s="261">
        <v>0</v>
      </c>
      <c r="R89" s="261">
        <v>0</v>
      </c>
      <c r="S89" s="262" t="s">
        <v>248</v>
      </c>
      <c r="T89" s="263" t="s">
        <v>659</v>
      </c>
      <c r="U89" s="105"/>
      <c r="V89" s="259" t="s">
        <v>12</v>
      </c>
      <c r="W89" s="105" t="s">
        <v>7</v>
      </c>
      <c r="X89" s="105" t="s">
        <v>9</v>
      </c>
      <c r="Y89" s="105" t="s">
        <v>86</v>
      </c>
      <c r="Z89" s="105" t="s">
        <v>13</v>
      </c>
      <c r="AA89" s="105" t="s">
        <v>633</v>
      </c>
      <c r="AB89" s="105" t="s">
        <v>690</v>
      </c>
      <c r="AC89" s="105" t="s">
        <v>639</v>
      </c>
      <c r="AD89" s="105" t="s">
        <v>690</v>
      </c>
      <c r="AE89" s="182"/>
      <c r="AF89" s="182"/>
      <c r="AG89" s="182"/>
      <c r="AH89" s="115" t="s">
        <v>75</v>
      </c>
      <c r="AI89" s="115"/>
      <c r="AJ89" s="115"/>
      <c r="AK89" s="105"/>
      <c r="AL89" s="115"/>
      <c r="AM89" s="115"/>
      <c r="AN89" s="115"/>
      <c r="AO89" s="115">
        <f>Tabelle4[[#This Row],[Kredit-  / Budgetsumme
(RADAR: Gesamtkosten S)]]-Tabelle4[[#This Row],[Netto-Ausgaben Vorjahre ]]</f>
        <v>0</v>
      </c>
      <c r="AP89" s="311"/>
      <c r="AQ89" s="311"/>
      <c r="AR89" s="115">
        <f>Tabelle4[[#This Row],[Kreditrest per 1.1. aktuelles Jahr]]-Tabelle4[[#This Row],[Prognose 2018
(RADAR: Kosten 2018 S)]]</f>
        <v>0</v>
      </c>
      <c r="AS89" s="115"/>
      <c r="AT89" s="311"/>
      <c r="AU89" s="115"/>
      <c r="AV89" s="311"/>
      <c r="AW89" s="115"/>
      <c r="AX89" s="311"/>
      <c r="AY89" s="115"/>
      <c r="AZ89" s="311"/>
      <c r="BA89" s="115"/>
      <c r="BB89" s="311"/>
      <c r="BC89" s="115"/>
      <c r="BD89" s="311"/>
      <c r="BE89" s="115"/>
      <c r="BF89" s="311"/>
      <c r="BG89" s="115"/>
      <c r="BH89" s="311"/>
      <c r="BI89" s="115"/>
      <c r="BJ89" s="115"/>
      <c r="BK89" s="264"/>
      <c r="BL89" s="105"/>
      <c r="BM89" s="106">
        <v>8</v>
      </c>
      <c r="BN89" s="106">
        <v>8</v>
      </c>
      <c r="BO89" s="106">
        <v>20</v>
      </c>
      <c r="BP89" s="106">
        <v>100</v>
      </c>
      <c r="BQ89" s="106"/>
      <c r="BR89" s="106"/>
      <c r="BS89" s="106"/>
      <c r="BT89" s="108">
        <f>SUM(Tabelle4[[#This Row],[Projektverantwortung
(Lenkungsausschuss) ]:[Kommunikation ]])</f>
        <v>136</v>
      </c>
      <c r="BU89" s="105"/>
      <c r="BV89" s="106">
        <v>8</v>
      </c>
      <c r="BW89" s="106">
        <v>8</v>
      </c>
      <c r="BX89" s="106">
        <v>20</v>
      </c>
      <c r="BY89" s="106">
        <v>100</v>
      </c>
      <c r="BZ89" s="106"/>
      <c r="CA89" s="106"/>
      <c r="CB89" s="106"/>
      <c r="CC89" s="108">
        <f>SUM(Tabelle4[[#This Row],[Projektverantwortung
(Lenkungsausschuss)   ]:[Kommunikation   ]])</f>
        <v>136</v>
      </c>
      <c r="CD89" s="105"/>
      <c r="CE89" s="106">
        <v>8</v>
      </c>
      <c r="CF89" s="106">
        <v>8</v>
      </c>
      <c r="CG89" s="106">
        <v>20</v>
      </c>
      <c r="CH89" s="106">
        <v>100</v>
      </c>
      <c r="CI89" s="106"/>
      <c r="CJ89" s="106"/>
      <c r="CK89" s="106"/>
      <c r="CL89" s="108">
        <f>SUM(Tabelle4[[#This Row],[Projektverantwortung
(Lenkungsausschuss).]:[Kommunikation    ]])</f>
        <v>136</v>
      </c>
      <c r="CM89" s="105"/>
      <c r="CN89" s="106">
        <v>8</v>
      </c>
      <c r="CO89" s="106">
        <v>8</v>
      </c>
      <c r="CP89" s="106">
        <v>20</v>
      </c>
      <c r="CQ89" s="106">
        <v>100</v>
      </c>
      <c r="CR89" s="106"/>
      <c r="CS89" s="106"/>
      <c r="CT89" s="106"/>
      <c r="CU89" s="108">
        <f>SUM(Tabelle4[[#This Row],[Projektverantwortung
(Lenkungsausschuss)    ]:[Kommunikation     ]])</f>
        <v>136</v>
      </c>
      <c r="CV89" s="107">
        <f>SUM(Tabelle4[[#This Row],[Total Aufwand
1. Quartal 2018]],Tabelle4[[#This Row],[Total Aufwand
2. Quartal 2018]],Tabelle4[[#This Row],[Total Aufwand
3. Quartal 2018]],Tabelle4[[#This Row],[Total Aufwand
4. Quartal 2018]])</f>
        <v>544</v>
      </c>
      <c r="CW89" s="105"/>
      <c r="CX89" s="105"/>
      <c r="CY89" s="105"/>
      <c r="CZ89" s="105"/>
      <c r="DA89" s="105"/>
      <c r="DB89" s="105"/>
      <c r="DC89" s="105"/>
      <c r="DD89" s="105"/>
      <c r="DE89" s="107">
        <f>SUM(Tabelle4[[#This Row],[Aufwand ]],Tabelle4[[#This Row],[Aufwand 2]],Tabelle4[[#This Row],[Aufwand 3]],Tabelle4[[#This Row],[Aufwand 4]])</f>
        <v>0</v>
      </c>
      <c r="DF89" s="105"/>
      <c r="DG89" s="105"/>
      <c r="DH89" s="105"/>
      <c r="DI89" s="105"/>
      <c r="DJ89" s="105"/>
      <c r="DK89" s="105"/>
      <c r="DL89" s="105"/>
      <c r="DM89" s="105"/>
      <c r="DN89" s="107">
        <f>SUM(Tabelle4[[#This Row],[Aufwand  ]],Tabelle4[[#This Row],[Aufwand  2]],Tabelle4[[#This Row],[Aufwand  3]],Tabelle4[[#This Row],[Aufwand  4]])</f>
        <v>0</v>
      </c>
      <c r="DO89" s="105"/>
      <c r="DP89" s="105"/>
      <c r="DQ89" s="105"/>
      <c r="DR89" s="105"/>
      <c r="DS89" s="105"/>
      <c r="DT89" s="105"/>
      <c r="DU89" s="105"/>
      <c r="DV89" s="105"/>
      <c r="DW89" s="107">
        <f>SUM(Tabelle4[[#This Row],[Aufwand   ]],Tabelle4[[#This Row],[Aufwand   2]],Tabelle4[[#This Row],[Aufwand   3]],Tabelle4[[#This Row],[Aufwand   4]])</f>
        <v>0</v>
      </c>
      <c r="DX89" s="105"/>
      <c r="DY89" s="105"/>
      <c r="DZ89" s="105"/>
      <c r="EA89" s="105"/>
      <c r="EB89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544</v>
      </c>
      <c r="EC89" s="122">
        <f>Tabelle4[[#This Row],[Gesamaufwand]]/2000</f>
        <v>0.27200000000000002</v>
      </c>
      <c r="ED89" s="47"/>
      <c r="EE89" s="47"/>
      <c r="EF89" s="47"/>
      <c r="EG89" s="47"/>
      <c r="EH89" s="47"/>
      <c r="EI89" s="47"/>
      <c r="EJ89" s="47"/>
      <c r="EK89" s="47"/>
      <c r="EL89" s="47"/>
    </row>
    <row r="90" spans="1:142">
      <c r="A90" s="265" t="s">
        <v>249</v>
      </c>
      <c r="B90" s="251" t="s">
        <v>75</v>
      </c>
      <c r="C90" s="254" t="s">
        <v>75</v>
      </c>
      <c r="D90" s="251" t="s">
        <v>780</v>
      </c>
      <c r="E90" s="251" t="s">
        <v>781</v>
      </c>
      <c r="F90" s="253" t="s">
        <v>690</v>
      </c>
      <c r="G90" s="253" t="s">
        <v>690</v>
      </c>
      <c r="H90" s="253"/>
      <c r="I90" s="254" t="s">
        <v>96</v>
      </c>
      <c r="J90" s="254"/>
      <c r="K90" s="105"/>
      <c r="L90" s="105"/>
      <c r="M90" s="48"/>
      <c r="N90" s="105"/>
      <c r="O90" s="255" t="s">
        <v>250</v>
      </c>
      <c r="P90" s="261">
        <v>3</v>
      </c>
      <c r="Q90" s="261">
        <v>0</v>
      </c>
      <c r="R90" s="261">
        <v>0</v>
      </c>
      <c r="S90" s="262" t="s">
        <v>126</v>
      </c>
      <c r="T90" s="263" t="s">
        <v>75</v>
      </c>
      <c r="U90" s="105"/>
      <c r="V90" s="259" t="s">
        <v>12</v>
      </c>
      <c r="W90" s="105" t="s">
        <v>690</v>
      </c>
      <c r="X90" s="105" t="s">
        <v>690</v>
      </c>
      <c r="Y90" s="105" t="s">
        <v>690</v>
      </c>
      <c r="Z90" s="105" t="s">
        <v>690</v>
      </c>
      <c r="AA90" s="105" t="s">
        <v>690</v>
      </c>
      <c r="AB90" s="105" t="s">
        <v>690</v>
      </c>
      <c r="AC90" s="105" t="s">
        <v>690</v>
      </c>
      <c r="AD90" s="105" t="s">
        <v>690</v>
      </c>
      <c r="AE90" s="105"/>
      <c r="AF90" s="105"/>
      <c r="AG90" s="105"/>
      <c r="AH90" s="115" t="s">
        <v>690</v>
      </c>
      <c r="AI90" s="115"/>
      <c r="AJ90" s="115"/>
      <c r="AK90" s="105"/>
      <c r="AL90" s="115"/>
      <c r="AM90" s="115"/>
      <c r="AN90" s="115"/>
      <c r="AO90" s="260">
        <f>Tabelle4[[#This Row],[Kredit-  / Budgetsumme
(RADAR: Gesamtkosten S)]]-Tabelle4[[#This Row],[Netto-Ausgaben Vorjahre ]]</f>
        <v>0</v>
      </c>
      <c r="AP90" s="310"/>
      <c r="AQ90" s="311"/>
      <c r="AR90" s="115">
        <f>Tabelle4[[#This Row],[Kreditrest per 1.1. aktuelles Jahr]]-Tabelle4[[#This Row],[Prognose 2018
(RADAR: Kosten 2018 S)]]</f>
        <v>0</v>
      </c>
      <c r="AS90" s="115"/>
      <c r="AT90" s="311"/>
      <c r="AU90" s="115"/>
      <c r="AV90" s="311"/>
      <c r="AW90" s="115"/>
      <c r="AX90" s="311"/>
      <c r="AY90" s="115"/>
      <c r="AZ90" s="311"/>
      <c r="BA90" s="115"/>
      <c r="BB90" s="311"/>
      <c r="BC90" s="115"/>
      <c r="BD90" s="311"/>
      <c r="BE90" s="115"/>
      <c r="BF90" s="311"/>
      <c r="BG90" s="115"/>
      <c r="BH90" s="311"/>
      <c r="BI90" s="115"/>
      <c r="BJ90" s="115"/>
      <c r="BK90" s="264"/>
      <c r="BL90" s="105"/>
      <c r="BM90" s="106"/>
      <c r="BN90" s="106"/>
      <c r="BO90" s="106"/>
      <c r="BP90" s="106"/>
      <c r="BQ90" s="106"/>
      <c r="BR90" s="106"/>
      <c r="BS90" s="106"/>
      <c r="BT90" s="108">
        <f>SUM(Tabelle4[[#This Row],[Projektverantwortung
(Lenkungsausschuss) ]:[Kommunikation ]])</f>
        <v>0</v>
      </c>
      <c r="BU90" s="105"/>
      <c r="BV90" s="106"/>
      <c r="BW90" s="106"/>
      <c r="BX90" s="106"/>
      <c r="BY90" s="106"/>
      <c r="BZ90" s="106"/>
      <c r="CA90" s="106"/>
      <c r="CB90" s="106"/>
      <c r="CC90" s="108">
        <f>SUM(Tabelle4[[#This Row],[Projektverantwortung
(Lenkungsausschuss)   ]:[Kommunikation   ]])</f>
        <v>0</v>
      </c>
      <c r="CD90" s="105"/>
      <c r="CE90" s="106"/>
      <c r="CF90" s="106"/>
      <c r="CG90" s="106"/>
      <c r="CH90" s="106"/>
      <c r="CI90" s="106"/>
      <c r="CJ90" s="106"/>
      <c r="CK90" s="106"/>
      <c r="CL90" s="108">
        <f>SUM(Tabelle4[[#This Row],[Projektverantwortung
(Lenkungsausschuss).]:[Kommunikation    ]])</f>
        <v>0</v>
      </c>
      <c r="CM90" s="105"/>
      <c r="CN90" s="106"/>
      <c r="CO90" s="106"/>
      <c r="CP90" s="106"/>
      <c r="CQ90" s="106"/>
      <c r="CR90" s="106"/>
      <c r="CS90" s="106"/>
      <c r="CT90" s="106"/>
      <c r="CU90" s="108">
        <f>SUM(Tabelle4[[#This Row],[Projektverantwortung
(Lenkungsausschuss)    ]:[Kommunikation     ]])</f>
        <v>0</v>
      </c>
      <c r="CV90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90" s="105"/>
      <c r="CX90" s="105"/>
      <c r="CY90" s="105"/>
      <c r="CZ90" s="105"/>
      <c r="DA90" s="105"/>
      <c r="DB90" s="105"/>
      <c r="DC90" s="105"/>
      <c r="DD90" s="105"/>
      <c r="DE90" s="107">
        <f>SUM(Tabelle4[[#This Row],[Aufwand ]],Tabelle4[[#This Row],[Aufwand 2]],Tabelle4[[#This Row],[Aufwand 3]],Tabelle4[[#This Row],[Aufwand 4]])</f>
        <v>0</v>
      </c>
      <c r="DF90" s="105"/>
      <c r="DG90" s="105"/>
      <c r="DH90" s="105"/>
      <c r="DI90" s="105"/>
      <c r="DJ90" s="105"/>
      <c r="DK90" s="105"/>
      <c r="DL90" s="105"/>
      <c r="DM90" s="105"/>
      <c r="DN90" s="107">
        <f>SUM(Tabelle4[[#This Row],[Aufwand  ]],Tabelle4[[#This Row],[Aufwand  2]],Tabelle4[[#This Row],[Aufwand  3]],Tabelle4[[#This Row],[Aufwand  4]])</f>
        <v>0</v>
      </c>
      <c r="DO90" s="105"/>
      <c r="DP90" s="105"/>
      <c r="DQ90" s="105"/>
      <c r="DR90" s="105"/>
      <c r="DS90" s="105"/>
      <c r="DT90" s="105"/>
      <c r="DU90" s="105"/>
      <c r="DV90" s="105"/>
      <c r="DW90" s="107">
        <f>SUM(Tabelle4[[#This Row],[Aufwand   ]],Tabelle4[[#This Row],[Aufwand   2]],Tabelle4[[#This Row],[Aufwand   3]],Tabelle4[[#This Row],[Aufwand   4]])</f>
        <v>0</v>
      </c>
      <c r="DX90" s="105"/>
      <c r="DY90" s="105"/>
      <c r="DZ90" s="105"/>
      <c r="EA90" s="105"/>
      <c r="EB90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90" s="122">
        <f>Tabelle4[[#This Row],[Gesamaufwand]]/2000</f>
        <v>0</v>
      </c>
      <c r="ED90" s="47"/>
      <c r="EE90" s="47"/>
      <c r="EF90" s="47"/>
      <c r="EG90" s="47"/>
      <c r="EH90" s="47"/>
      <c r="EI90" s="47"/>
      <c r="EJ90" s="47"/>
      <c r="EK90" s="47"/>
      <c r="EL90" s="47"/>
    </row>
    <row r="91" spans="1:142">
      <c r="A91" s="255" t="s">
        <v>196</v>
      </c>
      <c r="B91" s="251" t="s">
        <v>105</v>
      </c>
      <c r="C91" s="254" t="s">
        <v>68</v>
      </c>
      <c r="D91" s="251" t="s">
        <v>913</v>
      </c>
      <c r="E91" s="251" t="s">
        <v>696</v>
      </c>
      <c r="F91" s="253">
        <v>2</v>
      </c>
      <c r="G91" s="253">
        <v>3</v>
      </c>
      <c r="H91" s="253"/>
      <c r="I91" s="254" t="s">
        <v>95</v>
      </c>
      <c r="J91" s="254"/>
      <c r="K91" s="105"/>
      <c r="L91" s="105"/>
      <c r="M91" s="48"/>
      <c r="N91" s="105"/>
      <c r="O91" s="255" t="s">
        <v>197</v>
      </c>
      <c r="P91" s="261">
        <v>1</v>
      </c>
      <c r="Q91" s="261">
        <v>0</v>
      </c>
      <c r="R91" s="261">
        <v>0</v>
      </c>
      <c r="S91" s="262" t="s">
        <v>198</v>
      </c>
      <c r="T91" s="263" t="s">
        <v>668</v>
      </c>
      <c r="U91" s="105"/>
      <c r="V91" s="259" t="s">
        <v>608</v>
      </c>
      <c r="W91" s="105" t="s">
        <v>8</v>
      </c>
      <c r="X91" s="105" t="s">
        <v>10</v>
      </c>
      <c r="Y91" s="105" t="s">
        <v>690</v>
      </c>
      <c r="Z91" s="105" t="s">
        <v>10</v>
      </c>
      <c r="AA91" s="105" t="s">
        <v>639</v>
      </c>
      <c r="AB91" s="105" t="s">
        <v>639</v>
      </c>
      <c r="AC91" s="105" t="s">
        <v>639</v>
      </c>
      <c r="AD91" s="105" t="s">
        <v>12</v>
      </c>
      <c r="AE91" s="105"/>
      <c r="AF91" s="105"/>
      <c r="AG91" s="105"/>
      <c r="AH91" s="115" t="s">
        <v>621</v>
      </c>
      <c r="AI91" s="115"/>
      <c r="AJ91" s="115"/>
      <c r="AK91" s="105"/>
      <c r="AL91" s="115"/>
      <c r="AM91" s="115"/>
      <c r="AN91" s="115"/>
      <c r="AO91" s="260">
        <f>Tabelle4[[#This Row],[Kredit-  / Budgetsumme
(RADAR: Gesamtkosten S)]]-Tabelle4[[#This Row],[Netto-Ausgaben Vorjahre ]]</f>
        <v>0</v>
      </c>
      <c r="AP91" s="310"/>
      <c r="AQ91" s="311"/>
      <c r="AR91" s="115">
        <f>Tabelle4[[#This Row],[Kreditrest per 1.1. aktuelles Jahr]]-Tabelle4[[#This Row],[Prognose 2018
(RADAR: Kosten 2018 S)]]</f>
        <v>0</v>
      </c>
      <c r="AS91" s="115"/>
      <c r="AT91" s="311"/>
      <c r="AU91" s="115"/>
      <c r="AV91" s="311"/>
      <c r="AW91" s="115"/>
      <c r="AX91" s="311"/>
      <c r="AY91" s="115"/>
      <c r="AZ91" s="311"/>
      <c r="BA91" s="115"/>
      <c r="BB91" s="311"/>
      <c r="BC91" s="115"/>
      <c r="BD91" s="311"/>
      <c r="BE91" s="115"/>
      <c r="BF91" s="311"/>
      <c r="BG91" s="115"/>
      <c r="BH91" s="311"/>
      <c r="BI91" s="115"/>
      <c r="BJ91" s="115"/>
      <c r="BK91" s="264"/>
      <c r="BL91" s="105"/>
      <c r="BM91" s="106"/>
      <c r="BN91" s="106"/>
      <c r="BO91" s="106"/>
      <c r="BP91" s="106"/>
      <c r="BQ91" s="106"/>
      <c r="BR91" s="106"/>
      <c r="BS91" s="106"/>
      <c r="BT91" s="108">
        <f>SUM(Tabelle4[[#This Row],[Projektverantwortung
(Lenkungsausschuss) ]:[Kommunikation ]])</f>
        <v>0</v>
      </c>
      <c r="BU91" s="105"/>
      <c r="BV91" s="106"/>
      <c r="BW91" s="106"/>
      <c r="BX91" s="106"/>
      <c r="BY91" s="106"/>
      <c r="BZ91" s="106"/>
      <c r="CA91" s="106"/>
      <c r="CB91" s="106"/>
      <c r="CC91" s="108">
        <f>SUM(Tabelle4[[#This Row],[Projektverantwortung
(Lenkungsausschuss)   ]:[Kommunikation   ]])</f>
        <v>0</v>
      </c>
      <c r="CD91" s="105"/>
      <c r="CE91" s="106"/>
      <c r="CF91" s="106"/>
      <c r="CG91" s="106"/>
      <c r="CH91" s="106"/>
      <c r="CI91" s="106"/>
      <c r="CJ91" s="106"/>
      <c r="CK91" s="106"/>
      <c r="CL91" s="108">
        <f>SUM(Tabelle4[[#This Row],[Projektverantwortung
(Lenkungsausschuss).]:[Kommunikation    ]])</f>
        <v>0</v>
      </c>
      <c r="CM91" s="105"/>
      <c r="CN91" s="106"/>
      <c r="CO91" s="106"/>
      <c r="CP91" s="106"/>
      <c r="CQ91" s="106"/>
      <c r="CR91" s="106"/>
      <c r="CS91" s="106"/>
      <c r="CT91" s="106"/>
      <c r="CU91" s="108">
        <f>SUM(Tabelle4[[#This Row],[Projektverantwortung
(Lenkungsausschuss)    ]:[Kommunikation     ]])</f>
        <v>0</v>
      </c>
      <c r="CV91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91" s="105"/>
      <c r="CX91" s="105"/>
      <c r="CY91" s="105"/>
      <c r="CZ91" s="105"/>
      <c r="DA91" s="105"/>
      <c r="DB91" s="105"/>
      <c r="DC91" s="105"/>
      <c r="DD91" s="105"/>
      <c r="DE91" s="107">
        <f>SUM(Tabelle4[[#This Row],[Aufwand ]],Tabelle4[[#This Row],[Aufwand 2]],Tabelle4[[#This Row],[Aufwand 3]],Tabelle4[[#This Row],[Aufwand 4]])</f>
        <v>0</v>
      </c>
      <c r="DF91" s="105"/>
      <c r="DG91" s="105"/>
      <c r="DH91" s="105"/>
      <c r="DI91" s="105"/>
      <c r="DJ91" s="105"/>
      <c r="DK91" s="105"/>
      <c r="DL91" s="105"/>
      <c r="DM91" s="105"/>
      <c r="DN91" s="107">
        <f>SUM(Tabelle4[[#This Row],[Aufwand  ]],Tabelle4[[#This Row],[Aufwand  2]],Tabelle4[[#This Row],[Aufwand  3]],Tabelle4[[#This Row],[Aufwand  4]])</f>
        <v>0</v>
      </c>
      <c r="DO91" s="105"/>
      <c r="DP91" s="105"/>
      <c r="DQ91" s="105"/>
      <c r="DR91" s="105"/>
      <c r="DS91" s="105"/>
      <c r="DT91" s="105"/>
      <c r="DU91" s="105"/>
      <c r="DV91" s="105"/>
      <c r="DW91" s="107">
        <f>SUM(Tabelle4[[#This Row],[Aufwand   ]],Tabelle4[[#This Row],[Aufwand   2]],Tabelle4[[#This Row],[Aufwand   3]],Tabelle4[[#This Row],[Aufwand   4]])</f>
        <v>0</v>
      </c>
      <c r="DX91" s="105"/>
      <c r="DY91" s="105"/>
      <c r="DZ91" s="105"/>
      <c r="EA91" s="105"/>
      <c r="EB91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91" s="122">
        <f>Tabelle4[[#This Row],[Gesamaufwand]]/2000</f>
        <v>0</v>
      </c>
      <c r="ED91" s="47"/>
      <c r="EE91" s="47"/>
      <c r="EF91" s="47"/>
      <c r="EG91" s="47"/>
      <c r="EH91" s="47"/>
      <c r="EI91" s="47"/>
      <c r="EJ91" s="47"/>
      <c r="EK91" s="47"/>
      <c r="EL91" s="47"/>
    </row>
    <row r="92" spans="1:142">
      <c r="A92" s="255" t="s">
        <v>473</v>
      </c>
      <c r="B92" s="251" t="s">
        <v>75</v>
      </c>
      <c r="C92" s="254" t="s">
        <v>75</v>
      </c>
      <c r="D92" s="251" t="s">
        <v>913</v>
      </c>
      <c r="E92" s="251" t="s">
        <v>859</v>
      </c>
      <c r="F92" s="253">
        <v>4</v>
      </c>
      <c r="G92" s="253">
        <v>1</v>
      </c>
      <c r="H92" s="253"/>
      <c r="I92" s="254" t="s">
        <v>95</v>
      </c>
      <c r="J92" s="254"/>
      <c r="K92" s="105"/>
      <c r="L92" s="105"/>
      <c r="M92" s="48"/>
      <c r="N92" s="105"/>
      <c r="O92" s="255" t="s">
        <v>474</v>
      </c>
      <c r="P92" s="261">
        <v>2</v>
      </c>
      <c r="Q92" s="261">
        <v>0</v>
      </c>
      <c r="R92" s="261">
        <v>0</v>
      </c>
      <c r="S92" s="262" t="s">
        <v>281</v>
      </c>
      <c r="T92" s="263" t="s">
        <v>75</v>
      </c>
      <c r="U92" s="105"/>
      <c r="V92" s="259" t="s">
        <v>75</v>
      </c>
      <c r="W92" s="105" t="s">
        <v>8</v>
      </c>
      <c r="X92" s="105" t="s">
        <v>10</v>
      </c>
      <c r="Y92" s="105" t="s">
        <v>690</v>
      </c>
      <c r="Z92" s="105" t="s">
        <v>82</v>
      </c>
      <c r="AA92" s="105" t="s">
        <v>690</v>
      </c>
      <c r="AB92" s="105" t="s">
        <v>690</v>
      </c>
      <c r="AC92" s="105" t="s">
        <v>690</v>
      </c>
      <c r="AD92" s="105"/>
      <c r="AE92" s="105"/>
      <c r="AF92" s="105"/>
      <c r="AG92" s="105"/>
      <c r="AH92" s="115" t="s">
        <v>621</v>
      </c>
      <c r="AI92" s="115"/>
      <c r="AJ92" s="115"/>
      <c r="AK92" s="105"/>
      <c r="AL92" s="115"/>
      <c r="AM92" s="115"/>
      <c r="AN92" s="115"/>
      <c r="AO92" s="260">
        <f>Tabelle4[[#This Row],[Kredit-  / Budgetsumme
(RADAR: Gesamtkosten S)]]-Tabelle4[[#This Row],[Netto-Ausgaben Vorjahre ]]</f>
        <v>0</v>
      </c>
      <c r="AP92" s="310"/>
      <c r="AQ92" s="311"/>
      <c r="AR92" s="115">
        <f>Tabelle4[[#This Row],[Kreditrest per 1.1. aktuelles Jahr]]-Tabelle4[[#This Row],[Prognose 2018
(RADAR: Kosten 2018 S)]]</f>
        <v>0</v>
      </c>
      <c r="AS92" s="115"/>
      <c r="AT92" s="311"/>
      <c r="AU92" s="115"/>
      <c r="AV92" s="311"/>
      <c r="AW92" s="115"/>
      <c r="AX92" s="311"/>
      <c r="AY92" s="115"/>
      <c r="AZ92" s="311"/>
      <c r="BA92" s="115"/>
      <c r="BB92" s="311"/>
      <c r="BC92" s="115"/>
      <c r="BD92" s="311"/>
      <c r="BE92" s="115"/>
      <c r="BF92" s="311"/>
      <c r="BG92" s="115"/>
      <c r="BH92" s="311"/>
      <c r="BI92" s="115"/>
      <c r="BJ92" s="115"/>
      <c r="BK92" s="264"/>
      <c r="BL92" s="105"/>
      <c r="BM92" s="106"/>
      <c r="BN92" s="106"/>
      <c r="BO92" s="106"/>
      <c r="BP92" s="106"/>
      <c r="BQ92" s="106"/>
      <c r="BR92" s="106"/>
      <c r="BS92" s="106"/>
      <c r="BT92" s="108">
        <f>SUM(Tabelle4[[#This Row],[Projektverantwortung
(Lenkungsausschuss) ]:[Kommunikation ]])</f>
        <v>0</v>
      </c>
      <c r="BU92" s="105"/>
      <c r="BV92" s="106"/>
      <c r="BW92" s="106"/>
      <c r="BX92" s="106"/>
      <c r="BY92" s="106"/>
      <c r="BZ92" s="106"/>
      <c r="CA92" s="106"/>
      <c r="CB92" s="106"/>
      <c r="CC92" s="108">
        <f>SUM(Tabelle4[[#This Row],[Projektverantwortung
(Lenkungsausschuss)   ]:[Kommunikation   ]])</f>
        <v>0</v>
      </c>
      <c r="CD92" s="105"/>
      <c r="CE92" s="106"/>
      <c r="CF92" s="106"/>
      <c r="CG92" s="106"/>
      <c r="CH92" s="106"/>
      <c r="CI92" s="106"/>
      <c r="CJ92" s="106"/>
      <c r="CK92" s="106"/>
      <c r="CL92" s="108">
        <f>SUM(Tabelle4[[#This Row],[Projektverantwortung
(Lenkungsausschuss).]:[Kommunikation    ]])</f>
        <v>0</v>
      </c>
      <c r="CM92" s="105"/>
      <c r="CN92" s="106"/>
      <c r="CO92" s="106"/>
      <c r="CP92" s="106"/>
      <c r="CQ92" s="106"/>
      <c r="CR92" s="106"/>
      <c r="CS92" s="106"/>
      <c r="CT92" s="106"/>
      <c r="CU92" s="108">
        <f>SUM(Tabelle4[[#This Row],[Projektverantwortung
(Lenkungsausschuss)    ]:[Kommunikation     ]])</f>
        <v>0</v>
      </c>
      <c r="CV92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92" s="105"/>
      <c r="CX92" s="105"/>
      <c r="CY92" s="105"/>
      <c r="CZ92" s="105"/>
      <c r="DA92" s="105"/>
      <c r="DB92" s="105"/>
      <c r="DC92" s="105"/>
      <c r="DD92" s="105"/>
      <c r="DE92" s="107">
        <f>SUM(Tabelle4[[#This Row],[Aufwand ]],Tabelle4[[#This Row],[Aufwand 2]],Tabelle4[[#This Row],[Aufwand 3]],Tabelle4[[#This Row],[Aufwand 4]])</f>
        <v>0</v>
      </c>
      <c r="DF92" s="105"/>
      <c r="DG92" s="105"/>
      <c r="DH92" s="105"/>
      <c r="DI92" s="105"/>
      <c r="DJ92" s="105"/>
      <c r="DK92" s="105"/>
      <c r="DL92" s="105"/>
      <c r="DM92" s="105"/>
      <c r="DN92" s="107">
        <f>SUM(Tabelle4[[#This Row],[Aufwand  ]],Tabelle4[[#This Row],[Aufwand  2]],Tabelle4[[#This Row],[Aufwand  3]],Tabelle4[[#This Row],[Aufwand  4]])</f>
        <v>0</v>
      </c>
      <c r="DO92" s="105"/>
      <c r="DP92" s="105"/>
      <c r="DQ92" s="105"/>
      <c r="DR92" s="105"/>
      <c r="DS92" s="105"/>
      <c r="DT92" s="105"/>
      <c r="DU92" s="105"/>
      <c r="DV92" s="105"/>
      <c r="DW92" s="107">
        <f>SUM(Tabelle4[[#This Row],[Aufwand   ]],Tabelle4[[#This Row],[Aufwand   2]],Tabelle4[[#This Row],[Aufwand   3]],Tabelle4[[#This Row],[Aufwand   4]])</f>
        <v>0</v>
      </c>
      <c r="DX92" s="105"/>
      <c r="DY92" s="105"/>
      <c r="DZ92" s="105"/>
      <c r="EA92" s="105"/>
      <c r="EB92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92" s="122">
        <f>Tabelle4[[#This Row],[Gesamaufwand]]/2000</f>
        <v>0</v>
      </c>
      <c r="ED92" s="47"/>
      <c r="EE92" s="47"/>
      <c r="EF92" s="47"/>
      <c r="EG92" s="47"/>
      <c r="EH92" s="47"/>
      <c r="EI92" s="47"/>
      <c r="EJ92" s="47"/>
      <c r="EK92" s="47"/>
      <c r="EL92" s="47"/>
    </row>
    <row r="93" spans="1:142">
      <c r="A93" s="255" t="s">
        <v>866</v>
      </c>
      <c r="B93" s="251" t="s">
        <v>1331</v>
      </c>
      <c r="C93" s="254" t="s">
        <v>690</v>
      </c>
      <c r="D93" s="251"/>
      <c r="E93" s="251" t="s">
        <v>75</v>
      </c>
      <c r="F93" s="253"/>
      <c r="G93" s="253"/>
      <c r="H93" s="253"/>
      <c r="I93" s="254"/>
      <c r="J93" s="254"/>
      <c r="K93" s="105"/>
      <c r="L93" s="105"/>
      <c r="M93" s="48"/>
      <c r="N93" s="105"/>
      <c r="O93" s="255" t="s">
        <v>139</v>
      </c>
      <c r="P93" s="261">
        <v>5</v>
      </c>
      <c r="Q93" s="261">
        <v>0</v>
      </c>
      <c r="R93" s="261">
        <v>0</v>
      </c>
      <c r="S93" s="262" t="s">
        <v>140</v>
      </c>
      <c r="T93" s="263" t="s">
        <v>673</v>
      </c>
      <c r="U93" s="105"/>
      <c r="V93" s="259" t="s">
        <v>12</v>
      </c>
      <c r="W93" s="105" t="s">
        <v>656</v>
      </c>
      <c r="X93" s="105" t="s">
        <v>22</v>
      </c>
      <c r="Y93" s="105" t="s">
        <v>690</v>
      </c>
      <c r="Z93" s="105" t="s">
        <v>78</v>
      </c>
      <c r="AA93" s="105" t="s">
        <v>690</v>
      </c>
      <c r="AB93" s="105" t="s">
        <v>690</v>
      </c>
      <c r="AC93" s="105" t="s">
        <v>690</v>
      </c>
      <c r="AD93" s="105" t="s">
        <v>690</v>
      </c>
      <c r="AE93" s="105"/>
      <c r="AF93" s="105"/>
      <c r="AG93" s="105"/>
      <c r="AH93" s="115" t="s">
        <v>1093</v>
      </c>
      <c r="AI93" s="115"/>
      <c r="AJ93" s="115"/>
      <c r="AK93" s="105"/>
      <c r="AL93" s="115"/>
      <c r="AM93" s="115"/>
      <c r="AN93" s="115"/>
      <c r="AO93" s="260"/>
      <c r="AP93" s="310"/>
      <c r="AQ93" s="311">
        <v>90000</v>
      </c>
      <c r="AR93" s="115"/>
      <c r="AS93" s="115"/>
      <c r="AT93" s="311">
        <v>80000</v>
      </c>
      <c r="AU93" s="115"/>
      <c r="AV93" s="311">
        <v>50000</v>
      </c>
      <c r="AW93" s="115"/>
      <c r="AX93" s="311">
        <v>50000</v>
      </c>
      <c r="AY93" s="115"/>
      <c r="AZ93" s="311"/>
      <c r="BA93" s="115"/>
      <c r="BB93" s="311"/>
      <c r="BC93" s="115"/>
      <c r="BD93" s="311"/>
      <c r="BE93" s="115"/>
      <c r="BF93" s="311"/>
      <c r="BG93" s="115"/>
      <c r="BH93" s="311"/>
      <c r="BI93" s="115"/>
      <c r="BJ93" s="115"/>
      <c r="BK93" s="264"/>
      <c r="BL93" s="105"/>
      <c r="BM93" s="106"/>
      <c r="BN93" s="106"/>
      <c r="BO93" s="106"/>
      <c r="BP93" s="106"/>
      <c r="BQ93" s="106"/>
      <c r="BR93" s="106"/>
      <c r="BS93" s="106"/>
      <c r="BT93" s="108">
        <f>SUM(Tabelle4[[#This Row],[Projektverantwortung
(Lenkungsausschuss) ]:[Kommunikation ]])</f>
        <v>0</v>
      </c>
      <c r="BU93" s="105"/>
      <c r="BV93" s="106"/>
      <c r="BW93" s="106"/>
      <c r="BX93" s="106"/>
      <c r="BY93" s="106"/>
      <c r="BZ93" s="106"/>
      <c r="CA93" s="106"/>
      <c r="CB93" s="106"/>
      <c r="CC93" s="108">
        <f>SUM(Tabelle4[[#This Row],[Projektverantwortung
(Lenkungsausschuss)   ]:[Kommunikation   ]])</f>
        <v>0</v>
      </c>
      <c r="CD93" s="105"/>
      <c r="CE93" s="106"/>
      <c r="CF93" s="106"/>
      <c r="CG93" s="106"/>
      <c r="CH93" s="106"/>
      <c r="CI93" s="106"/>
      <c r="CJ93" s="106"/>
      <c r="CK93" s="106"/>
      <c r="CL93" s="108">
        <f>SUM(Tabelle4[[#This Row],[Projektverantwortung
(Lenkungsausschuss).]:[Kommunikation    ]])</f>
        <v>0</v>
      </c>
      <c r="CM93" s="105"/>
      <c r="CN93" s="106"/>
      <c r="CO93" s="106"/>
      <c r="CP93" s="106"/>
      <c r="CQ93" s="106"/>
      <c r="CR93" s="106"/>
      <c r="CS93" s="106"/>
      <c r="CT93" s="106"/>
      <c r="CU93" s="108">
        <f>SUM(Tabelle4[[#This Row],[Projektverantwortung
(Lenkungsausschuss)    ]:[Kommunikation     ]])</f>
        <v>0</v>
      </c>
      <c r="CV93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93" s="105"/>
      <c r="CX93" s="105"/>
      <c r="CY93" s="105"/>
      <c r="CZ93" s="105"/>
      <c r="DA93" s="105"/>
      <c r="DB93" s="105"/>
      <c r="DC93" s="105"/>
      <c r="DD93" s="105"/>
      <c r="DE93" s="107">
        <f>SUM(Tabelle4[[#This Row],[Aufwand ]],Tabelle4[[#This Row],[Aufwand 2]],Tabelle4[[#This Row],[Aufwand 3]],Tabelle4[[#This Row],[Aufwand 4]])</f>
        <v>0</v>
      </c>
      <c r="DF93" s="105"/>
      <c r="DG93" s="105"/>
      <c r="DH93" s="105"/>
      <c r="DI93" s="105"/>
      <c r="DJ93" s="105"/>
      <c r="DK93" s="105"/>
      <c r="DL93" s="105"/>
      <c r="DM93" s="105"/>
      <c r="DN93" s="107">
        <f>SUM(Tabelle4[[#This Row],[Aufwand  ]],Tabelle4[[#This Row],[Aufwand  2]],Tabelle4[[#This Row],[Aufwand  3]],Tabelle4[[#This Row],[Aufwand  4]])</f>
        <v>0</v>
      </c>
      <c r="DO93" s="105"/>
      <c r="DP93" s="105"/>
      <c r="DQ93" s="105"/>
      <c r="DR93" s="105"/>
      <c r="DS93" s="105"/>
      <c r="DT93" s="105"/>
      <c r="DU93" s="105"/>
      <c r="DV93" s="105"/>
      <c r="DW93" s="107">
        <f>SUM(Tabelle4[[#This Row],[Aufwand   ]],Tabelle4[[#This Row],[Aufwand   2]],Tabelle4[[#This Row],[Aufwand   3]],Tabelle4[[#This Row],[Aufwand   4]])</f>
        <v>0</v>
      </c>
      <c r="DX93" s="105"/>
      <c r="DY93" s="105"/>
      <c r="DZ93" s="105"/>
      <c r="EA93" s="105"/>
      <c r="EB93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93" s="122">
        <f>Tabelle4[[#This Row],[Gesamaufwand]]/2000</f>
        <v>0</v>
      </c>
      <c r="ED93" s="47"/>
      <c r="EE93" s="47"/>
      <c r="EF93" s="47"/>
      <c r="EG93" s="47"/>
      <c r="EH93" s="47"/>
      <c r="EI93" s="47"/>
      <c r="EJ93" s="47"/>
      <c r="EK93" s="47"/>
      <c r="EL93" s="47"/>
    </row>
    <row r="94" spans="1:142">
      <c r="A94" s="255" t="s">
        <v>867</v>
      </c>
      <c r="B94" s="251" t="s">
        <v>75</v>
      </c>
      <c r="C94" s="254" t="s">
        <v>690</v>
      </c>
      <c r="D94" s="251" t="s">
        <v>914</v>
      </c>
      <c r="E94" s="251" t="s">
        <v>116</v>
      </c>
      <c r="F94" s="253">
        <v>1</v>
      </c>
      <c r="G94" s="253">
        <v>2</v>
      </c>
      <c r="H94" s="253"/>
      <c r="I94" s="254" t="s">
        <v>95</v>
      </c>
      <c r="J94" s="254"/>
      <c r="K94" s="105"/>
      <c r="L94" s="105"/>
      <c r="M94" s="48"/>
      <c r="N94" s="105"/>
      <c r="O94" s="255" t="s">
        <v>141</v>
      </c>
      <c r="P94" s="261">
        <v>3</v>
      </c>
      <c r="Q94" s="261">
        <v>0</v>
      </c>
      <c r="R94" s="261">
        <v>0</v>
      </c>
      <c r="S94" s="262" t="s">
        <v>129</v>
      </c>
      <c r="T94" s="263" t="s">
        <v>673</v>
      </c>
      <c r="U94" s="105"/>
      <c r="V94" s="259" t="s">
        <v>12</v>
      </c>
      <c r="W94" s="105" t="s">
        <v>656</v>
      </c>
      <c r="X94" s="105" t="s">
        <v>11</v>
      </c>
      <c r="Y94" s="105" t="s">
        <v>690</v>
      </c>
      <c r="Z94" s="105" t="s">
        <v>78</v>
      </c>
      <c r="AA94" s="105" t="s">
        <v>690</v>
      </c>
      <c r="AB94" s="105" t="s">
        <v>690</v>
      </c>
      <c r="AC94" s="105" t="s">
        <v>83</v>
      </c>
      <c r="AD94" s="105"/>
      <c r="AE94" s="105"/>
      <c r="AF94" s="105"/>
      <c r="AG94" s="105"/>
      <c r="AH94" s="115" t="s">
        <v>21</v>
      </c>
      <c r="AI94" s="115" t="s">
        <v>73</v>
      </c>
      <c r="AJ94" s="115" t="s">
        <v>74</v>
      </c>
      <c r="AK94" s="105" t="s">
        <v>830</v>
      </c>
      <c r="AL94" s="115">
        <v>270000</v>
      </c>
      <c r="AM94" s="115"/>
      <c r="AN94" s="115">
        <f>Tabelle4[[#This Row],[Kredit-  / Budgetsumme
(RADAR: Gesamtkosten S)]]-Tabelle4[[#This Row],[Kreditrest per 1.1. aktuelles Jahr]]</f>
        <v>225458</v>
      </c>
      <c r="AO94" s="260">
        <v>44542</v>
      </c>
      <c r="AP94" s="310"/>
      <c r="AQ94" s="311"/>
      <c r="AR94" s="115">
        <f>Tabelle4[[#This Row],[Kreditrest per 1.1. aktuelles Jahr]]-Tabelle4[[#This Row],[Prognose 2018
(RADAR: Kosten 2018 S)]]</f>
        <v>44542</v>
      </c>
      <c r="AS94" s="115"/>
      <c r="AT94" s="311"/>
      <c r="AU94" s="115"/>
      <c r="AV94" s="311"/>
      <c r="AW94" s="115"/>
      <c r="AX94" s="311"/>
      <c r="AY94" s="115"/>
      <c r="AZ94" s="311"/>
      <c r="BA94" s="115"/>
      <c r="BB94" s="311"/>
      <c r="BC94" s="115"/>
      <c r="BD94" s="311"/>
      <c r="BE94" s="115"/>
      <c r="BF94" s="311"/>
      <c r="BG94" s="115"/>
      <c r="BH94" s="311"/>
      <c r="BI94" s="115"/>
      <c r="BJ94" s="115"/>
      <c r="BK94" s="264"/>
      <c r="BL94" s="105"/>
      <c r="BM94" s="106"/>
      <c r="BN94" s="106"/>
      <c r="BO94" s="106"/>
      <c r="BP94" s="106"/>
      <c r="BQ94" s="106"/>
      <c r="BR94" s="106"/>
      <c r="BS94" s="106"/>
      <c r="BT94" s="108">
        <f>SUM(Tabelle4[[#This Row],[Projektverantwortung
(Lenkungsausschuss) ]:[Kommunikation ]])</f>
        <v>0</v>
      </c>
      <c r="BU94" s="105"/>
      <c r="BV94" s="106"/>
      <c r="BW94" s="106"/>
      <c r="BX94" s="106"/>
      <c r="BY94" s="106"/>
      <c r="BZ94" s="106"/>
      <c r="CA94" s="106"/>
      <c r="CB94" s="106"/>
      <c r="CC94" s="108">
        <f>SUM(Tabelle4[[#This Row],[Projektverantwortung
(Lenkungsausschuss)   ]:[Kommunikation   ]])</f>
        <v>0</v>
      </c>
      <c r="CD94" s="105"/>
      <c r="CE94" s="106"/>
      <c r="CF94" s="106"/>
      <c r="CG94" s="106"/>
      <c r="CH94" s="106"/>
      <c r="CI94" s="106"/>
      <c r="CJ94" s="106"/>
      <c r="CK94" s="106"/>
      <c r="CL94" s="108">
        <f>SUM(Tabelle4[[#This Row],[Projektverantwortung
(Lenkungsausschuss).]:[Kommunikation    ]])</f>
        <v>0</v>
      </c>
      <c r="CM94" s="105"/>
      <c r="CN94" s="106"/>
      <c r="CO94" s="106"/>
      <c r="CP94" s="106"/>
      <c r="CQ94" s="106"/>
      <c r="CR94" s="106"/>
      <c r="CS94" s="106"/>
      <c r="CT94" s="106"/>
      <c r="CU94" s="108">
        <f>SUM(Tabelle4[[#This Row],[Projektverantwortung
(Lenkungsausschuss)    ]:[Kommunikation     ]])</f>
        <v>0</v>
      </c>
      <c r="CV94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94" s="105"/>
      <c r="CX94" s="105"/>
      <c r="CY94" s="105"/>
      <c r="CZ94" s="105"/>
      <c r="DA94" s="105"/>
      <c r="DB94" s="105"/>
      <c r="DC94" s="105"/>
      <c r="DD94" s="105"/>
      <c r="DE94" s="107">
        <f>SUM(Tabelle4[[#This Row],[Aufwand ]],Tabelle4[[#This Row],[Aufwand 2]],Tabelle4[[#This Row],[Aufwand 3]],Tabelle4[[#This Row],[Aufwand 4]])</f>
        <v>0</v>
      </c>
      <c r="DF94" s="105"/>
      <c r="DG94" s="105"/>
      <c r="DH94" s="105"/>
      <c r="DI94" s="105"/>
      <c r="DJ94" s="105"/>
      <c r="DK94" s="105"/>
      <c r="DL94" s="105"/>
      <c r="DM94" s="105"/>
      <c r="DN94" s="107">
        <f>SUM(Tabelle4[[#This Row],[Aufwand  ]],Tabelle4[[#This Row],[Aufwand  2]],Tabelle4[[#This Row],[Aufwand  3]],Tabelle4[[#This Row],[Aufwand  4]])</f>
        <v>0</v>
      </c>
      <c r="DO94" s="105"/>
      <c r="DP94" s="105"/>
      <c r="DQ94" s="105"/>
      <c r="DR94" s="105"/>
      <c r="DS94" s="105"/>
      <c r="DT94" s="105"/>
      <c r="DU94" s="105"/>
      <c r="DV94" s="105"/>
      <c r="DW94" s="107">
        <f>SUM(Tabelle4[[#This Row],[Aufwand   ]],Tabelle4[[#This Row],[Aufwand   2]],Tabelle4[[#This Row],[Aufwand   3]],Tabelle4[[#This Row],[Aufwand   4]])</f>
        <v>0</v>
      </c>
      <c r="DX94" s="105"/>
      <c r="DY94" s="105"/>
      <c r="DZ94" s="105"/>
      <c r="EA94" s="105"/>
      <c r="EB94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94" s="122">
        <f>Tabelle4[[#This Row],[Gesamaufwand]]/2000</f>
        <v>0</v>
      </c>
      <c r="ED94" s="47"/>
      <c r="EE94" s="47"/>
      <c r="EF94" s="47"/>
      <c r="EG94" s="47"/>
      <c r="EH94" s="47"/>
      <c r="EI94" s="47"/>
      <c r="EJ94" s="47"/>
      <c r="EK94" s="47"/>
      <c r="EL94" s="47"/>
    </row>
    <row r="95" spans="1:142">
      <c r="A95" s="255" t="s">
        <v>844</v>
      </c>
      <c r="B95" s="249"/>
      <c r="C95" s="250"/>
      <c r="D95" s="249"/>
      <c r="E95" s="249"/>
      <c r="F95" s="252">
        <v>1</v>
      </c>
      <c r="G95" s="252">
        <v>2</v>
      </c>
      <c r="H95" s="252"/>
      <c r="I95" s="250" t="s">
        <v>95</v>
      </c>
      <c r="J95" s="250"/>
      <c r="K95" s="110"/>
      <c r="L95" s="110"/>
      <c r="M95" s="77"/>
      <c r="N95" s="110"/>
      <c r="O95" s="248"/>
      <c r="P95" s="256"/>
      <c r="Q95" s="256"/>
      <c r="R95" s="256"/>
      <c r="S95" s="257"/>
      <c r="T95" s="258"/>
      <c r="U95" s="110"/>
      <c r="V95" s="266" t="s">
        <v>12</v>
      </c>
      <c r="W95" s="110" t="s">
        <v>656</v>
      </c>
      <c r="X95" s="110" t="s">
        <v>11</v>
      </c>
      <c r="Y95" s="105" t="s">
        <v>22</v>
      </c>
      <c r="Z95" s="110" t="s">
        <v>75</v>
      </c>
      <c r="AA95" s="105" t="s">
        <v>639</v>
      </c>
      <c r="AB95" s="105" t="s">
        <v>639</v>
      </c>
      <c r="AC95" s="105" t="s">
        <v>639</v>
      </c>
      <c r="AD95" s="105" t="s">
        <v>12</v>
      </c>
      <c r="AE95" s="110"/>
      <c r="AF95" s="110"/>
      <c r="AG95" s="110"/>
      <c r="AH95" s="260" t="s">
        <v>858</v>
      </c>
      <c r="AI95" s="260" t="s">
        <v>75</v>
      </c>
      <c r="AJ95" s="260" t="s">
        <v>75</v>
      </c>
      <c r="AK95" s="110"/>
      <c r="AL95" s="115"/>
      <c r="AM95" s="260"/>
      <c r="AN95" s="260"/>
      <c r="AO95" s="260">
        <f>Tabelle4[[#This Row],[Kredit-  / Budgetsumme
(RADAR: Gesamtkosten S)]]-Tabelle4[[#This Row],[Netto-Ausgaben Vorjahre ]]</f>
        <v>0</v>
      </c>
      <c r="AP95" s="310"/>
      <c r="AQ95" s="310"/>
      <c r="AR95" s="260">
        <f>Tabelle4[[#This Row],[Kreditrest per 1.1. aktuelles Jahr]]-Tabelle4[[#This Row],[Prognose 2018
(RADAR: Kosten 2018 S)]]</f>
        <v>0</v>
      </c>
      <c r="AS95" s="260"/>
      <c r="AT95" s="310"/>
      <c r="AU95" s="260"/>
      <c r="AV95" s="310"/>
      <c r="AW95" s="260"/>
      <c r="AX95" s="310"/>
      <c r="AY95" s="260"/>
      <c r="AZ95" s="310"/>
      <c r="BA95" s="260"/>
      <c r="BB95" s="310"/>
      <c r="BC95" s="260"/>
      <c r="BD95" s="310"/>
      <c r="BE95" s="260"/>
      <c r="BF95" s="310"/>
      <c r="BG95" s="260"/>
      <c r="BH95" s="310"/>
      <c r="BI95" s="260"/>
      <c r="BJ95" s="260"/>
      <c r="BK95" s="260"/>
      <c r="BL95" s="105"/>
      <c r="BM95" s="111"/>
      <c r="BN95" s="111"/>
      <c r="BO95" s="111"/>
      <c r="BP95" s="111"/>
      <c r="BQ95" s="111"/>
      <c r="BR95" s="111"/>
      <c r="BS95" s="111"/>
      <c r="BT95" s="113">
        <f>SUM(Tabelle4[[#This Row],[Projektverantwortung
(Lenkungsausschuss) ]:[Kommunikation ]])</f>
        <v>0</v>
      </c>
      <c r="BU95" s="113"/>
      <c r="BV95" s="106"/>
      <c r="BW95" s="106"/>
      <c r="BX95" s="106"/>
      <c r="BY95" s="106"/>
      <c r="BZ95" s="106"/>
      <c r="CA95" s="106"/>
      <c r="CB95" s="106"/>
      <c r="CC95" s="113">
        <f>SUM(Tabelle4[[#This Row],[Projektverantwortung
(Lenkungsausschuss)   ]:[Kommunikation   ]])</f>
        <v>0</v>
      </c>
      <c r="CD95" s="113"/>
      <c r="CE95" s="114"/>
      <c r="CF95" s="114"/>
      <c r="CG95" s="114"/>
      <c r="CH95" s="114"/>
      <c r="CI95" s="114"/>
      <c r="CJ95" s="114"/>
      <c r="CK95" s="114"/>
      <c r="CL95" s="113">
        <f>SUM(Tabelle4[[#This Row],[Projektverantwortung
(Lenkungsausschuss).]:[Kommunikation    ]])</f>
        <v>0</v>
      </c>
      <c r="CM95" s="113"/>
      <c r="CN95" s="114"/>
      <c r="CO95" s="114"/>
      <c r="CP95" s="114"/>
      <c r="CQ95" s="114"/>
      <c r="CR95" s="114"/>
      <c r="CS95" s="114"/>
      <c r="CT95" s="114"/>
      <c r="CU95" s="113">
        <f>SUM(Tabelle4[[#This Row],[Projektverantwortung
(Lenkungsausschuss)    ]:[Kommunikation     ]])</f>
        <v>0</v>
      </c>
      <c r="CV95" s="112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95" s="105"/>
      <c r="CX95" s="105"/>
      <c r="CY95" s="105"/>
      <c r="CZ95" s="105"/>
      <c r="DA95" s="105"/>
      <c r="DB95" s="105"/>
      <c r="DC95" s="105"/>
      <c r="DD95" s="105"/>
      <c r="DE95" s="112">
        <f>SUM(Tabelle4[[#This Row],[Aufwand ]],Tabelle4[[#This Row],[Aufwand 2]],Tabelle4[[#This Row],[Aufwand 3]],Tabelle4[[#This Row],[Aufwand 4]])</f>
        <v>0</v>
      </c>
      <c r="DF95" s="142"/>
      <c r="DG95" s="110"/>
      <c r="DH95" s="110"/>
      <c r="DI95" s="142"/>
      <c r="DJ95" s="110"/>
      <c r="DK95" s="142"/>
      <c r="DL95" s="110"/>
      <c r="DM95" s="142"/>
      <c r="DN95" s="112">
        <f>SUM(Tabelle4[[#This Row],[Aufwand  ]],Tabelle4[[#This Row],[Aufwand  2]],Tabelle4[[#This Row],[Aufwand  3]],Tabelle4[[#This Row],[Aufwand  4]])</f>
        <v>0</v>
      </c>
      <c r="DO95" s="142"/>
      <c r="DP95" s="110"/>
      <c r="DQ95" s="110"/>
      <c r="DR95" s="142"/>
      <c r="DS95" s="110"/>
      <c r="DT95" s="142"/>
      <c r="DU95" s="110"/>
      <c r="DV95" s="142"/>
      <c r="DW95" s="107">
        <f>SUM(Tabelle4[[#This Row],[Aufwand   ]],Tabelle4[[#This Row],[Aufwand   2]],Tabelle4[[#This Row],[Aufwand   3]],Tabelle4[[#This Row],[Aufwand   4]])</f>
        <v>0</v>
      </c>
      <c r="DX95" s="142"/>
      <c r="DY95" s="143"/>
      <c r="DZ95" s="105"/>
      <c r="EA95" s="105"/>
      <c r="EB95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95" s="122">
        <f>Tabelle4[[#This Row],[Gesamaufwand]]/2000</f>
        <v>0</v>
      </c>
      <c r="ED95" s="48"/>
      <c r="EE95" s="48"/>
      <c r="EF95" s="48"/>
      <c r="EG95" s="48"/>
      <c r="EH95" s="48"/>
      <c r="EI95" s="47"/>
      <c r="EJ95" s="47"/>
      <c r="EK95" s="47"/>
      <c r="EL95" s="47"/>
    </row>
    <row r="96" spans="1:142">
      <c r="A96" s="255" t="s">
        <v>475</v>
      </c>
      <c r="B96" s="251" t="s">
        <v>105</v>
      </c>
      <c r="C96" s="254" t="s">
        <v>75</v>
      </c>
      <c r="D96" s="251" t="s">
        <v>913</v>
      </c>
      <c r="E96" s="251" t="s">
        <v>635</v>
      </c>
      <c r="F96" s="253">
        <v>1</v>
      </c>
      <c r="G96" s="253">
        <v>1</v>
      </c>
      <c r="H96" s="253"/>
      <c r="I96" s="254" t="s">
        <v>94</v>
      </c>
      <c r="J96" s="254"/>
      <c r="K96" s="105"/>
      <c r="L96" s="105"/>
      <c r="M96" s="48"/>
      <c r="N96" s="105"/>
      <c r="O96" s="255" t="s">
        <v>476</v>
      </c>
      <c r="P96" s="261">
        <v>2</v>
      </c>
      <c r="Q96" s="261">
        <v>0</v>
      </c>
      <c r="R96" s="261">
        <v>0</v>
      </c>
      <c r="S96" s="262" t="s">
        <v>342</v>
      </c>
      <c r="T96" s="263" t="s">
        <v>75</v>
      </c>
      <c r="U96" s="105"/>
      <c r="V96" s="259" t="s">
        <v>609</v>
      </c>
      <c r="W96" s="105" t="s">
        <v>7</v>
      </c>
      <c r="X96" s="105" t="s">
        <v>11</v>
      </c>
      <c r="Y96" s="105" t="s">
        <v>22</v>
      </c>
      <c r="Z96" s="105" t="s">
        <v>860</v>
      </c>
      <c r="AA96" s="105" t="s">
        <v>10</v>
      </c>
      <c r="AB96" s="105" t="s">
        <v>639</v>
      </c>
      <c r="AC96" s="105" t="s">
        <v>639</v>
      </c>
      <c r="AD96" s="105" t="s">
        <v>639</v>
      </c>
      <c r="AE96" s="105"/>
      <c r="AF96" s="105"/>
      <c r="AG96" s="105"/>
      <c r="AH96" s="115" t="s">
        <v>621</v>
      </c>
      <c r="AI96" s="115"/>
      <c r="AJ96" s="115"/>
      <c r="AK96" s="105" t="s">
        <v>829</v>
      </c>
      <c r="AL96" s="115"/>
      <c r="AM96" s="115"/>
      <c r="AN96" s="115"/>
      <c r="AO96" s="260">
        <f>Tabelle4[[#This Row],[Kredit-  / Budgetsumme
(RADAR: Gesamtkosten S)]]-Tabelle4[[#This Row],[Netto-Ausgaben Vorjahre ]]</f>
        <v>0</v>
      </c>
      <c r="AP96" s="310"/>
      <c r="AQ96" s="311"/>
      <c r="AR96" s="115">
        <f>Tabelle4[[#This Row],[Kreditrest per 1.1. aktuelles Jahr]]-Tabelle4[[#This Row],[Prognose 2018
(RADAR: Kosten 2018 S)]]</f>
        <v>0</v>
      </c>
      <c r="AS96" s="115"/>
      <c r="AT96" s="311">
        <v>250000</v>
      </c>
      <c r="AU96" s="115"/>
      <c r="AV96" s="311">
        <v>250000</v>
      </c>
      <c r="AW96" s="115"/>
      <c r="AX96" s="311" t="s">
        <v>804</v>
      </c>
      <c r="AY96" s="115"/>
      <c r="AZ96" s="311" t="s">
        <v>804</v>
      </c>
      <c r="BA96" s="115"/>
      <c r="BB96" s="311" t="s">
        <v>804</v>
      </c>
      <c r="BC96" s="115"/>
      <c r="BD96" s="311" t="s">
        <v>804</v>
      </c>
      <c r="BE96" s="115"/>
      <c r="BF96" s="311" t="s">
        <v>804</v>
      </c>
      <c r="BG96" s="115"/>
      <c r="BH96" s="311" t="s">
        <v>804</v>
      </c>
      <c r="BI96" s="115"/>
      <c r="BJ96" s="115"/>
      <c r="BK96" s="264"/>
      <c r="BL96" s="105"/>
      <c r="BM96" s="106">
        <v>0</v>
      </c>
      <c r="BN96" s="106">
        <v>8</v>
      </c>
      <c r="BO96" s="106">
        <v>40</v>
      </c>
      <c r="BP96" s="106"/>
      <c r="BQ96" s="106"/>
      <c r="BR96" s="106"/>
      <c r="BS96" s="106"/>
      <c r="BT96" s="108">
        <f>SUM(Tabelle4[[#This Row],[Projektverantwortung
(Lenkungsausschuss) ]:[Kommunikation ]])</f>
        <v>48</v>
      </c>
      <c r="BU96" s="105"/>
      <c r="BV96" s="106">
        <v>0</v>
      </c>
      <c r="BW96" s="106">
        <v>8</v>
      </c>
      <c r="BX96" s="106">
        <v>80</v>
      </c>
      <c r="BY96" s="106"/>
      <c r="BZ96" s="106"/>
      <c r="CA96" s="106"/>
      <c r="CB96" s="106"/>
      <c r="CC96" s="108">
        <f>SUM(Tabelle4[[#This Row],[Projektverantwortung
(Lenkungsausschuss)   ]:[Kommunikation   ]])</f>
        <v>88</v>
      </c>
      <c r="CD96" s="105"/>
      <c r="CE96" s="106">
        <v>0</v>
      </c>
      <c r="CF96" s="106">
        <v>8</v>
      </c>
      <c r="CG96" s="106">
        <v>80</v>
      </c>
      <c r="CH96" s="106"/>
      <c r="CI96" s="106"/>
      <c r="CJ96" s="106"/>
      <c r="CK96" s="106"/>
      <c r="CL96" s="108">
        <f>SUM(Tabelle4[[#This Row],[Projektverantwortung
(Lenkungsausschuss).]:[Kommunikation    ]])</f>
        <v>88</v>
      </c>
      <c r="CM96" s="105"/>
      <c r="CN96" s="106">
        <v>0</v>
      </c>
      <c r="CO96" s="106">
        <v>8</v>
      </c>
      <c r="CP96" s="106">
        <v>80</v>
      </c>
      <c r="CQ96" s="106"/>
      <c r="CR96" s="106"/>
      <c r="CS96" s="106"/>
      <c r="CT96" s="106"/>
      <c r="CU96" s="108">
        <f>SUM(Tabelle4[[#This Row],[Projektverantwortung
(Lenkungsausschuss)    ]:[Kommunikation     ]])</f>
        <v>88</v>
      </c>
      <c r="CV96" s="107">
        <f>SUM(Tabelle4[[#This Row],[Total Aufwand
1. Quartal 2018]],Tabelle4[[#This Row],[Total Aufwand
2. Quartal 2018]],Tabelle4[[#This Row],[Total Aufwand
3. Quartal 2018]],Tabelle4[[#This Row],[Total Aufwand
4. Quartal 2018]])</f>
        <v>312</v>
      </c>
      <c r="CW96" s="105"/>
      <c r="CX96" s="105"/>
      <c r="CY96" s="105"/>
      <c r="CZ96" s="105"/>
      <c r="DA96" s="105"/>
      <c r="DB96" s="105"/>
      <c r="DC96" s="105"/>
      <c r="DD96" s="105"/>
      <c r="DE96" s="107">
        <f>SUM(Tabelle4[[#This Row],[Aufwand ]],Tabelle4[[#This Row],[Aufwand 2]],Tabelle4[[#This Row],[Aufwand 3]],Tabelle4[[#This Row],[Aufwand 4]])</f>
        <v>0</v>
      </c>
      <c r="DF96" s="105"/>
      <c r="DG96" s="105"/>
      <c r="DH96" s="105"/>
      <c r="DI96" s="105"/>
      <c r="DJ96" s="105"/>
      <c r="DK96" s="105"/>
      <c r="DL96" s="105"/>
      <c r="DM96" s="105"/>
      <c r="DN96" s="107">
        <f>SUM(Tabelle4[[#This Row],[Aufwand  ]],Tabelle4[[#This Row],[Aufwand  2]],Tabelle4[[#This Row],[Aufwand  3]],Tabelle4[[#This Row],[Aufwand  4]])</f>
        <v>0</v>
      </c>
      <c r="DO96" s="105"/>
      <c r="DP96" s="105"/>
      <c r="DQ96" s="105"/>
      <c r="DR96" s="105"/>
      <c r="DS96" s="105"/>
      <c r="DT96" s="105"/>
      <c r="DU96" s="105"/>
      <c r="DV96" s="105"/>
      <c r="DW96" s="107">
        <f>SUM(Tabelle4[[#This Row],[Aufwand   ]],Tabelle4[[#This Row],[Aufwand   2]],Tabelle4[[#This Row],[Aufwand   3]],Tabelle4[[#This Row],[Aufwand   4]])</f>
        <v>0</v>
      </c>
      <c r="DX96" s="105"/>
      <c r="DY96" s="105"/>
      <c r="DZ96" s="105"/>
      <c r="EA96" s="105"/>
      <c r="EB96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312</v>
      </c>
      <c r="EC96" s="122">
        <f>Tabelle4[[#This Row],[Gesamaufwand]]/2000</f>
        <v>0.156</v>
      </c>
      <c r="ED96" s="48"/>
      <c r="EE96" s="48"/>
      <c r="EF96" s="48"/>
      <c r="EG96" s="48"/>
      <c r="EH96" s="48"/>
      <c r="EI96" s="47"/>
      <c r="EJ96" s="47"/>
      <c r="EK96" s="47"/>
      <c r="EL96" s="47"/>
    </row>
    <row r="97" spans="1:142">
      <c r="A97" s="255" t="s">
        <v>477</v>
      </c>
      <c r="B97" s="251" t="s">
        <v>105</v>
      </c>
      <c r="C97" s="254" t="s">
        <v>68</v>
      </c>
      <c r="D97" s="251" t="s">
        <v>913</v>
      </c>
      <c r="E97" s="251" t="s">
        <v>97</v>
      </c>
      <c r="F97" s="253">
        <v>2</v>
      </c>
      <c r="G97" s="253">
        <v>1</v>
      </c>
      <c r="H97" s="253"/>
      <c r="I97" s="254" t="s">
        <v>95</v>
      </c>
      <c r="J97" s="254"/>
      <c r="K97" s="105"/>
      <c r="L97" s="105"/>
      <c r="M97" s="48"/>
      <c r="N97" s="105"/>
      <c r="O97" s="255" t="s">
        <v>478</v>
      </c>
      <c r="P97" s="261">
        <v>2</v>
      </c>
      <c r="Q97" s="261">
        <v>0</v>
      </c>
      <c r="R97" s="261">
        <v>0</v>
      </c>
      <c r="S97" s="262" t="s">
        <v>330</v>
      </c>
      <c r="T97" s="263" t="s">
        <v>662</v>
      </c>
      <c r="U97" s="105"/>
      <c r="V97" s="259" t="s">
        <v>610</v>
      </c>
      <c r="W97" s="105" t="s">
        <v>6</v>
      </c>
      <c r="X97" s="105" t="s">
        <v>11</v>
      </c>
      <c r="Y97" s="105" t="s">
        <v>86</v>
      </c>
      <c r="Z97" s="105" t="s">
        <v>80</v>
      </c>
      <c r="AA97" s="105" t="s">
        <v>639</v>
      </c>
      <c r="AB97" s="105" t="s">
        <v>639</v>
      </c>
      <c r="AC97" s="105" t="s">
        <v>639</v>
      </c>
      <c r="AD97" s="105" t="s">
        <v>639</v>
      </c>
      <c r="AE97" s="105"/>
      <c r="AF97" s="105"/>
      <c r="AG97" s="105"/>
      <c r="AH97" s="115" t="s">
        <v>621</v>
      </c>
      <c r="AI97" s="115"/>
      <c r="AJ97" s="115"/>
      <c r="AK97" s="105"/>
      <c r="AL97" s="115"/>
      <c r="AM97" s="115"/>
      <c r="AN97" s="115"/>
      <c r="AO97" s="260">
        <f>Tabelle4[[#This Row],[Kredit-  / Budgetsumme
(RADAR: Gesamtkosten S)]]-Tabelle4[[#This Row],[Netto-Ausgaben Vorjahre ]]</f>
        <v>0</v>
      </c>
      <c r="AP97" s="310"/>
      <c r="AQ97" s="311"/>
      <c r="AR97" s="115">
        <f>Tabelle4[[#This Row],[Kreditrest per 1.1. aktuelles Jahr]]-Tabelle4[[#This Row],[Prognose 2018
(RADAR: Kosten 2018 S)]]</f>
        <v>0</v>
      </c>
      <c r="AS97" s="115"/>
      <c r="AT97" s="311"/>
      <c r="AU97" s="115"/>
      <c r="AV97" s="311"/>
      <c r="AW97" s="115"/>
      <c r="AX97" s="311"/>
      <c r="AY97" s="115"/>
      <c r="AZ97" s="311"/>
      <c r="BA97" s="115"/>
      <c r="BB97" s="311"/>
      <c r="BC97" s="115"/>
      <c r="BD97" s="311"/>
      <c r="BE97" s="115"/>
      <c r="BF97" s="311"/>
      <c r="BG97" s="115"/>
      <c r="BH97" s="311"/>
      <c r="BI97" s="115"/>
      <c r="BJ97" s="115"/>
      <c r="BK97" s="264"/>
      <c r="BL97" s="105"/>
      <c r="BM97" s="106">
        <v>0</v>
      </c>
      <c r="BN97" s="106">
        <v>40</v>
      </c>
      <c r="BO97" s="106">
        <v>40</v>
      </c>
      <c r="BP97" s="106"/>
      <c r="BQ97" s="106"/>
      <c r="BR97" s="106"/>
      <c r="BS97" s="106"/>
      <c r="BT97" s="108">
        <f>SUM(Tabelle4[[#This Row],[Projektverantwortung
(Lenkungsausschuss) ]:[Kommunikation ]])</f>
        <v>80</v>
      </c>
      <c r="BU97" s="105"/>
      <c r="BV97" s="106">
        <v>0</v>
      </c>
      <c r="BW97" s="106">
        <v>40</v>
      </c>
      <c r="BX97" s="106">
        <v>40</v>
      </c>
      <c r="BY97" s="106"/>
      <c r="BZ97" s="106"/>
      <c r="CA97" s="106"/>
      <c r="CB97" s="106"/>
      <c r="CC97" s="108">
        <f>SUM(Tabelle4[[#This Row],[Projektverantwortung
(Lenkungsausschuss)   ]:[Kommunikation   ]])</f>
        <v>80</v>
      </c>
      <c r="CD97" s="105"/>
      <c r="CE97" s="106">
        <v>0</v>
      </c>
      <c r="CF97" s="106">
        <v>40</v>
      </c>
      <c r="CG97" s="106">
        <v>40</v>
      </c>
      <c r="CH97" s="106"/>
      <c r="CI97" s="106"/>
      <c r="CJ97" s="106"/>
      <c r="CK97" s="106"/>
      <c r="CL97" s="108">
        <f>SUM(Tabelle4[[#This Row],[Projektverantwortung
(Lenkungsausschuss).]:[Kommunikation    ]])</f>
        <v>80</v>
      </c>
      <c r="CM97" s="105"/>
      <c r="CN97" s="106">
        <v>0</v>
      </c>
      <c r="CO97" s="106">
        <v>40</v>
      </c>
      <c r="CP97" s="106">
        <v>40</v>
      </c>
      <c r="CQ97" s="106"/>
      <c r="CR97" s="106"/>
      <c r="CS97" s="106"/>
      <c r="CT97" s="106"/>
      <c r="CU97" s="108">
        <f>SUM(Tabelle4[[#This Row],[Projektverantwortung
(Lenkungsausschuss)    ]:[Kommunikation     ]])</f>
        <v>80</v>
      </c>
      <c r="CV97" s="107">
        <f>SUM(Tabelle4[[#This Row],[Total Aufwand
1. Quartal 2018]],Tabelle4[[#This Row],[Total Aufwand
2. Quartal 2018]],Tabelle4[[#This Row],[Total Aufwand
3. Quartal 2018]],Tabelle4[[#This Row],[Total Aufwand
4. Quartal 2018]])</f>
        <v>320</v>
      </c>
      <c r="CW97" s="105"/>
      <c r="CX97" s="105"/>
      <c r="CY97" s="105"/>
      <c r="CZ97" s="105"/>
      <c r="DA97" s="105"/>
      <c r="DB97" s="105"/>
      <c r="DC97" s="105"/>
      <c r="DD97" s="105"/>
      <c r="DE97" s="107">
        <f>SUM(Tabelle4[[#This Row],[Aufwand ]],Tabelle4[[#This Row],[Aufwand 2]],Tabelle4[[#This Row],[Aufwand 3]],Tabelle4[[#This Row],[Aufwand 4]])</f>
        <v>0</v>
      </c>
      <c r="DF97" s="105"/>
      <c r="DG97" s="105"/>
      <c r="DH97" s="105"/>
      <c r="DI97" s="105"/>
      <c r="DJ97" s="105"/>
      <c r="DK97" s="105"/>
      <c r="DL97" s="105"/>
      <c r="DM97" s="105"/>
      <c r="DN97" s="107">
        <f>SUM(Tabelle4[[#This Row],[Aufwand  ]],Tabelle4[[#This Row],[Aufwand  2]],Tabelle4[[#This Row],[Aufwand  3]],Tabelle4[[#This Row],[Aufwand  4]])</f>
        <v>0</v>
      </c>
      <c r="DO97" s="105"/>
      <c r="DP97" s="105"/>
      <c r="DQ97" s="105"/>
      <c r="DR97" s="105"/>
      <c r="DS97" s="105"/>
      <c r="DT97" s="105"/>
      <c r="DU97" s="105"/>
      <c r="DV97" s="105"/>
      <c r="DW97" s="107">
        <f>SUM(Tabelle4[[#This Row],[Aufwand   ]],Tabelle4[[#This Row],[Aufwand   2]],Tabelle4[[#This Row],[Aufwand   3]],Tabelle4[[#This Row],[Aufwand   4]])</f>
        <v>0</v>
      </c>
      <c r="DX97" s="105"/>
      <c r="DY97" s="105"/>
      <c r="DZ97" s="105"/>
      <c r="EA97" s="105"/>
      <c r="EB97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320</v>
      </c>
      <c r="EC97" s="122">
        <f>Tabelle4[[#This Row],[Gesamaufwand]]/2000</f>
        <v>0.16</v>
      </c>
      <c r="ED97" s="48"/>
      <c r="EE97" s="48"/>
      <c r="EF97" s="48"/>
      <c r="EG97" s="48"/>
      <c r="EH97" s="48"/>
      <c r="EI97" s="47"/>
      <c r="EJ97" s="47"/>
      <c r="EK97" s="47"/>
      <c r="EL97" s="47"/>
    </row>
    <row r="98" spans="1:142">
      <c r="A98" s="265" t="s">
        <v>121</v>
      </c>
      <c r="B98" s="251" t="s">
        <v>1331</v>
      </c>
      <c r="C98" s="254" t="s">
        <v>690</v>
      </c>
      <c r="D98" s="251" t="s">
        <v>75</v>
      </c>
      <c r="E98" s="251" t="s">
        <v>75</v>
      </c>
      <c r="F98" s="253" t="s">
        <v>690</v>
      </c>
      <c r="G98" s="253" t="s">
        <v>690</v>
      </c>
      <c r="H98" s="253"/>
      <c r="I98" s="254" t="s">
        <v>96</v>
      </c>
      <c r="J98" s="254"/>
      <c r="K98" s="105"/>
      <c r="L98" s="105"/>
      <c r="M98" s="48"/>
      <c r="N98" s="105"/>
      <c r="O98" s="255" t="s">
        <v>122</v>
      </c>
      <c r="P98" s="261">
        <v>4</v>
      </c>
      <c r="Q98" s="261">
        <v>0</v>
      </c>
      <c r="R98" s="261">
        <v>0</v>
      </c>
      <c r="S98" s="262" t="s">
        <v>123</v>
      </c>
      <c r="T98" s="263" t="s">
        <v>673</v>
      </c>
      <c r="U98" s="105"/>
      <c r="V98" s="259" t="s">
        <v>12</v>
      </c>
      <c r="W98" s="105" t="s">
        <v>656</v>
      </c>
      <c r="X98" s="105" t="s">
        <v>690</v>
      </c>
      <c r="Y98" s="105" t="s">
        <v>690</v>
      </c>
      <c r="Z98" s="105" t="s">
        <v>690</v>
      </c>
      <c r="AA98" s="105" t="s">
        <v>690</v>
      </c>
      <c r="AB98" s="105" t="s">
        <v>690</v>
      </c>
      <c r="AC98" s="105" t="s">
        <v>690</v>
      </c>
      <c r="AD98" s="105" t="s">
        <v>690</v>
      </c>
      <c r="AE98" s="105"/>
      <c r="AF98" s="105"/>
      <c r="AG98" s="105"/>
      <c r="AH98" s="115" t="s">
        <v>690</v>
      </c>
      <c r="AI98" s="115"/>
      <c r="AJ98" s="115"/>
      <c r="AK98" s="105"/>
      <c r="AL98" s="115"/>
      <c r="AM98" s="115"/>
      <c r="AN98" s="115"/>
      <c r="AO98" s="260">
        <f>Tabelle4[[#This Row],[Kredit-  / Budgetsumme
(RADAR: Gesamtkosten S)]]-Tabelle4[[#This Row],[Netto-Ausgaben Vorjahre ]]</f>
        <v>0</v>
      </c>
      <c r="AP98" s="310"/>
      <c r="AQ98" s="311"/>
      <c r="AR98" s="115">
        <f>Tabelle4[[#This Row],[Kreditrest per 1.1. aktuelles Jahr]]-Tabelle4[[#This Row],[Prognose 2018
(RADAR: Kosten 2018 S)]]</f>
        <v>0</v>
      </c>
      <c r="AS98" s="115"/>
      <c r="AT98" s="311"/>
      <c r="AU98" s="115"/>
      <c r="AV98" s="311"/>
      <c r="AW98" s="115"/>
      <c r="AX98" s="311"/>
      <c r="AY98" s="115"/>
      <c r="AZ98" s="311"/>
      <c r="BA98" s="115"/>
      <c r="BB98" s="311"/>
      <c r="BC98" s="115"/>
      <c r="BD98" s="311"/>
      <c r="BE98" s="115"/>
      <c r="BF98" s="311"/>
      <c r="BG98" s="115"/>
      <c r="BH98" s="311"/>
      <c r="BI98" s="115"/>
      <c r="BJ98" s="115"/>
      <c r="BK98" s="264"/>
      <c r="BL98" s="105"/>
      <c r="BM98" s="106"/>
      <c r="BN98" s="106"/>
      <c r="BO98" s="106"/>
      <c r="BP98" s="106"/>
      <c r="BQ98" s="106"/>
      <c r="BR98" s="106"/>
      <c r="BS98" s="106"/>
      <c r="BT98" s="108">
        <f>SUM(Tabelle4[[#This Row],[Projektverantwortung
(Lenkungsausschuss) ]:[Kommunikation ]])</f>
        <v>0</v>
      </c>
      <c r="BU98" s="105"/>
      <c r="BV98" s="106"/>
      <c r="BW98" s="106"/>
      <c r="BX98" s="106"/>
      <c r="BY98" s="106"/>
      <c r="BZ98" s="106"/>
      <c r="CA98" s="106"/>
      <c r="CB98" s="106"/>
      <c r="CC98" s="108">
        <f>SUM(Tabelle4[[#This Row],[Projektverantwortung
(Lenkungsausschuss)   ]:[Kommunikation   ]])</f>
        <v>0</v>
      </c>
      <c r="CD98" s="105"/>
      <c r="CE98" s="106"/>
      <c r="CF98" s="106"/>
      <c r="CG98" s="106"/>
      <c r="CH98" s="106"/>
      <c r="CI98" s="106"/>
      <c r="CJ98" s="106"/>
      <c r="CK98" s="106"/>
      <c r="CL98" s="108">
        <f>SUM(Tabelle4[[#This Row],[Projektverantwortung
(Lenkungsausschuss).]:[Kommunikation    ]])</f>
        <v>0</v>
      </c>
      <c r="CM98" s="105"/>
      <c r="CN98" s="106"/>
      <c r="CO98" s="106"/>
      <c r="CP98" s="106"/>
      <c r="CQ98" s="106"/>
      <c r="CR98" s="106"/>
      <c r="CS98" s="106"/>
      <c r="CT98" s="106"/>
      <c r="CU98" s="108">
        <f>SUM(Tabelle4[[#This Row],[Projektverantwortung
(Lenkungsausschuss)    ]:[Kommunikation     ]])</f>
        <v>0</v>
      </c>
      <c r="CV98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98" s="105"/>
      <c r="CX98" s="105"/>
      <c r="CY98" s="105"/>
      <c r="CZ98" s="105"/>
      <c r="DA98" s="105"/>
      <c r="DB98" s="105"/>
      <c r="DC98" s="105"/>
      <c r="DD98" s="105"/>
      <c r="DE98" s="107">
        <f>SUM(Tabelle4[[#This Row],[Aufwand ]],Tabelle4[[#This Row],[Aufwand 2]],Tabelle4[[#This Row],[Aufwand 3]],Tabelle4[[#This Row],[Aufwand 4]])</f>
        <v>0</v>
      </c>
      <c r="DF98" s="105"/>
      <c r="DG98" s="105"/>
      <c r="DH98" s="105"/>
      <c r="DI98" s="105"/>
      <c r="DJ98" s="105"/>
      <c r="DK98" s="105"/>
      <c r="DL98" s="105"/>
      <c r="DM98" s="105"/>
      <c r="DN98" s="107">
        <f>SUM(Tabelle4[[#This Row],[Aufwand  ]],Tabelle4[[#This Row],[Aufwand  2]],Tabelle4[[#This Row],[Aufwand  3]],Tabelle4[[#This Row],[Aufwand  4]])</f>
        <v>0</v>
      </c>
      <c r="DO98" s="105"/>
      <c r="DP98" s="105"/>
      <c r="DQ98" s="105"/>
      <c r="DR98" s="105"/>
      <c r="DS98" s="105"/>
      <c r="DT98" s="105"/>
      <c r="DU98" s="105"/>
      <c r="DV98" s="105"/>
      <c r="DW98" s="107">
        <f>SUM(Tabelle4[[#This Row],[Aufwand   ]],Tabelle4[[#This Row],[Aufwand   2]],Tabelle4[[#This Row],[Aufwand   3]],Tabelle4[[#This Row],[Aufwand   4]])</f>
        <v>0</v>
      </c>
      <c r="DX98" s="105"/>
      <c r="DY98" s="105"/>
      <c r="DZ98" s="105"/>
      <c r="EA98" s="105"/>
      <c r="EB98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98" s="122">
        <f>Tabelle4[[#This Row],[Gesamaufwand]]/2000</f>
        <v>0</v>
      </c>
      <c r="ED98" s="47"/>
      <c r="EE98" s="47"/>
      <c r="EF98" s="47"/>
      <c r="EG98" s="47"/>
      <c r="EH98" s="47"/>
      <c r="EI98" s="47"/>
      <c r="EJ98" s="47"/>
      <c r="EK98" s="47"/>
      <c r="EL98" s="47"/>
    </row>
    <row r="99" spans="1:142">
      <c r="A99" s="265" t="s">
        <v>142</v>
      </c>
      <c r="B99" s="251" t="s">
        <v>1331</v>
      </c>
      <c r="C99" s="254" t="s">
        <v>690</v>
      </c>
      <c r="D99" s="251" t="s">
        <v>75</v>
      </c>
      <c r="E99" s="251" t="s">
        <v>97</v>
      </c>
      <c r="F99" s="253">
        <v>3</v>
      </c>
      <c r="G99" s="253">
        <v>1</v>
      </c>
      <c r="H99" s="253"/>
      <c r="I99" s="254" t="s">
        <v>95</v>
      </c>
      <c r="J99" s="254"/>
      <c r="K99" s="105"/>
      <c r="L99" s="105"/>
      <c r="M99" s="48"/>
      <c r="N99" s="105"/>
      <c r="O99" s="255" t="s">
        <v>143</v>
      </c>
      <c r="P99" s="261">
        <v>4</v>
      </c>
      <c r="Q99" s="261">
        <v>0</v>
      </c>
      <c r="R99" s="261">
        <v>0</v>
      </c>
      <c r="S99" s="262" t="s">
        <v>144</v>
      </c>
      <c r="T99" s="263" t="s">
        <v>673</v>
      </c>
      <c r="U99" s="105"/>
      <c r="V99" s="259" t="s">
        <v>12</v>
      </c>
      <c r="W99" s="105" t="s">
        <v>6</v>
      </c>
      <c r="X99" s="105" t="s">
        <v>86</v>
      </c>
      <c r="Y99" s="105" t="s">
        <v>690</v>
      </c>
      <c r="Z99" s="105" t="s">
        <v>80</v>
      </c>
      <c r="AA99" s="105" t="s">
        <v>690</v>
      </c>
      <c r="AB99" s="105" t="s">
        <v>690</v>
      </c>
      <c r="AC99" s="105" t="s">
        <v>690</v>
      </c>
      <c r="AD99" s="105" t="s">
        <v>690</v>
      </c>
      <c r="AE99" s="105"/>
      <c r="AF99" s="105"/>
      <c r="AG99" s="105"/>
      <c r="AH99" s="115" t="s">
        <v>690</v>
      </c>
      <c r="AI99" s="115"/>
      <c r="AJ99" s="115"/>
      <c r="AK99" s="105"/>
      <c r="AL99" s="115"/>
      <c r="AM99" s="115"/>
      <c r="AN99" s="115"/>
      <c r="AO99" s="260">
        <f>Tabelle4[[#This Row],[Kredit-  / Budgetsumme
(RADAR: Gesamtkosten S)]]-Tabelle4[[#This Row],[Netto-Ausgaben Vorjahre ]]</f>
        <v>0</v>
      </c>
      <c r="AP99" s="310"/>
      <c r="AQ99" s="311"/>
      <c r="AR99" s="115">
        <f>Tabelle4[[#This Row],[Kreditrest per 1.1. aktuelles Jahr]]-Tabelle4[[#This Row],[Prognose 2018
(RADAR: Kosten 2018 S)]]</f>
        <v>0</v>
      </c>
      <c r="AS99" s="115"/>
      <c r="AT99" s="311"/>
      <c r="AU99" s="115"/>
      <c r="AV99" s="311"/>
      <c r="AW99" s="115"/>
      <c r="AX99" s="311"/>
      <c r="AY99" s="115"/>
      <c r="AZ99" s="311"/>
      <c r="BA99" s="115"/>
      <c r="BB99" s="311"/>
      <c r="BC99" s="115"/>
      <c r="BD99" s="311"/>
      <c r="BE99" s="115"/>
      <c r="BF99" s="311"/>
      <c r="BG99" s="115"/>
      <c r="BH99" s="311"/>
      <c r="BI99" s="115"/>
      <c r="BJ99" s="115"/>
      <c r="BK99" s="264"/>
      <c r="BL99" s="105"/>
      <c r="BM99" s="106">
        <v>0</v>
      </c>
      <c r="BN99" s="106"/>
      <c r="BO99" s="106">
        <v>20</v>
      </c>
      <c r="BP99" s="106"/>
      <c r="BQ99" s="106"/>
      <c r="BR99" s="106"/>
      <c r="BS99" s="106"/>
      <c r="BT99" s="108">
        <f>SUM(Tabelle4[[#This Row],[Projektverantwortung
(Lenkungsausschuss) ]:[Kommunikation ]])</f>
        <v>20</v>
      </c>
      <c r="BU99" s="105"/>
      <c r="BV99" s="106">
        <v>0</v>
      </c>
      <c r="BW99" s="106"/>
      <c r="BX99" s="106">
        <v>20</v>
      </c>
      <c r="BY99" s="106"/>
      <c r="BZ99" s="106"/>
      <c r="CA99" s="106"/>
      <c r="CB99" s="106"/>
      <c r="CC99" s="108">
        <f>SUM(Tabelle4[[#This Row],[Projektverantwortung
(Lenkungsausschuss)   ]:[Kommunikation   ]])</f>
        <v>20</v>
      </c>
      <c r="CD99" s="105"/>
      <c r="CE99" s="106">
        <v>0</v>
      </c>
      <c r="CF99" s="106"/>
      <c r="CG99" s="106">
        <v>8</v>
      </c>
      <c r="CH99" s="106"/>
      <c r="CI99" s="106"/>
      <c r="CJ99" s="106"/>
      <c r="CK99" s="106"/>
      <c r="CL99" s="108">
        <f>SUM(Tabelle4[[#This Row],[Projektverantwortung
(Lenkungsausschuss).]:[Kommunikation    ]])</f>
        <v>8</v>
      </c>
      <c r="CM99" s="105"/>
      <c r="CN99" s="106">
        <v>0</v>
      </c>
      <c r="CO99" s="106"/>
      <c r="CP99" s="106">
        <v>20</v>
      </c>
      <c r="CQ99" s="106"/>
      <c r="CR99" s="106"/>
      <c r="CS99" s="106"/>
      <c r="CT99" s="106"/>
      <c r="CU99" s="108">
        <f>SUM(Tabelle4[[#This Row],[Projektverantwortung
(Lenkungsausschuss)    ]:[Kommunikation     ]])</f>
        <v>20</v>
      </c>
      <c r="CV99" s="107">
        <f>SUM(Tabelle4[[#This Row],[Total Aufwand
1. Quartal 2018]],Tabelle4[[#This Row],[Total Aufwand
2. Quartal 2018]],Tabelle4[[#This Row],[Total Aufwand
3. Quartal 2018]],Tabelle4[[#This Row],[Total Aufwand
4. Quartal 2018]])</f>
        <v>68</v>
      </c>
      <c r="CW99" s="105"/>
      <c r="CX99" s="105"/>
      <c r="CY99" s="105"/>
      <c r="CZ99" s="105"/>
      <c r="DA99" s="105"/>
      <c r="DB99" s="105"/>
      <c r="DC99" s="105"/>
      <c r="DD99" s="105"/>
      <c r="DE99" s="107">
        <f>SUM(Tabelle4[[#This Row],[Aufwand ]],Tabelle4[[#This Row],[Aufwand 2]],Tabelle4[[#This Row],[Aufwand 3]],Tabelle4[[#This Row],[Aufwand 4]])</f>
        <v>0</v>
      </c>
      <c r="DF99" s="105"/>
      <c r="DG99" s="105"/>
      <c r="DH99" s="105"/>
      <c r="DI99" s="105"/>
      <c r="DJ99" s="105"/>
      <c r="DK99" s="105"/>
      <c r="DL99" s="105"/>
      <c r="DM99" s="105"/>
      <c r="DN99" s="107">
        <f>SUM(Tabelle4[[#This Row],[Aufwand  ]],Tabelle4[[#This Row],[Aufwand  2]],Tabelle4[[#This Row],[Aufwand  3]],Tabelle4[[#This Row],[Aufwand  4]])</f>
        <v>0</v>
      </c>
      <c r="DO99" s="105"/>
      <c r="DP99" s="105"/>
      <c r="DQ99" s="105"/>
      <c r="DR99" s="105"/>
      <c r="DS99" s="105"/>
      <c r="DT99" s="105"/>
      <c r="DU99" s="105"/>
      <c r="DV99" s="105"/>
      <c r="DW99" s="107">
        <f>SUM(Tabelle4[[#This Row],[Aufwand   ]],Tabelle4[[#This Row],[Aufwand   2]],Tabelle4[[#This Row],[Aufwand   3]],Tabelle4[[#This Row],[Aufwand   4]])</f>
        <v>0</v>
      </c>
      <c r="DX99" s="105"/>
      <c r="DY99" s="105"/>
      <c r="DZ99" s="105"/>
      <c r="EA99" s="105"/>
      <c r="EB99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68</v>
      </c>
      <c r="EC99" s="122">
        <f>Tabelle4[[#This Row],[Gesamaufwand]]/2000</f>
        <v>3.4000000000000002E-2</v>
      </c>
      <c r="ED99" s="47"/>
      <c r="EE99" s="47"/>
      <c r="EF99" s="47"/>
      <c r="EG99" s="47"/>
      <c r="EH99" s="47"/>
      <c r="EI99" s="47"/>
      <c r="EJ99" s="47"/>
      <c r="EK99" s="47"/>
      <c r="EL99" s="47"/>
    </row>
    <row r="100" spans="1:142">
      <c r="A100" s="255" t="s">
        <v>479</v>
      </c>
      <c r="B100" s="251" t="s">
        <v>105</v>
      </c>
      <c r="C100" s="254" t="s">
        <v>68</v>
      </c>
      <c r="D100" s="251" t="s">
        <v>913</v>
      </c>
      <c r="E100" s="251" t="s">
        <v>695</v>
      </c>
      <c r="F100" s="253">
        <v>1</v>
      </c>
      <c r="G100" s="253">
        <v>2</v>
      </c>
      <c r="H100" s="253"/>
      <c r="I100" s="254" t="s">
        <v>95</v>
      </c>
      <c r="J100" s="254"/>
      <c r="K100" s="105"/>
      <c r="L100" s="105"/>
      <c r="M100" s="48"/>
      <c r="N100" s="105"/>
      <c r="O100" s="255" t="s">
        <v>480</v>
      </c>
      <c r="P100" s="261">
        <v>2</v>
      </c>
      <c r="Q100" s="261">
        <v>0</v>
      </c>
      <c r="R100" s="261">
        <v>0</v>
      </c>
      <c r="S100" s="262" t="s">
        <v>284</v>
      </c>
      <c r="T100" s="263" t="s">
        <v>660</v>
      </c>
      <c r="U100" s="105"/>
      <c r="V100" s="259" t="s">
        <v>607</v>
      </c>
      <c r="W100" s="105" t="s">
        <v>6</v>
      </c>
      <c r="X100" s="105" t="s">
        <v>86</v>
      </c>
      <c r="Y100" s="105" t="s">
        <v>690</v>
      </c>
      <c r="Z100" s="105" t="s">
        <v>86</v>
      </c>
      <c r="AA100" s="105" t="s">
        <v>639</v>
      </c>
      <c r="AB100" s="105" t="s">
        <v>639</v>
      </c>
      <c r="AC100" s="105" t="s">
        <v>639</v>
      </c>
      <c r="AD100" s="105" t="s">
        <v>639</v>
      </c>
      <c r="AE100" s="105"/>
      <c r="AF100" s="105"/>
      <c r="AG100" s="105"/>
      <c r="AH100" s="115" t="s">
        <v>75</v>
      </c>
      <c r="AI100" s="115"/>
      <c r="AJ100" s="115"/>
      <c r="AK100" s="105"/>
      <c r="AL100" s="115"/>
      <c r="AM100" s="115"/>
      <c r="AN100" s="115"/>
      <c r="AO100" s="260">
        <f>Tabelle4[[#This Row],[Kredit-  / Budgetsumme
(RADAR: Gesamtkosten S)]]-Tabelle4[[#This Row],[Netto-Ausgaben Vorjahre ]]</f>
        <v>0</v>
      </c>
      <c r="AP100" s="310"/>
      <c r="AQ100" s="311"/>
      <c r="AR100" s="115">
        <f>Tabelle4[[#This Row],[Kreditrest per 1.1. aktuelles Jahr]]-Tabelle4[[#This Row],[Prognose 2018
(RADAR: Kosten 2018 S)]]</f>
        <v>0</v>
      </c>
      <c r="AS100" s="115"/>
      <c r="AT100" s="311"/>
      <c r="AU100" s="115"/>
      <c r="AV100" s="311"/>
      <c r="AW100" s="115"/>
      <c r="AX100" s="311"/>
      <c r="AY100" s="115"/>
      <c r="AZ100" s="311"/>
      <c r="BA100" s="115"/>
      <c r="BB100" s="311"/>
      <c r="BC100" s="115"/>
      <c r="BD100" s="311"/>
      <c r="BE100" s="115"/>
      <c r="BF100" s="311"/>
      <c r="BG100" s="115"/>
      <c r="BH100" s="311"/>
      <c r="BI100" s="115"/>
      <c r="BJ100" s="115"/>
      <c r="BK100" s="264"/>
      <c r="BL100" s="105"/>
      <c r="BM100" s="106">
        <v>0</v>
      </c>
      <c r="BN100" s="106"/>
      <c r="BO100" s="106">
        <v>40</v>
      </c>
      <c r="BP100" s="106"/>
      <c r="BQ100" s="106"/>
      <c r="BR100" s="106"/>
      <c r="BS100" s="106"/>
      <c r="BT100" s="108">
        <f>SUM(Tabelle4[[#This Row],[Projektverantwortung
(Lenkungsausschuss) ]:[Kommunikation ]])</f>
        <v>40</v>
      </c>
      <c r="BU100" s="105"/>
      <c r="BV100" s="106">
        <v>0</v>
      </c>
      <c r="BW100" s="106"/>
      <c r="BX100" s="106">
        <v>40</v>
      </c>
      <c r="BY100" s="106"/>
      <c r="BZ100" s="106"/>
      <c r="CA100" s="106"/>
      <c r="CB100" s="106"/>
      <c r="CC100" s="108">
        <f>SUM(Tabelle4[[#This Row],[Projektverantwortung
(Lenkungsausschuss)   ]:[Kommunikation   ]])</f>
        <v>40</v>
      </c>
      <c r="CD100" s="105"/>
      <c r="CE100" s="106">
        <v>0</v>
      </c>
      <c r="CF100" s="106"/>
      <c r="CG100" s="106">
        <v>40</v>
      </c>
      <c r="CH100" s="106"/>
      <c r="CI100" s="106"/>
      <c r="CJ100" s="106"/>
      <c r="CK100" s="106"/>
      <c r="CL100" s="108">
        <f>SUM(Tabelle4[[#This Row],[Projektverantwortung
(Lenkungsausschuss).]:[Kommunikation    ]])</f>
        <v>40</v>
      </c>
      <c r="CM100" s="105"/>
      <c r="CN100" s="106">
        <v>0</v>
      </c>
      <c r="CO100" s="106"/>
      <c r="CP100" s="106">
        <v>40</v>
      </c>
      <c r="CQ100" s="106"/>
      <c r="CR100" s="106"/>
      <c r="CS100" s="106"/>
      <c r="CT100" s="106"/>
      <c r="CU100" s="108">
        <f>SUM(Tabelle4[[#This Row],[Projektverantwortung
(Lenkungsausschuss)    ]:[Kommunikation     ]])</f>
        <v>40</v>
      </c>
      <c r="CV100" s="107">
        <f>SUM(Tabelle4[[#This Row],[Total Aufwand
1. Quartal 2018]],Tabelle4[[#This Row],[Total Aufwand
2. Quartal 2018]],Tabelle4[[#This Row],[Total Aufwand
3. Quartal 2018]],Tabelle4[[#This Row],[Total Aufwand
4. Quartal 2018]])</f>
        <v>160</v>
      </c>
      <c r="CW100" s="105"/>
      <c r="CX100" s="105"/>
      <c r="CY100" s="105"/>
      <c r="CZ100" s="105"/>
      <c r="DA100" s="105"/>
      <c r="DB100" s="105"/>
      <c r="DC100" s="105"/>
      <c r="DD100" s="105"/>
      <c r="DE100" s="107">
        <f>SUM(Tabelle4[[#This Row],[Aufwand ]],Tabelle4[[#This Row],[Aufwand 2]],Tabelle4[[#This Row],[Aufwand 3]],Tabelle4[[#This Row],[Aufwand 4]])</f>
        <v>0</v>
      </c>
      <c r="DF100" s="105"/>
      <c r="DG100" s="105"/>
      <c r="DH100" s="105"/>
      <c r="DI100" s="105"/>
      <c r="DJ100" s="105"/>
      <c r="DK100" s="105"/>
      <c r="DL100" s="105"/>
      <c r="DM100" s="105"/>
      <c r="DN100" s="107">
        <f>SUM(Tabelle4[[#This Row],[Aufwand  ]],Tabelle4[[#This Row],[Aufwand  2]],Tabelle4[[#This Row],[Aufwand  3]],Tabelle4[[#This Row],[Aufwand  4]])</f>
        <v>0</v>
      </c>
      <c r="DO100" s="105"/>
      <c r="DP100" s="105"/>
      <c r="DQ100" s="105"/>
      <c r="DR100" s="105"/>
      <c r="DS100" s="105"/>
      <c r="DT100" s="105"/>
      <c r="DU100" s="105"/>
      <c r="DV100" s="105"/>
      <c r="DW100" s="107">
        <f>SUM(Tabelle4[[#This Row],[Aufwand   ]],Tabelle4[[#This Row],[Aufwand   2]],Tabelle4[[#This Row],[Aufwand   3]],Tabelle4[[#This Row],[Aufwand   4]])</f>
        <v>0</v>
      </c>
      <c r="DX100" s="105"/>
      <c r="DY100" s="105"/>
      <c r="DZ100" s="105"/>
      <c r="EA100" s="105"/>
      <c r="EB100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160</v>
      </c>
      <c r="EC100" s="122">
        <f>Tabelle4[[#This Row],[Gesamaufwand]]/2000</f>
        <v>0.08</v>
      </c>
      <c r="ED100" s="48"/>
      <c r="EE100" s="48"/>
      <c r="EF100" s="48"/>
      <c r="EG100" s="48"/>
      <c r="EH100" s="48"/>
      <c r="EI100" s="47"/>
      <c r="EJ100" s="47"/>
      <c r="EK100" s="47"/>
      <c r="EL100" s="47"/>
    </row>
    <row r="101" spans="1:142">
      <c r="A101" s="255" t="s">
        <v>288</v>
      </c>
      <c r="B101" s="251" t="s">
        <v>103</v>
      </c>
      <c r="C101" s="254" t="s">
        <v>690</v>
      </c>
      <c r="D101" s="251" t="s">
        <v>780</v>
      </c>
      <c r="E101" s="251" t="s">
        <v>781</v>
      </c>
      <c r="F101" s="253">
        <v>1</v>
      </c>
      <c r="G101" s="253">
        <v>2</v>
      </c>
      <c r="H101" s="253"/>
      <c r="I101" s="254" t="s">
        <v>95</v>
      </c>
      <c r="J101" s="254"/>
      <c r="K101" s="105"/>
      <c r="L101" s="105"/>
      <c r="M101" s="48"/>
      <c r="N101" s="105"/>
      <c r="O101" s="255" t="s">
        <v>289</v>
      </c>
      <c r="P101" s="261">
        <v>1</v>
      </c>
      <c r="Q101" s="261">
        <v>0</v>
      </c>
      <c r="R101" s="261">
        <v>0</v>
      </c>
      <c r="S101" s="262" t="s">
        <v>290</v>
      </c>
      <c r="T101" s="263" t="s">
        <v>659</v>
      </c>
      <c r="U101" s="105"/>
      <c r="V101" s="259" t="s">
        <v>12</v>
      </c>
      <c r="W101" s="105" t="s">
        <v>656</v>
      </c>
      <c r="X101" s="105" t="s">
        <v>86</v>
      </c>
      <c r="Y101" s="105" t="s">
        <v>9</v>
      </c>
      <c r="Z101" s="105" t="s">
        <v>80</v>
      </c>
      <c r="AA101" s="105" t="s">
        <v>79</v>
      </c>
      <c r="AB101" s="105" t="s">
        <v>690</v>
      </c>
      <c r="AC101" s="105" t="s">
        <v>690</v>
      </c>
      <c r="AD101" s="105" t="s">
        <v>690</v>
      </c>
      <c r="AE101" s="105"/>
      <c r="AF101" s="105"/>
      <c r="AG101" s="105"/>
      <c r="AH101" s="115" t="s">
        <v>802</v>
      </c>
      <c r="AI101" s="115"/>
      <c r="AJ101" s="115"/>
      <c r="AK101" s="105"/>
      <c r="AL101" s="115"/>
      <c r="AM101" s="115"/>
      <c r="AN101" s="115"/>
      <c r="AO101" s="260">
        <f>Tabelle4[[#This Row],[Kredit-  / Budgetsumme
(RADAR: Gesamtkosten S)]]-Tabelle4[[#This Row],[Netto-Ausgaben Vorjahre ]]</f>
        <v>0</v>
      </c>
      <c r="AP101" s="310"/>
      <c r="AQ101" s="311"/>
      <c r="AR101" s="115">
        <f>Tabelle4[[#This Row],[Kreditrest per 1.1. aktuelles Jahr]]-Tabelle4[[#This Row],[Prognose 2018
(RADAR: Kosten 2018 S)]]</f>
        <v>0</v>
      </c>
      <c r="AS101" s="115"/>
      <c r="AT101" s="311"/>
      <c r="AU101" s="115"/>
      <c r="AV101" s="311"/>
      <c r="AW101" s="115"/>
      <c r="AX101" s="311"/>
      <c r="AY101" s="115"/>
      <c r="AZ101" s="311"/>
      <c r="BA101" s="115"/>
      <c r="BB101" s="311"/>
      <c r="BC101" s="115"/>
      <c r="BD101" s="311"/>
      <c r="BE101" s="115"/>
      <c r="BF101" s="311"/>
      <c r="BG101" s="115"/>
      <c r="BH101" s="311"/>
      <c r="BI101" s="115"/>
      <c r="BJ101" s="115"/>
      <c r="BK101" s="264"/>
      <c r="BL101" s="105"/>
      <c r="BM101" s="106" t="s">
        <v>75</v>
      </c>
      <c r="BN101" s="106" t="s">
        <v>75</v>
      </c>
      <c r="BO101" s="106" t="s">
        <v>75</v>
      </c>
      <c r="BP101" s="106" t="s">
        <v>75</v>
      </c>
      <c r="BQ101" s="106"/>
      <c r="BR101" s="106"/>
      <c r="BS101" s="106"/>
      <c r="BT101" s="108">
        <f>SUM(Tabelle4[[#This Row],[Projektverantwortung
(Lenkungsausschuss) ]:[Kommunikation ]])</f>
        <v>0</v>
      </c>
      <c r="BU101" s="105"/>
      <c r="BV101" s="106"/>
      <c r="BW101" s="106"/>
      <c r="BX101" s="106"/>
      <c r="BY101" s="106"/>
      <c r="BZ101" s="106"/>
      <c r="CA101" s="106"/>
      <c r="CB101" s="106"/>
      <c r="CC101" s="108">
        <f>SUM(Tabelle4[[#This Row],[Projektverantwortung
(Lenkungsausschuss)   ]:[Kommunikation   ]])</f>
        <v>0</v>
      </c>
      <c r="CD101" s="105"/>
      <c r="CE101" s="106"/>
      <c r="CF101" s="106"/>
      <c r="CG101" s="106"/>
      <c r="CH101" s="106"/>
      <c r="CI101" s="106"/>
      <c r="CJ101" s="106"/>
      <c r="CK101" s="106"/>
      <c r="CL101" s="108">
        <f>SUM(Tabelle4[[#This Row],[Projektverantwortung
(Lenkungsausschuss).]:[Kommunikation    ]])</f>
        <v>0</v>
      </c>
      <c r="CM101" s="105"/>
      <c r="CN101" s="106"/>
      <c r="CO101" s="106"/>
      <c r="CP101" s="106"/>
      <c r="CQ101" s="106"/>
      <c r="CR101" s="106"/>
      <c r="CS101" s="106"/>
      <c r="CT101" s="106"/>
      <c r="CU101" s="108">
        <f>SUM(Tabelle4[[#This Row],[Projektverantwortung
(Lenkungsausschuss)    ]:[Kommunikation     ]])</f>
        <v>0</v>
      </c>
      <c r="CV101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101" s="105"/>
      <c r="CX101" s="105"/>
      <c r="CY101" s="105"/>
      <c r="CZ101" s="105"/>
      <c r="DA101" s="105"/>
      <c r="DB101" s="105"/>
      <c r="DC101" s="105"/>
      <c r="DD101" s="105"/>
      <c r="DE101" s="107">
        <f>SUM(Tabelle4[[#This Row],[Aufwand ]],Tabelle4[[#This Row],[Aufwand 2]],Tabelle4[[#This Row],[Aufwand 3]],Tabelle4[[#This Row],[Aufwand 4]])</f>
        <v>0</v>
      </c>
      <c r="DF101" s="105"/>
      <c r="DG101" s="105"/>
      <c r="DH101" s="105"/>
      <c r="DI101" s="105"/>
      <c r="DJ101" s="105"/>
      <c r="DK101" s="105"/>
      <c r="DL101" s="105"/>
      <c r="DM101" s="105"/>
      <c r="DN101" s="107">
        <f>SUM(Tabelle4[[#This Row],[Aufwand  ]],Tabelle4[[#This Row],[Aufwand  2]],Tabelle4[[#This Row],[Aufwand  3]],Tabelle4[[#This Row],[Aufwand  4]])</f>
        <v>0</v>
      </c>
      <c r="DO101" s="105"/>
      <c r="DP101" s="105"/>
      <c r="DQ101" s="105"/>
      <c r="DR101" s="105"/>
      <c r="DS101" s="105"/>
      <c r="DT101" s="105"/>
      <c r="DU101" s="105"/>
      <c r="DV101" s="105"/>
      <c r="DW101" s="107">
        <f>SUM(Tabelle4[[#This Row],[Aufwand   ]],Tabelle4[[#This Row],[Aufwand   2]],Tabelle4[[#This Row],[Aufwand   3]],Tabelle4[[#This Row],[Aufwand   4]])</f>
        <v>0</v>
      </c>
      <c r="DX101" s="105"/>
      <c r="DY101" s="105"/>
      <c r="DZ101" s="105"/>
      <c r="EA101" s="105"/>
      <c r="EB101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101" s="122">
        <f>Tabelle4[[#This Row],[Gesamaufwand]]/2000</f>
        <v>0</v>
      </c>
      <c r="ED101" s="48"/>
      <c r="EE101" s="48"/>
      <c r="EF101" s="48"/>
      <c r="EG101" s="48"/>
      <c r="EH101" s="48"/>
      <c r="EI101" s="47"/>
      <c r="EJ101" s="47"/>
      <c r="EK101" s="47"/>
      <c r="EL101" s="47"/>
    </row>
    <row r="102" spans="1:142">
      <c r="A102" s="265" t="s">
        <v>591</v>
      </c>
      <c r="B102" s="251" t="s">
        <v>690</v>
      </c>
      <c r="C102" s="254" t="s">
        <v>690</v>
      </c>
      <c r="D102" s="251" t="s">
        <v>75</v>
      </c>
      <c r="E102" s="251" t="s">
        <v>75</v>
      </c>
      <c r="F102" s="253" t="s">
        <v>690</v>
      </c>
      <c r="G102" s="253" t="s">
        <v>690</v>
      </c>
      <c r="H102" s="253"/>
      <c r="I102" s="254" t="s">
        <v>96</v>
      </c>
      <c r="J102" s="254"/>
      <c r="K102" s="105"/>
      <c r="L102" s="105"/>
      <c r="M102" s="48"/>
      <c r="N102" s="105"/>
      <c r="O102" s="255" t="s">
        <v>592</v>
      </c>
      <c r="P102" s="261">
        <v>5</v>
      </c>
      <c r="Q102" s="261">
        <v>0</v>
      </c>
      <c r="R102" s="261">
        <v>0</v>
      </c>
      <c r="S102" s="262" t="s">
        <v>469</v>
      </c>
      <c r="T102" s="263" t="s">
        <v>673</v>
      </c>
      <c r="U102" s="105"/>
      <c r="V102" s="259" t="s">
        <v>12</v>
      </c>
      <c r="W102" s="105" t="s">
        <v>8</v>
      </c>
      <c r="X102" s="105" t="s">
        <v>10</v>
      </c>
      <c r="Y102" s="105" t="s">
        <v>690</v>
      </c>
      <c r="Z102" s="105" t="s">
        <v>690</v>
      </c>
      <c r="AA102" s="105" t="s">
        <v>690</v>
      </c>
      <c r="AB102" s="105" t="s">
        <v>690</v>
      </c>
      <c r="AC102" s="105" t="s">
        <v>690</v>
      </c>
      <c r="AD102" s="105" t="s">
        <v>690</v>
      </c>
      <c r="AE102" s="105"/>
      <c r="AF102" s="105"/>
      <c r="AG102" s="105"/>
      <c r="AH102" s="115" t="s">
        <v>690</v>
      </c>
      <c r="AI102" s="115"/>
      <c r="AJ102" s="115"/>
      <c r="AK102" s="105"/>
      <c r="AL102" s="115"/>
      <c r="AM102" s="115"/>
      <c r="AN102" s="115"/>
      <c r="AO102" s="260">
        <f>Tabelle4[[#This Row],[Kredit-  / Budgetsumme
(RADAR: Gesamtkosten S)]]-Tabelle4[[#This Row],[Netto-Ausgaben Vorjahre ]]</f>
        <v>0</v>
      </c>
      <c r="AP102" s="310"/>
      <c r="AQ102" s="311"/>
      <c r="AR102" s="115">
        <f>Tabelle4[[#This Row],[Kreditrest per 1.1. aktuelles Jahr]]-Tabelle4[[#This Row],[Prognose 2018
(RADAR: Kosten 2018 S)]]</f>
        <v>0</v>
      </c>
      <c r="AS102" s="115"/>
      <c r="AT102" s="311"/>
      <c r="AU102" s="115"/>
      <c r="AV102" s="311"/>
      <c r="AW102" s="115"/>
      <c r="AX102" s="311"/>
      <c r="AY102" s="115"/>
      <c r="AZ102" s="311"/>
      <c r="BA102" s="115"/>
      <c r="BB102" s="311"/>
      <c r="BC102" s="115"/>
      <c r="BD102" s="311"/>
      <c r="BE102" s="115"/>
      <c r="BF102" s="311"/>
      <c r="BG102" s="115"/>
      <c r="BH102" s="311"/>
      <c r="BI102" s="115"/>
      <c r="BJ102" s="115"/>
      <c r="BK102" s="264"/>
      <c r="BL102" s="105"/>
      <c r="BM102" s="106"/>
      <c r="BN102" s="106"/>
      <c r="BO102" s="106"/>
      <c r="BP102" s="106"/>
      <c r="BQ102" s="106"/>
      <c r="BR102" s="106"/>
      <c r="BS102" s="106"/>
      <c r="BT102" s="108">
        <f>SUM(Tabelle4[[#This Row],[Projektverantwortung
(Lenkungsausschuss) ]:[Kommunikation ]])</f>
        <v>0</v>
      </c>
      <c r="BU102" s="105"/>
      <c r="BV102" s="106"/>
      <c r="BW102" s="106"/>
      <c r="BX102" s="106"/>
      <c r="BY102" s="106"/>
      <c r="BZ102" s="106"/>
      <c r="CA102" s="106"/>
      <c r="CB102" s="106"/>
      <c r="CC102" s="108">
        <f>SUM(Tabelle4[[#This Row],[Projektverantwortung
(Lenkungsausschuss)   ]:[Kommunikation   ]])</f>
        <v>0</v>
      </c>
      <c r="CD102" s="105"/>
      <c r="CE102" s="106"/>
      <c r="CF102" s="106"/>
      <c r="CG102" s="106"/>
      <c r="CH102" s="106"/>
      <c r="CI102" s="106"/>
      <c r="CJ102" s="106"/>
      <c r="CK102" s="106"/>
      <c r="CL102" s="108">
        <f>SUM(Tabelle4[[#This Row],[Projektverantwortung
(Lenkungsausschuss).]:[Kommunikation    ]])</f>
        <v>0</v>
      </c>
      <c r="CM102" s="105"/>
      <c r="CN102" s="106"/>
      <c r="CO102" s="106"/>
      <c r="CP102" s="106"/>
      <c r="CQ102" s="106"/>
      <c r="CR102" s="106"/>
      <c r="CS102" s="106"/>
      <c r="CT102" s="106"/>
      <c r="CU102" s="108">
        <f>SUM(Tabelle4[[#This Row],[Projektverantwortung
(Lenkungsausschuss)    ]:[Kommunikation     ]])</f>
        <v>0</v>
      </c>
      <c r="CV102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102" s="105"/>
      <c r="CX102" s="105"/>
      <c r="CY102" s="105"/>
      <c r="CZ102" s="105"/>
      <c r="DA102" s="105"/>
      <c r="DB102" s="105"/>
      <c r="DC102" s="105"/>
      <c r="DD102" s="105"/>
      <c r="DE102" s="107">
        <f>SUM(Tabelle4[[#This Row],[Aufwand ]],Tabelle4[[#This Row],[Aufwand 2]],Tabelle4[[#This Row],[Aufwand 3]],Tabelle4[[#This Row],[Aufwand 4]])</f>
        <v>0</v>
      </c>
      <c r="DF102" s="105"/>
      <c r="DG102" s="105"/>
      <c r="DH102" s="105"/>
      <c r="DI102" s="105"/>
      <c r="DJ102" s="105"/>
      <c r="DK102" s="105"/>
      <c r="DL102" s="105"/>
      <c r="DM102" s="105"/>
      <c r="DN102" s="107">
        <f>SUM(Tabelle4[[#This Row],[Aufwand  ]],Tabelle4[[#This Row],[Aufwand  2]],Tabelle4[[#This Row],[Aufwand  3]],Tabelle4[[#This Row],[Aufwand  4]])</f>
        <v>0</v>
      </c>
      <c r="DO102" s="105"/>
      <c r="DP102" s="105"/>
      <c r="DQ102" s="105"/>
      <c r="DR102" s="105"/>
      <c r="DS102" s="105"/>
      <c r="DT102" s="105"/>
      <c r="DU102" s="105"/>
      <c r="DV102" s="105"/>
      <c r="DW102" s="107">
        <f>SUM(Tabelle4[[#This Row],[Aufwand   ]],Tabelle4[[#This Row],[Aufwand   2]],Tabelle4[[#This Row],[Aufwand   3]],Tabelle4[[#This Row],[Aufwand   4]])</f>
        <v>0</v>
      </c>
      <c r="DX102" s="105"/>
      <c r="DY102" s="105"/>
      <c r="DZ102" s="105"/>
      <c r="EA102" s="105"/>
      <c r="EB102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102" s="122">
        <f>Tabelle4[[#This Row],[Gesamaufwand]]/2000</f>
        <v>0</v>
      </c>
      <c r="ED102" s="47"/>
      <c r="EE102" s="47"/>
      <c r="EF102" s="47"/>
      <c r="EG102" s="47"/>
      <c r="EH102" s="47"/>
      <c r="EI102" s="47"/>
      <c r="EJ102" s="47"/>
      <c r="EK102" s="47"/>
      <c r="EL102" s="47"/>
    </row>
    <row r="103" spans="1:142">
      <c r="A103" s="265" t="s">
        <v>593</v>
      </c>
      <c r="B103" s="251" t="s">
        <v>690</v>
      </c>
      <c r="C103" s="254" t="s">
        <v>690</v>
      </c>
      <c r="D103" s="251" t="s">
        <v>75</v>
      </c>
      <c r="E103" s="251" t="s">
        <v>75</v>
      </c>
      <c r="F103" s="253" t="s">
        <v>690</v>
      </c>
      <c r="G103" s="253" t="s">
        <v>690</v>
      </c>
      <c r="H103" s="253"/>
      <c r="I103" s="254" t="s">
        <v>96</v>
      </c>
      <c r="J103" s="254"/>
      <c r="K103" s="105"/>
      <c r="L103" s="105"/>
      <c r="M103" s="48"/>
      <c r="N103" s="105"/>
      <c r="O103" s="255" t="s">
        <v>594</v>
      </c>
      <c r="P103" s="261">
        <v>5</v>
      </c>
      <c r="Q103" s="261">
        <v>0</v>
      </c>
      <c r="R103" s="261">
        <v>0</v>
      </c>
      <c r="S103" s="262" t="s">
        <v>171</v>
      </c>
      <c r="T103" s="263" t="s">
        <v>673</v>
      </c>
      <c r="U103" s="105"/>
      <c r="V103" s="259" t="s">
        <v>12</v>
      </c>
      <c r="W103" s="105" t="s">
        <v>8</v>
      </c>
      <c r="X103" s="105" t="s">
        <v>10</v>
      </c>
      <c r="Y103" s="105" t="s">
        <v>690</v>
      </c>
      <c r="Z103" s="105" t="s">
        <v>690</v>
      </c>
      <c r="AA103" s="105" t="s">
        <v>690</v>
      </c>
      <c r="AB103" s="105" t="s">
        <v>690</v>
      </c>
      <c r="AC103" s="105" t="s">
        <v>690</v>
      </c>
      <c r="AD103" s="105" t="s">
        <v>690</v>
      </c>
      <c r="AE103" s="105"/>
      <c r="AF103" s="105"/>
      <c r="AG103" s="105"/>
      <c r="AH103" s="115" t="s">
        <v>690</v>
      </c>
      <c r="AI103" s="115"/>
      <c r="AJ103" s="115"/>
      <c r="AK103" s="105"/>
      <c r="AL103" s="115"/>
      <c r="AM103" s="115"/>
      <c r="AN103" s="115"/>
      <c r="AO103" s="260">
        <f>Tabelle4[[#This Row],[Kredit-  / Budgetsumme
(RADAR: Gesamtkosten S)]]-Tabelle4[[#This Row],[Netto-Ausgaben Vorjahre ]]</f>
        <v>0</v>
      </c>
      <c r="AP103" s="310"/>
      <c r="AQ103" s="311"/>
      <c r="AR103" s="115">
        <f>Tabelle4[[#This Row],[Kreditrest per 1.1. aktuelles Jahr]]-Tabelle4[[#This Row],[Prognose 2018
(RADAR: Kosten 2018 S)]]</f>
        <v>0</v>
      </c>
      <c r="AS103" s="115"/>
      <c r="AT103" s="311"/>
      <c r="AU103" s="115"/>
      <c r="AV103" s="311"/>
      <c r="AW103" s="115"/>
      <c r="AX103" s="311"/>
      <c r="AY103" s="115"/>
      <c r="AZ103" s="311"/>
      <c r="BA103" s="115"/>
      <c r="BB103" s="311"/>
      <c r="BC103" s="115"/>
      <c r="BD103" s="311"/>
      <c r="BE103" s="115"/>
      <c r="BF103" s="311"/>
      <c r="BG103" s="115"/>
      <c r="BH103" s="311"/>
      <c r="BI103" s="115"/>
      <c r="BJ103" s="115"/>
      <c r="BK103" s="264"/>
      <c r="BL103" s="105"/>
      <c r="BM103" s="106"/>
      <c r="BN103" s="106"/>
      <c r="BO103" s="106"/>
      <c r="BP103" s="106"/>
      <c r="BQ103" s="106"/>
      <c r="BR103" s="106"/>
      <c r="BS103" s="106"/>
      <c r="BT103" s="108">
        <f>SUM(Tabelle4[[#This Row],[Projektverantwortung
(Lenkungsausschuss) ]:[Kommunikation ]])</f>
        <v>0</v>
      </c>
      <c r="BU103" s="105"/>
      <c r="BV103" s="106"/>
      <c r="BW103" s="106"/>
      <c r="BX103" s="106"/>
      <c r="BY103" s="106"/>
      <c r="BZ103" s="106"/>
      <c r="CA103" s="106"/>
      <c r="CB103" s="106"/>
      <c r="CC103" s="108">
        <f>SUM(Tabelle4[[#This Row],[Projektverantwortung
(Lenkungsausschuss)   ]:[Kommunikation   ]])</f>
        <v>0</v>
      </c>
      <c r="CD103" s="105"/>
      <c r="CE103" s="106"/>
      <c r="CF103" s="106"/>
      <c r="CG103" s="106"/>
      <c r="CH103" s="106"/>
      <c r="CI103" s="106"/>
      <c r="CJ103" s="106"/>
      <c r="CK103" s="106"/>
      <c r="CL103" s="108">
        <f>SUM(Tabelle4[[#This Row],[Projektverantwortung
(Lenkungsausschuss).]:[Kommunikation    ]])</f>
        <v>0</v>
      </c>
      <c r="CM103" s="105"/>
      <c r="CN103" s="106"/>
      <c r="CO103" s="106"/>
      <c r="CP103" s="106"/>
      <c r="CQ103" s="106"/>
      <c r="CR103" s="106"/>
      <c r="CS103" s="106"/>
      <c r="CT103" s="106"/>
      <c r="CU103" s="108">
        <f>SUM(Tabelle4[[#This Row],[Projektverantwortung
(Lenkungsausschuss)    ]:[Kommunikation     ]])</f>
        <v>0</v>
      </c>
      <c r="CV103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103" s="105"/>
      <c r="CX103" s="105"/>
      <c r="CY103" s="105"/>
      <c r="CZ103" s="105"/>
      <c r="DA103" s="105"/>
      <c r="DB103" s="105"/>
      <c r="DC103" s="105"/>
      <c r="DD103" s="105"/>
      <c r="DE103" s="107">
        <f>SUM(Tabelle4[[#This Row],[Aufwand ]],Tabelle4[[#This Row],[Aufwand 2]],Tabelle4[[#This Row],[Aufwand 3]],Tabelle4[[#This Row],[Aufwand 4]])</f>
        <v>0</v>
      </c>
      <c r="DF103" s="105"/>
      <c r="DG103" s="105"/>
      <c r="DH103" s="105"/>
      <c r="DI103" s="105"/>
      <c r="DJ103" s="105"/>
      <c r="DK103" s="105"/>
      <c r="DL103" s="105"/>
      <c r="DM103" s="105"/>
      <c r="DN103" s="107">
        <f>SUM(Tabelle4[[#This Row],[Aufwand  ]],Tabelle4[[#This Row],[Aufwand  2]],Tabelle4[[#This Row],[Aufwand  3]],Tabelle4[[#This Row],[Aufwand  4]])</f>
        <v>0</v>
      </c>
      <c r="DO103" s="105"/>
      <c r="DP103" s="105"/>
      <c r="DQ103" s="105"/>
      <c r="DR103" s="105"/>
      <c r="DS103" s="105"/>
      <c r="DT103" s="105"/>
      <c r="DU103" s="105"/>
      <c r="DV103" s="105"/>
      <c r="DW103" s="107">
        <f>SUM(Tabelle4[[#This Row],[Aufwand   ]],Tabelle4[[#This Row],[Aufwand   2]],Tabelle4[[#This Row],[Aufwand   3]],Tabelle4[[#This Row],[Aufwand   4]])</f>
        <v>0</v>
      </c>
      <c r="DX103" s="105"/>
      <c r="DY103" s="105"/>
      <c r="DZ103" s="105"/>
      <c r="EA103" s="105"/>
      <c r="EB103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103" s="122">
        <f>Tabelle4[[#This Row],[Gesamaufwand]]/2000</f>
        <v>0</v>
      </c>
      <c r="ED103" s="47"/>
      <c r="EE103" s="47"/>
      <c r="EF103" s="47"/>
      <c r="EG103" s="47"/>
      <c r="EH103" s="47"/>
      <c r="EI103" s="47"/>
      <c r="EJ103" s="47"/>
      <c r="EK103" s="47"/>
      <c r="EL103" s="47"/>
    </row>
    <row r="104" spans="1:142">
      <c r="A104" s="265" t="s">
        <v>595</v>
      </c>
      <c r="B104" s="251" t="s">
        <v>690</v>
      </c>
      <c r="C104" s="254" t="s">
        <v>690</v>
      </c>
      <c r="D104" s="251" t="s">
        <v>75</v>
      </c>
      <c r="E104" s="251" t="s">
        <v>75</v>
      </c>
      <c r="F104" s="253" t="s">
        <v>690</v>
      </c>
      <c r="G104" s="253" t="s">
        <v>690</v>
      </c>
      <c r="H104" s="253"/>
      <c r="I104" s="254" t="s">
        <v>96</v>
      </c>
      <c r="J104" s="254"/>
      <c r="K104" s="105"/>
      <c r="L104" s="105"/>
      <c r="M104" s="48"/>
      <c r="N104" s="105"/>
      <c r="O104" s="255" t="s">
        <v>596</v>
      </c>
      <c r="P104" s="261">
        <v>5</v>
      </c>
      <c r="Q104" s="261">
        <v>0</v>
      </c>
      <c r="R104" s="261">
        <v>0</v>
      </c>
      <c r="S104" s="262" t="s">
        <v>472</v>
      </c>
      <c r="T104" s="263" t="s">
        <v>673</v>
      </c>
      <c r="U104" s="105"/>
      <c r="V104" s="259" t="s">
        <v>12</v>
      </c>
      <c r="W104" s="105" t="s">
        <v>8</v>
      </c>
      <c r="X104" s="105" t="s">
        <v>10</v>
      </c>
      <c r="Y104" s="105" t="s">
        <v>690</v>
      </c>
      <c r="Z104" s="105" t="s">
        <v>690</v>
      </c>
      <c r="AA104" s="105" t="s">
        <v>690</v>
      </c>
      <c r="AB104" s="105" t="s">
        <v>690</v>
      </c>
      <c r="AC104" s="105" t="s">
        <v>690</v>
      </c>
      <c r="AD104" s="105" t="s">
        <v>690</v>
      </c>
      <c r="AE104" s="105"/>
      <c r="AF104" s="105"/>
      <c r="AG104" s="105"/>
      <c r="AH104" s="115" t="s">
        <v>690</v>
      </c>
      <c r="AI104" s="115"/>
      <c r="AJ104" s="115"/>
      <c r="AK104" s="105"/>
      <c r="AL104" s="115"/>
      <c r="AM104" s="115"/>
      <c r="AN104" s="115"/>
      <c r="AO104" s="260">
        <f>Tabelle4[[#This Row],[Kredit-  / Budgetsumme
(RADAR: Gesamtkosten S)]]-Tabelle4[[#This Row],[Netto-Ausgaben Vorjahre ]]</f>
        <v>0</v>
      </c>
      <c r="AP104" s="310"/>
      <c r="AQ104" s="311"/>
      <c r="AR104" s="115">
        <f>Tabelle4[[#This Row],[Kreditrest per 1.1. aktuelles Jahr]]-Tabelle4[[#This Row],[Prognose 2018
(RADAR: Kosten 2018 S)]]</f>
        <v>0</v>
      </c>
      <c r="AS104" s="115"/>
      <c r="AT104" s="311"/>
      <c r="AU104" s="115"/>
      <c r="AV104" s="311"/>
      <c r="AW104" s="115"/>
      <c r="AX104" s="311"/>
      <c r="AY104" s="115"/>
      <c r="AZ104" s="311"/>
      <c r="BA104" s="115"/>
      <c r="BB104" s="311"/>
      <c r="BC104" s="115"/>
      <c r="BD104" s="311"/>
      <c r="BE104" s="115"/>
      <c r="BF104" s="311"/>
      <c r="BG104" s="115"/>
      <c r="BH104" s="311"/>
      <c r="BI104" s="115"/>
      <c r="BJ104" s="115"/>
      <c r="BK104" s="264"/>
      <c r="BL104" s="105"/>
      <c r="BM104" s="106"/>
      <c r="BN104" s="106"/>
      <c r="BO104" s="106"/>
      <c r="BP104" s="106"/>
      <c r="BQ104" s="106"/>
      <c r="BR104" s="106"/>
      <c r="BS104" s="106"/>
      <c r="BT104" s="108">
        <f>SUM(Tabelle4[[#This Row],[Projektverantwortung
(Lenkungsausschuss) ]:[Kommunikation ]])</f>
        <v>0</v>
      </c>
      <c r="BU104" s="105"/>
      <c r="BV104" s="106"/>
      <c r="BW104" s="106"/>
      <c r="BX104" s="106"/>
      <c r="BY104" s="106"/>
      <c r="BZ104" s="106"/>
      <c r="CA104" s="106"/>
      <c r="CB104" s="106"/>
      <c r="CC104" s="108">
        <f>SUM(Tabelle4[[#This Row],[Projektverantwortung
(Lenkungsausschuss)   ]:[Kommunikation   ]])</f>
        <v>0</v>
      </c>
      <c r="CD104" s="105"/>
      <c r="CE104" s="106"/>
      <c r="CF104" s="106"/>
      <c r="CG104" s="106"/>
      <c r="CH104" s="106"/>
      <c r="CI104" s="106"/>
      <c r="CJ104" s="106"/>
      <c r="CK104" s="106"/>
      <c r="CL104" s="108">
        <f>SUM(Tabelle4[[#This Row],[Projektverantwortung
(Lenkungsausschuss).]:[Kommunikation    ]])</f>
        <v>0</v>
      </c>
      <c r="CM104" s="105"/>
      <c r="CN104" s="106"/>
      <c r="CO104" s="106"/>
      <c r="CP104" s="106"/>
      <c r="CQ104" s="106"/>
      <c r="CR104" s="106"/>
      <c r="CS104" s="106"/>
      <c r="CT104" s="106"/>
      <c r="CU104" s="108">
        <f>SUM(Tabelle4[[#This Row],[Projektverantwortung
(Lenkungsausschuss)    ]:[Kommunikation     ]])</f>
        <v>0</v>
      </c>
      <c r="CV104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104" s="105"/>
      <c r="CX104" s="105"/>
      <c r="CY104" s="105"/>
      <c r="CZ104" s="105"/>
      <c r="DA104" s="105"/>
      <c r="DB104" s="105"/>
      <c r="DC104" s="105"/>
      <c r="DD104" s="105"/>
      <c r="DE104" s="107">
        <f>SUM(Tabelle4[[#This Row],[Aufwand ]],Tabelle4[[#This Row],[Aufwand 2]],Tabelle4[[#This Row],[Aufwand 3]],Tabelle4[[#This Row],[Aufwand 4]])</f>
        <v>0</v>
      </c>
      <c r="DF104" s="105"/>
      <c r="DG104" s="105"/>
      <c r="DH104" s="105"/>
      <c r="DI104" s="105"/>
      <c r="DJ104" s="105"/>
      <c r="DK104" s="105"/>
      <c r="DL104" s="105"/>
      <c r="DM104" s="105"/>
      <c r="DN104" s="107">
        <f>SUM(Tabelle4[[#This Row],[Aufwand  ]],Tabelle4[[#This Row],[Aufwand  2]],Tabelle4[[#This Row],[Aufwand  3]],Tabelle4[[#This Row],[Aufwand  4]])</f>
        <v>0</v>
      </c>
      <c r="DO104" s="105"/>
      <c r="DP104" s="105"/>
      <c r="DQ104" s="105"/>
      <c r="DR104" s="105"/>
      <c r="DS104" s="105"/>
      <c r="DT104" s="105"/>
      <c r="DU104" s="105"/>
      <c r="DV104" s="105"/>
      <c r="DW104" s="107">
        <f>SUM(Tabelle4[[#This Row],[Aufwand   ]],Tabelle4[[#This Row],[Aufwand   2]],Tabelle4[[#This Row],[Aufwand   3]],Tabelle4[[#This Row],[Aufwand   4]])</f>
        <v>0</v>
      </c>
      <c r="DX104" s="105"/>
      <c r="DY104" s="105"/>
      <c r="DZ104" s="105"/>
      <c r="EA104" s="105"/>
      <c r="EB104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104" s="122">
        <f>Tabelle4[[#This Row],[Gesamaufwand]]/2000</f>
        <v>0</v>
      </c>
      <c r="ED104" s="47"/>
      <c r="EE104" s="47"/>
      <c r="EF104" s="47"/>
      <c r="EG104" s="47"/>
      <c r="EH104" s="47"/>
      <c r="EI104" s="47"/>
      <c r="EJ104" s="47"/>
      <c r="EK104" s="47"/>
      <c r="EL104" s="47"/>
    </row>
    <row r="105" spans="1:142">
      <c r="A105" s="265" t="s">
        <v>597</v>
      </c>
      <c r="B105" s="251" t="s">
        <v>690</v>
      </c>
      <c r="C105" s="254" t="s">
        <v>690</v>
      </c>
      <c r="D105" s="251" t="s">
        <v>75</v>
      </c>
      <c r="E105" s="251" t="s">
        <v>75</v>
      </c>
      <c r="F105" s="253" t="s">
        <v>690</v>
      </c>
      <c r="G105" s="253" t="s">
        <v>690</v>
      </c>
      <c r="H105" s="253"/>
      <c r="I105" s="254" t="s">
        <v>96</v>
      </c>
      <c r="J105" s="254"/>
      <c r="K105" s="105"/>
      <c r="L105" s="105"/>
      <c r="M105" s="48"/>
      <c r="N105" s="105"/>
      <c r="O105" s="255" t="s">
        <v>598</v>
      </c>
      <c r="P105" s="261">
        <v>5</v>
      </c>
      <c r="Q105" s="261">
        <v>0</v>
      </c>
      <c r="R105" s="261">
        <v>0</v>
      </c>
      <c r="S105" s="262" t="s">
        <v>164</v>
      </c>
      <c r="T105" s="263" t="s">
        <v>673</v>
      </c>
      <c r="U105" s="105"/>
      <c r="V105" s="259" t="s">
        <v>12</v>
      </c>
      <c r="W105" s="105" t="s">
        <v>8</v>
      </c>
      <c r="X105" s="105" t="s">
        <v>10</v>
      </c>
      <c r="Y105" s="105" t="s">
        <v>690</v>
      </c>
      <c r="Z105" s="105" t="s">
        <v>690</v>
      </c>
      <c r="AA105" s="105" t="s">
        <v>690</v>
      </c>
      <c r="AB105" s="105" t="s">
        <v>690</v>
      </c>
      <c r="AC105" s="105" t="s">
        <v>690</v>
      </c>
      <c r="AD105" s="105" t="s">
        <v>690</v>
      </c>
      <c r="AE105" s="105"/>
      <c r="AF105" s="105"/>
      <c r="AG105" s="105"/>
      <c r="AH105" s="115" t="s">
        <v>690</v>
      </c>
      <c r="AI105" s="115"/>
      <c r="AJ105" s="115"/>
      <c r="AK105" s="105"/>
      <c r="AL105" s="115"/>
      <c r="AM105" s="115"/>
      <c r="AN105" s="115"/>
      <c r="AO105" s="260">
        <f>Tabelle4[[#This Row],[Kredit-  / Budgetsumme
(RADAR: Gesamtkosten S)]]-Tabelle4[[#This Row],[Netto-Ausgaben Vorjahre ]]</f>
        <v>0</v>
      </c>
      <c r="AP105" s="310"/>
      <c r="AQ105" s="311"/>
      <c r="AR105" s="115">
        <f>Tabelle4[[#This Row],[Kreditrest per 1.1. aktuelles Jahr]]-Tabelle4[[#This Row],[Prognose 2018
(RADAR: Kosten 2018 S)]]</f>
        <v>0</v>
      </c>
      <c r="AS105" s="115"/>
      <c r="AT105" s="311"/>
      <c r="AU105" s="115"/>
      <c r="AV105" s="311"/>
      <c r="AW105" s="115"/>
      <c r="AX105" s="311"/>
      <c r="AY105" s="115"/>
      <c r="AZ105" s="311"/>
      <c r="BA105" s="115"/>
      <c r="BB105" s="311"/>
      <c r="BC105" s="115"/>
      <c r="BD105" s="311"/>
      <c r="BE105" s="115"/>
      <c r="BF105" s="311"/>
      <c r="BG105" s="115"/>
      <c r="BH105" s="311"/>
      <c r="BI105" s="115"/>
      <c r="BJ105" s="115"/>
      <c r="BK105" s="264"/>
      <c r="BL105" s="105"/>
      <c r="BM105" s="106"/>
      <c r="BN105" s="106"/>
      <c r="BO105" s="106"/>
      <c r="BP105" s="106"/>
      <c r="BQ105" s="106"/>
      <c r="BR105" s="106"/>
      <c r="BS105" s="106"/>
      <c r="BT105" s="108">
        <f>SUM(Tabelle4[[#This Row],[Projektverantwortung
(Lenkungsausschuss) ]:[Kommunikation ]])</f>
        <v>0</v>
      </c>
      <c r="BU105" s="105"/>
      <c r="BV105" s="106"/>
      <c r="BW105" s="106"/>
      <c r="BX105" s="106"/>
      <c r="BY105" s="106"/>
      <c r="BZ105" s="106"/>
      <c r="CA105" s="106"/>
      <c r="CB105" s="106"/>
      <c r="CC105" s="108">
        <f>SUM(Tabelle4[[#This Row],[Projektverantwortung
(Lenkungsausschuss)   ]:[Kommunikation   ]])</f>
        <v>0</v>
      </c>
      <c r="CD105" s="105"/>
      <c r="CE105" s="106"/>
      <c r="CF105" s="106"/>
      <c r="CG105" s="106"/>
      <c r="CH105" s="106"/>
      <c r="CI105" s="106"/>
      <c r="CJ105" s="106"/>
      <c r="CK105" s="106"/>
      <c r="CL105" s="108">
        <f>SUM(Tabelle4[[#This Row],[Projektverantwortung
(Lenkungsausschuss).]:[Kommunikation    ]])</f>
        <v>0</v>
      </c>
      <c r="CM105" s="105"/>
      <c r="CN105" s="106"/>
      <c r="CO105" s="106"/>
      <c r="CP105" s="106"/>
      <c r="CQ105" s="106"/>
      <c r="CR105" s="106"/>
      <c r="CS105" s="106"/>
      <c r="CT105" s="106"/>
      <c r="CU105" s="108">
        <f>SUM(Tabelle4[[#This Row],[Projektverantwortung
(Lenkungsausschuss)    ]:[Kommunikation     ]])</f>
        <v>0</v>
      </c>
      <c r="CV105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105" s="105"/>
      <c r="CX105" s="105"/>
      <c r="CY105" s="105"/>
      <c r="CZ105" s="105"/>
      <c r="DA105" s="105"/>
      <c r="DB105" s="105"/>
      <c r="DC105" s="105"/>
      <c r="DD105" s="105"/>
      <c r="DE105" s="107">
        <f>SUM(Tabelle4[[#This Row],[Aufwand ]],Tabelle4[[#This Row],[Aufwand 2]],Tabelle4[[#This Row],[Aufwand 3]],Tabelle4[[#This Row],[Aufwand 4]])</f>
        <v>0</v>
      </c>
      <c r="DF105" s="105"/>
      <c r="DG105" s="105"/>
      <c r="DH105" s="105"/>
      <c r="DI105" s="105"/>
      <c r="DJ105" s="105"/>
      <c r="DK105" s="105"/>
      <c r="DL105" s="105"/>
      <c r="DM105" s="105"/>
      <c r="DN105" s="107">
        <f>SUM(Tabelle4[[#This Row],[Aufwand  ]],Tabelle4[[#This Row],[Aufwand  2]],Tabelle4[[#This Row],[Aufwand  3]],Tabelle4[[#This Row],[Aufwand  4]])</f>
        <v>0</v>
      </c>
      <c r="DO105" s="105"/>
      <c r="DP105" s="105"/>
      <c r="DQ105" s="105"/>
      <c r="DR105" s="105"/>
      <c r="DS105" s="105"/>
      <c r="DT105" s="105"/>
      <c r="DU105" s="105"/>
      <c r="DV105" s="105"/>
      <c r="DW105" s="107">
        <f>SUM(Tabelle4[[#This Row],[Aufwand   ]],Tabelle4[[#This Row],[Aufwand   2]],Tabelle4[[#This Row],[Aufwand   3]],Tabelle4[[#This Row],[Aufwand   4]])</f>
        <v>0</v>
      </c>
      <c r="DX105" s="105"/>
      <c r="DY105" s="105"/>
      <c r="DZ105" s="105"/>
      <c r="EA105" s="105"/>
      <c r="EB105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105" s="122">
        <f>Tabelle4[[#This Row],[Gesamaufwand]]/2000</f>
        <v>0</v>
      </c>
      <c r="ED105" s="47"/>
      <c r="EE105" s="47"/>
      <c r="EF105" s="47"/>
      <c r="EG105" s="47"/>
      <c r="EH105" s="47"/>
      <c r="EI105" s="47"/>
      <c r="EJ105" s="47"/>
      <c r="EK105" s="47"/>
      <c r="EL105" s="47"/>
    </row>
    <row r="106" spans="1:142">
      <c r="A106" s="265" t="s">
        <v>910</v>
      </c>
      <c r="B106" s="251" t="s">
        <v>1331</v>
      </c>
      <c r="C106" s="254" t="s">
        <v>690</v>
      </c>
      <c r="D106" s="251" t="s">
        <v>75</v>
      </c>
      <c r="E106" s="251" t="s">
        <v>75</v>
      </c>
      <c r="F106" s="253">
        <v>1</v>
      </c>
      <c r="G106" s="253">
        <v>2</v>
      </c>
      <c r="H106" s="253"/>
      <c r="I106" s="254" t="s">
        <v>95</v>
      </c>
      <c r="J106" s="254"/>
      <c r="K106" s="105"/>
      <c r="L106" s="105"/>
      <c r="M106" s="48"/>
      <c r="N106" s="105"/>
      <c r="O106" s="255" t="s">
        <v>145</v>
      </c>
      <c r="P106" s="261">
        <v>3</v>
      </c>
      <c r="Q106" s="261">
        <v>0</v>
      </c>
      <c r="R106" s="261">
        <v>0</v>
      </c>
      <c r="S106" s="262" t="s">
        <v>146</v>
      </c>
      <c r="T106" s="263" t="s">
        <v>673</v>
      </c>
      <c r="U106" s="105"/>
      <c r="V106" s="259" t="s">
        <v>12</v>
      </c>
      <c r="W106" s="105" t="s">
        <v>656</v>
      </c>
      <c r="X106" s="105" t="s">
        <v>11</v>
      </c>
      <c r="Y106" s="105" t="s">
        <v>22</v>
      </c>
      <c r="Z106" s="105" t="s">
        <v>86</v>
      </c>
      <c r="AA106" s="105" t="s">
        <v>690</v>
      </c>
      <c r="AB106" s="105" t="s">
        <v>690</v>
      </c>
      <c r="AC106" s="105" t="s">
        <v>690</v>
      </c>
      <c r="AD106" s="105" t="s">
        <v>690</v>
      </c>
      <c r="AE106" s="105"/>
      <c r="AF106" s="105"/>
      <c r="AG106" s="105"/>
      <c r="AH106" s="115" t="s">
        <v>690</v>
      </c>
      <c r="AI106" s="115"/>
      <c r="AJ106" s="115"/>
      <c r="AK106" s="105"/>
      <c r="AL106" s="115"/>
      <c r="AM106" s="115"/>
      <c r="AN106" s="115"/>
      <c r="AO106" s="260">
        <f>Tabelle4[[#This Row],[Kredit-  / Budgetsumme
(RADAR: Gesamtkosten S)]]-Tabelle4[[#This Row],[Netto-Ausgaben Vorjahre ]]</f>
        <v>0</v>
      </c>
      <c r="AP106" s="310"/>
      <c r="AQ106" s="311"/>
      <c r="AR106" s="115">
        <f>Tabelle4[[#This Row],[Kreditrest per 1.1. aktuelles Jahr]]-Tabelle4[[#This Row],[Prognose 2018
(RADAR: Kosten 2018 S)]]</f>
        <v>0</v>
      </c>
      <c r="AS106" s="115"/>
      <c r="AT106" s="311"/>
      <c r="AU106" s="115"/>
      <c r="AV106" s="311"/>
      <c r="AW106" s="115"/>
      <c r="AX106" s="311"/>
      <c r="AY106" s="115"/>
      <c r="AZ106" s="311"/>
      <c r="BA106" s="115"/>
      <c r="BB106" s="311"/>
      <c r="BC106" s="115"/>
      <c r="BD106" s="311"/>
      <c r="BE106" s="115"/>
      <c r="BF106" s="311"/>
      <c r="BG106" s="115"/>
      <c r="BH106" s="311"/>
      <c r="BI106" s="115"/>
      <c r="BJ106" s="115"/>
      <c r="BK106" s="264"/>
      <c r="BL106" s="105"/>
      <c r="BM106" s="106">
        <v>0</v>
      </c>
      <c r="BN106" s="106">
        <v>80</v>
      </c>
      <c r="BO106" s="106">
        <v>80</v>
      </c>
      <c r="BP106" s="106"/>
      <c r="BQ106" s="106"/>
      <c r="BR106" s="106"/>
      <c r="BS106" s="106"/>
      <c r="BT106" s="108">
        <f>SUM(Tabelle4[[#This Row],[Projektverantwortung
(Lenkungsausschuss) ]:[Kommunikation ]])</f>
        <v>160</v>
      </c>
      <c r="BU106" s="105"/>
      <c r="BV106" s="106">
        <v>0</v>
      </c>
      <c r="BW106" s="106">
        <v>80</v>
      </c>
      <c r="BX106" s="106">
        <v>80</v>
      </c>
      <c r="BY106" s="106"/>
      <c r="BZ106" s="106"/>
      <c r="CA106" s="106"/>
      <c r="CB106" s="106"/>
      <c r="CC106" s="108">
        <f>SUM(Tabelle4[[#This Row],[Projektverantwortung
(Lenkungsausschuss)   ]:[Kommunikation   ]])</f>
        <v>160</v>
      </c>
      <c r="CD106" s="105"/>
      <c r="CE106" s="106">
        <v>0</v>
      </c>
      <c r="CF106" s="106">
        <v>80</v>
      </c>
      <c r="CG106" s="106">
        <v>80</v>
      </c>
      <c r="CH106" s="106"/>
      <c r="CI106" s="106"/>
      <c r="CJ106" s="106"/>
      <c r="CK106" s="106"/>
      <c r="CL106" s="108">
        <f>SUM(Tabelle4[[#This Row],[Projektverantwortung
(Lenkungsausschuss).]:[Kommunikation    ]])</f>
        <v>160</v>
      </c>
      <c r="CM106" s="105"/>
      <c r="CN106" s="106">
        <v>0</v>
      </c>
      <c r="CO106" s="106">
        <v>80</v>
      </c>
      <c r="CP106" s="106">
        <v>80</v>
      </c>
      <c r="CQ106" s="106"/>
      <c r="CR106" s="106"/>
      <c r="CS106" s="106"/>
      <c r="CT106" s="106"/>
      <c r="CU106" s="108">
        <f>SUM(Tabelle4[[#This Row],[Projektverantwortung
(Lenkungsausschuss)    ]:[Kommunikation     ]])</f>
        <v>160</v>
      </c>
      <c r="CV106" s="107">
        <f>SUM(Tabelle4[[#This Row],[Total Aufwand
1. Quartal 2018]],Tabelle4[[#This Row],[Total Aufwand
2. Quartal 2018]],Tabelle4[[#This Row],[Total Aufwand
3. Quartal 2018]],Tabelle4[[#This Row],[Total Aufwand
4. Quartal 2018]])</f>
        <v>640</v>
      </c>
      <c r="CW106" s="105"/>
      <c r="CX106" s="105"/>
      <c r="CY106" s="105"/>
      <c r="CZ106" s="105"/>
      <c r="DA106" s="105"/>
      <c r="DB106" s="105"/>
      <c r="DC106" s="105"/>
      <c r="DD106" s="105"/>
      <c r="DE106" s="107">
        <f>SUM(Tabelle4[[#This Row],[Aufwand ]],Tabelle4[[#This Row],[Aufwand 2]],Tabelle4[[#This Row],[Aufwand 3]],Tabelle4[[#This Row],[Aufwand 4]])</f>
        <v>0</v>
      </c>
      <c r="DF106" s="105"/>
      <c r="DG106" s="105"/>
      <c r="DH106" s="105"/>
      <c r="DI106" s="105"/>
      <c r="DJ106" s="105"/>
      <c r="DK106" s="105"/>
      <c r="DL106" s="105"/>
      <c r="DM106" s="105"/>
      <c r="DN106" s="107">
        <f>SUM(Tabelle4[[#This Row],[Aufwand  ]],Tabelle4[[#This Row],[Aufwand  2]],Tabelle4[[#This Row],[Aufwand  3]],Tabelle4[[#This Row],[Aufwand  4]])</f>
        <v>0</v>
      </c>
      <c r="DO106" s="105"/>
      <c r="DP106" s="105"/>
      <c r="DQ106" s="105"/>
      <c r="DR106" s="105"/>
      <c r="DS106" s="105"/>
      <c r="DT106" s="105"/>
      <c r="DU106" s="105"/>
      <c r="DV106" s="105"/>
      <c r="DW106" s="107">
        <f>SUM(Tabelle4[[#This Row],[Aufwand   ]],Tabelle4[[#This Row],[Aufwand   2]],Tabelle4[[#This Row],[Aufwand   3]],Tabelle4[[#This Row],[Aufwand   4]])</f>
        <v>0</v>
      </c>
      <c r="DX106" s="105"/>
      <c r="DY106" s="105"/>
      <c r="DZ106" s="105"/>
      <c r="EA106" s="105"/>
      <c r="EB106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640</v>
      </c>
      <c r="EC106" s="122">
        <f>Tabelle4[[#This Row],[Gesamaufwand]]/2000</f>
        <v>0.32</v>
      </c>
      <c r="ED106" s="47"/>
      <c r="EE106" s="47"/>
      <c r="EF106" s="47"/>
      <c r="EG106" s="47"/>
      <c r="EH106" s="47"/>
      <c r="EI106" s="47"/>
      <c r="EJ106" s="47"/>
      <c r="EK106" s="47"/>
      <c r="EL106" s="47"/>
    </row>
    <row r="107" spans="1:142">
      <c r="A107" s="255" t="s">
        <v>481</v>
      </c>
      <c r="B107" s="251" t="s">
        <v>105</v>
      </c>
      <c r="C107" s="254" t="s">
        <v>68</v>
      </c>
      <c r="D107" s="251" t="s">
        <v>913</v>
      </c>
      <c r="E107" s="251" t="s">
        <v>97</v>
      </c>
      <c r="F107" s="253">
        <v>3</v>
      </c>
      <c r="G107" s="253">
        <v>1</v>
      </c>
      <c r="H107" s="253"/>
      <c r="I107" s="254" t="s">
        <v>95</v>
      </c>
      <c r="J107" s="254"/>
      <c r="K107" s="105"/>
      <c r="L107" s="105"/>
      <c r="M107" s="48"/>
      <c r="N107" s="105"/>
      <c r="O107" s="255" t="s">
        <v>482</v>
      </c>
      <c r="P107" s="261">
        <v>2</v>
      </c>
      <c r="Q107" s="261">
        <v>0</v>
      </c>
      <c r="R107" s="261">
        <v>0</v>
      </c>
      <c r="S107" s="262" t="s">
        <v>483</v>
      </c>
      <c r="T107" s="263" t="s">
        <v>673</v>
      </c>
      <c r="U107" s="105"/>
      <c r="V107" s="259" t="s">
        <v>610</v>
      </c>
      <c r="W107" s="105" t="s">
        <v>6</v>
      </c>
      <c r="X107" s="105" t="s">
        <v>11</v>
      </c>
      <c r="Y107" s="105" t="s">
        <v>690</v>
      </c>
      <c r="Z107" s="105" t="s">
        <v>86</v>
      </c>
      <c r="AA107" s="105" t="s">
        <v>690</v>
      </c>
      <c r="AB107" s="105" t="s">
        <v>690</v>
      </c>
      <c r="AC107" s="105" t="s">
        <v>83</v>
      </c>
      <c r="AD107" s="105" t="s">
        <v>690</v>
      </c>
      <c r="AE107" s="105"/>
      <c r="AF107" s="105"/>
      <c r="AG107" s="105"/>
      <c r="AH107" s="115" t="s">
        <v>621</v>
      </c>
      <c r="AI107" s="115"/>
      <c r="AJ107" s="115"/>
      <c r="AK107" s="105"/>
      <c r="AL107" s="115"/>
      <c r="AM107" s="115"/>
      <c r="AN107" s="115"/>
      <c r="AO107" s="260">
        <f>Tabelle4[[#This Row],[Kredit-  / Budgetsumme
(RADAR: Gesamtkosten S)]]-Tabelle4[[#This Row],[Netto-Ausgaben Vorjahre ]]</f>
        <v>0</v>
      </c>
      <c r="AP107" s="310"/>
      <c r="AQ107" s="311"/>
      <c r="AR107" s="115">
        <f>Tabelle4[[#This Row],[Kreditrest per 1.1. aktuelles Jahr]]-Tabelle4[[#This Row],[Prognose 2018
(RADAR: Kosten 2018 S)]]</f>
        <v>0</v>
      </c>
      <c r="AS107" s="115"/>
      <c r="AT107" s="311"/>
      <c r="AU107" s="115"/>
      <c r="AV107" s="311"/>
      <c r="AW107" s="115"/>
      <c r="AX107" s="311"/>
      <c r="AY107" s="115"/>
      <c r="AZ107" s="311"/>
      <c r="BA107" s="115"/>
      <c r="BB107" s="311"/>
      <c r="BC107" s="115"/>
      <c r="BD107" s="311"/>
      <c r="BE107" s="115"/>
      <c r="BF107" s="311"/>
      <c r="BG107" s="115"/>
      <c r="BH107" s="311"/>
      <c r="BI107" s="115"/>
      <c r="BJ107" s="115"/>
      <c r="BK107" s="264"/>
      <c r="BL107" s="105"/>
      <c r="BM107" s="106">
        <v>0</v>
      </c>
      <c r="BN107" s="106"/>
      <c r="BO107" s="106">
        <v>80</v>
      </c>
      <c r="BP107" s="106"/>
      <c r="BQ107" s="106"/>
      <c r="BR107" s="106">
        <v>80</v>
      </c>
      <c r="BS107" s="106"/>
      <c r="BT107" s="108">
        <f>SUM(Tabelle4[[#This Row],[Projektverantwortung
(Lenkungsausschuss) ]:[Kommunikation ]])</f>
        <v>160</v>
      </c>
      <c r="BU107" s="105"/>
      <c r="BV107" s="106">
        <v>0</v>
      </c>
      <c r="BW107" s="106"/>
      <c r="BX107" s="106">
        <v>20</v>
      </c>
      <c r="BY107" s="106"/>
      <c r="BZ107" s="106"/>
      <c r="CA107" s="106">
        <v>20</v>
      </c>
      <c r="CB107" s="106"/>
      <c r="CC107" s="108">
        <f>SUM(Tabelle4[[#This Row],[Projektverantwortung
(Lenkungsausschuss)   ]:[Kommunikation   ]])</f>
        <v>40</v>
      </c>
      <c r="CD107" s="105"/>
      <c r="CE107" s="106">
        <v>0</v>
      </c>
      <c r="CF107" s="106">
        <v>0</v>
      </c>
      <c r="CG107" s="106">
        <v>20</v>
      </c>
      <c r="CH107" s="106">
        <v>0</v>
      </c>
      <c r="CI107" s="106">
        <v>0</v>
      </c>
      <c r="CJ107" s="106">
        <v>0</v>
      </c>
      <c r="CK107" s="106">
        <v>0</v>
      </c>
      <c r="CL107" s="108">
        <f>SUM(Tabelle4[[#This Row],[Projektverantwortung
(Lenkungsausschuss).]:[Kommunikation    ]])</f>
        <v>20</v>
      </c>
      <c r="CM107" s="105"/>
      <c r="CN107" s="106">
        <v>0</v>
      </c>
      <c r="CO107" s="106">
        <v>0</v>
      </c>
      <c r="CP107" s="106">
        <v>20</v>
      </c>
      <c r="CQ107" s="106">
        <v>0</v>
      </c>
      <c r="CR107" s="106">
        <v>0</v>
      </c>
      <c r="CS107" s="106">
        <v>0</v>
      </c>
      <c r="CT107" s="106">
        <v>0</v>
      </c>
      <c r="CU107" s="108">
        <f>SUM(Tabelle4[[#This Row],[Projektverantwortung
(Lenkungsausschuss)    ]:[Kommunikation     ]])</f>
        <v>20</v>
      </c>
      <c r="CV107" s="107">
        <f>SUM(Tabelle4[[#This Row],[Total Aufwand
1. Quartal 2018]],Tabelle4[[#This Row],[Total Aufwand
2. Quartal 2018]],Tabelle4[[#This Row],[Total Aufwand
3. Quartal 2018]],Tabelle4[[#This Row],[Total Aufwand
4. Quartal 2018]])</f>
        <v>240</v>
      </c>
      <c r="CW107" s="105"/>
      <c r="CX107" s="105"/>
      <c r="CY107" s="105"/>
      <c r="CZ107" s="105"/>
      <c r="DA107" s="105"/>
      <c r="DB107" s="105"/>
      <c r="DC107" s="105"/>
      <c r="DD107" s="105"/>
      <c r="DE107" s="107">
        <f>SUM(Tabelle4[[#This Row],[Aufwand ]],Tabelle4[[#This Row],[Aufwand 2]],Tabelle4[[#This Row],[Aufwand 3]],Tabelle4[[#This Row],[Aufwand 4]])</f>
        <v>0</v>
      </c>
      <c r="DF107" s="105"/>
      <c r="DG107" s="105"/>
      <c r="DH107" s="105"/>
      <c r="DI107" s="105"/>
      <c r="DJ107" s="105"/>
      <c r="DK107" s="105"/>
      <c r="DL107" s="105"/>
      <c r="DM107" s="105"/>
      <c r="DN107" s="107">
        <f>SUM(Tabelle4[[#This Row],[Aufwand  ]],Tabelle4[[#This Row],[Aufwand  2]],Tabelle4[[#This Row],[Aufwand  3]],Tabelle4[[#This Row],[Aufwand  4]])</f>
        <v>0</v>
      </c>
      <c r="DO107" s="105"/>
      <c r="DP107" s="105"/>
      <c r="DQ107" s="105"/>
      <c r="DR107" s="105"/>
      <c r="DS107" s="105"/>
      <c r="DT107" s="105"/>
      <c r="DU107" s="105"/>
      <c r="DV107" s="105"/>
      <c r="DW107" s="107">
        <f>SUM(Tabelle4[[#This Row],[Aufwand   ]],Tabelle4[[#This Row],[Aufwand   2]],Tabelle4[[#This Row],[Aufwand   3]],Tabelle4[[#This Row],[Aufwand   4]])</f>
        <v>0</v>
      </c>
      <c r="DX107" s="105"/>
      <c r="DY107" s="105"/>
      <c r="DZ107" s="105"/>
      <c r="EA107" s="105"/>
      <c r="EB107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240</v>
      </c>
      <c r="EC107" s="122">
        <f>Tabelle4[[#This Row],[Gesamaufwand]]/2000</f>
        <v>0.12</v>
      </c>
      <c r="ED107" s="47"/>
      <c r="EE107" s="47"/>
      <c r="EF107" s="47"/>
      <c r="EG107" s="47"/>
      <c r="EH107" s="47"/>
      <c r="EI107" s="47"/>
      <c r="EJ107" s="47"/>
      <c r="EK107" s="47"/>
      <c r="EL107" s="47"/>
    </row>
    <row r="108" spans="1:142">
      <c r="A108" s="255" t="s">
        <v>484</v>
      </c>
      <c r="B108" s="251" t="s">
        <v>105</v>
      </c>
      <c r="C108" s="254" t="s">
        <v>68</v>
      </c>
      <c r="D108" s="251" t="s">
        <v>913</v>
      </c>
      <c r="E108" s="251" t="s">
        <v>695</v>
      </c>
      <c r="F108" s="253">
        <v>3</v>
      </c>
      <c r="G108" s="253">
        <v>3</v>
      </c>
      <c r="H108" s="253"/>
      <c r="I108" s="254" t="s">
        <v>95</v>
      </c>
      <c r="J108" s="254"/>
      <c r="K108" s="105"/>
      <c r="L108" s="105"/>
      <c r="M108" s="48"/>
      <c r="N108" s="105"/>
      <c r="O108" s="255" t="s">
        <v>485</v>
      </c>
      <c r="P108" s="261">
        <v>2</v>
      </c>
      <c r="Q108" s="261">
        <v>0</v>
      </c>
      <c r="R108" s="261">
        <v>0</v>
      </c>
      <c r="S108" s="262" t="s">
        <v>486</v>
      </c>
      <c r="T108" s="263" t="s">
        <v>660</v>
      </c>
      <c r="U108" s="105"/>
      <c r="V108" s="259" t="s">
        <v>607</v>
      </c>
      <c r="W108" s="105" t="s">
        <v>6</v>
      </c>
      <c r="X108" s="105" t="s">
        <v>86</v>
      </c>
      <c r="Y108" s="105" t="s">
        <v>690</v>
      </c>
      <c r="Z108" s="105" t="s">
        <v>86</v>
      </c>
      <c r="AA108" s="105" t="s">
        <v>639</v>
      </c>
      <c r="AB108" s="105" t="s">
        <v>639</v>
      </c>
      <c r="AC108" s="105" t="s">
        <v>639</v>
      </c>
      <c r="AD108" s="105" t="s">
        <v>639</v>
      </c>
      <c r="AE108" s="105"/>
      <c r="AF108" s="105"/>
      <c r="AG108" s="105"/>
      <c r="AH108" s="115" t="s">
        <v>621</v>
      </c>
      <c r="AI108" s="115"/>
      <c r="AJ108" s="115"/>
      <c r="AK108" s="105"/>
      <c r="AL108" s="115"/>
      <c r="AM108" s="115"/>
      <c r="AN108" s="115"/>
      <c r="AO108" s="260">
        <f>Tabelle4[[#This Row],[Kredit-  / Budgetsumme
(RADAR: Gesamtkosten S)]]-Tabelle4[[#This Row],[Netto-Ausgaben Vorjahre ]]</f>
        <v>0</v>
      </c>
      <c r="AP108" s="310"/>
      <c r="AQ108" s="311"/>
      <c r="AR108" s="115">
        <f>Tabelle4[[#This Row],[Kreditrest per 1.1. aktuelles Jahr]]-Tabelle4[[#This Row],[Prognose 2018
(RADAR: Kosten 2018 S)]]</f>
        <v>0</v>
      </c>
      <c r="AS108" s="115"/>
      <c r="AT108" s="311"/>
      <c r="AU108" s="115"/>
      <c r="AV108" s="311"/>
      <c r="AW108" s="115"/>
      <c r="AX108" s="311"/>
      <c r="AY108" s="115"/>
      <c r="AZ108" s="311"/>
      <c r="BA108" s="115"/>
      <c r="BB108" s="311"/>
      <c r="BC108" s="115"/>
      <c r="BD108" s="311"/>
      <c r="BE108" s="115"/>
      <c r="BF108" s="311"/>
      <c r="BG108" s="115"/>
      <c r="BH108" s="311"/>
      <c r="BI108" s="115"/>
      <c r="BJ108" s="115"/>
      <c r="BK108" s="264"/>
      <c r="BL108" s="105"/>
      <c r="BM108" s="106">
        <v>0</v>
      </c>
      <c r="BN108" s="106"/>
      <c r="BO108" s="106">
        <v>40</v>
      </c>
      <c r="BP108" s="106"/>
      <c r="BQ108" s="106"/>
      <c r="BR108" s="106"/>
      <c r="BS108" s="106"/>
      <c r="BT108" s="108">
        <f>SUM(Tabelle4[[#This Row],[Projektverantwortung
(Lenkungsausschuss) ]:[Kommunikation ]])</f>
        <v>40</v>
      </c>
      <c r="BU108" s="105"/>
      <c r="BV108" s="106">
        <v>0</v>
      </c>
      <c r="BW108" s="106"/>
      <c r="BX108" s="106">
        <v>20</v>
      </c>
      <c r="BY108" s="106"/>
      <c r="BZ108" s="106"/>
      <c r="CA108" s="106"/>
      <c r="CB108" s="106"/>
      <c r="CC108" s="108">
        <f>SUM(Tabelle4[[#This Row],[Projektverantwortung
(Lenkungsausschuss)   ]:[Kommunikation   ]])</f>
        <v>20</v>
      </c>
      <c r="CD108" s="105"/>
      <c r="CE108" s="106">
        <v>0</v>
      </c>
      <c r="CF108" s="106"/>
      <c r="CG108" s="106">
        <v>20</v>
      </c>
      <c r="CH108" s="106"/>
      <c r="CI108" s="106"/>
      <c r="CJ108" s="106"/>
      <c r="CK108" s="106"/>
      <c r="CL108" s="108">
        <f>SUM(Tabelle4[[#This Row],[Projektverantwortung
(Lenkungsausschuss).]:[Kommunikation    ]])</f>
        <v>20</v>
      </c>
      <c r="CM108" s="105"/>
      <c r="CN108" s="106">
        <v>0</v>
      </c>
      <c r="CO108" s="106"/>
      <c r="CP108" s="106">
        <v>40</v>
      </c>
      <c r="CQ108" s="106"/>
      <c r="CR108" s="106"/>
      <c r="CS108" s="106"/>
      <c r="CT108" s="106"/>
      <c r="CU108" s="108">
        <f>SUM(Tabelle4[[#This Row],[Projektverantwortung
(Lenkungsausschuss)    ]:[Kommunikation     ]])</f>
        <v>40</v>
      </c>
      <c r="CV108" s="107">
        <f>SUM(Tabelle4[[#This Row],[Total Aufwand
1. Quartal 2018]],Tabelle4[[#This Row],[Total Aufwand
2. Quartal 2018]],Tabelle4[[#This Row],[Total Aufwand
3. Quartal 2018]],Tabelle4[[#This Row],[Total Aufwand
4. Quartal 2018]])</f>
        <v>120</v>
      </c>
      <c r="CW108" s="105"/>
      <c r="CX108" s="105"/>
      <c r="CY108" s="105"/>
      <c r="CZ108" s="105"/>
      <c r="DA108" s="105"/>
      <c r="DB108" s="105"/>
      <c r="DC108" s="105"/>
      <c r="DD108" s="105"/>
      <c r="DE108" s="107">
        <f>SUM(Tabelle4[[#This Row],[Aufwand ]],Tabelle4[[#This Row],[Aufwand 2]],Tabelle4[[#This Row],[Aufwand 3]],Tabelle4[[#This Row],[Aufwand 4]])</f>
        <v>0</v>
      </c>
      <c r="DF108" s="105"/>
      <c r="DG108" s="105"/>
      <c r="DH108" s="105"/>
      <c r="DI108" s="105"/>
      <c r="DJ108" s="105"/>
      <c r="DK108" s="105"/>
      <c r="DL108" s="105"/>
      <c r="DM108" s="105"/>
      <c r="DN108" s="107">
        <f>SUM(Tabelle4[[#This Row],[Aufwand  ]],Tabelle4[[#This Row],[Aufwand  2]],Tabelle4[[#This Row],[Aufwand  3]],Tabelle4[[#This Row],[Aufwand  4]])</f>
        <v>0</v>
      </c>
      <c r="DO108" s="105"/>
      <c r="DP108" s="105"/>
      <c r="DQ108" s="105"/>
      <c r="DR108" s="105"/>
      <c r="DS108" s="105"/>
      <c r="DT108" s="105"/>
      <c r="DU108" s="105"/>
      <c r="DV108" s="105"/>
      <c r="DW108" s="107">
        <f>SUM(Tabelle4[[#This Row],[Aufwand   ]],Tabelle4[[#This Row],[Aufwand   2]],Tabelle4[[#This Row],[Aufwand   3]],Tabelle4[[#This Row],[Aufwand   4]])</f>
        <v>0</v>
      </c>
      <c r="DX108" s="105"/>
      <c r="DY108" s="105"/>
      <c r="DZ108" s="105"/>
      <c r="EA108" s="105"/>
      <c r="EB108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120</v>
      </c>
      <c r="EC108" s="122">
        <f>Tabelle4[[#This Row],[Gesamaufwand]]/2000</f>
        <v>0.06</v>
      </c>
      <c r="ED108" s="48"/>
      <c r="EE108" s="48"/>
      <c r="EF108" s="48"/>
      <c r="EG108" s="48"/>
      <c r="EH108" s="48"/>
      <c r="EI108" s="47"/>
      <c r="EJ108" s="47"/>
      <c r="EK108" s="47"/>
      <c r="EL108" s="47"/>
    </row>
    <row r="109" spans="1:142">
      <c r="A109" s="255" t="s">
        <v>291</v>
      </c>
      <c r="B109" s="251" t="s">
        <v>106</v>
      </c>
      <c r="C109" s="254" t="s">
        <v>690</v>
      </c>
      <c r="D109" s="251" t="s">
        <v>780</v>
      </c>
      <c r="E109" s="251" t="s">
        <v>779</v>
      </c>
      <c r="F109" s="253" t="s">
        <v>690</v>
      </c>
      <c r="G109" s="253" t="s">
        <v>690</v>
      </c>
      <c r="H109" s="253"/>
      <c r="I109" s="254" t="s">
        <v>96</v>
      </c>
      <c r="J109" s="254"/>
      <c r="K109" s="105"/>
      <c r="L109" s="105"/>
      <c r="M109" s="48"/>
      <c r="N109" s="105"/>
      <c r="O109" s="255" t="s">
        <v>292</v>
      </c>
      <c r="P109" s="261">
        <v>1</v>
      </c>
      <c r="Q109" s="261">
        <v>0</v>
      </c>
      <c r="R109" s="261">
        <v>0</v>
      </c>
      <c r="S109" s="262" t="s">
        <v>293</v>
      </c>
      <c r="T109" s="263" t="s">
        <v>106</v>
      </c>
      <c r="U109" s="105"/>
      <c r="V109" s="259" t="s">
        <v>12</v>
      </c>
      <c r="W109" s="105" t="s">
        <v>690</v>
      </c>
      <c r="X109" s="105" t="s">
        <v>690</v>
      </c>
      <c r="Y109" s="105" t="s">
        <v>690</v>
      </c>
      <c r="Z109" s="105" t="s">
        <v>86</v>
      </c>
      <c r="AA109" s="105" t="s">
        <v>690</v>
      </c>
      <c r="AB109" s="105" t="s">
        <v>690</v>
      </c>
      <c r="AC109" s="105" t="s">
        <v>690</v>
      </c>
      <c r="AD109" s="105" t="s">
        <v>690</v>
      </c>
      <c r="AE109" s="105"/>
      <c r="AF109" s="105"/>
      <c r="AG109" s="105"/>
      <c r="AH109" s="115" t="s">
        <v>690</v>
      </c>
      <c r="AI109" s="115"/>
      <c r="AJ109" s="115"/>
      <c r="AK109" s="105"/>
      <c r="AL109" s="115"/>
      <c r="AM109" s="115"/>
      <c r="AN109" s="115"/>
      <c r="AO109" s="260">
        <f>Tabelle4[[#This Row],[Kredit-  / Budgetsumme
(RADAR: Gesamtkosten S)]]-Tabelle4[[#This Row],[Netto-Ausgaben Vorjahre ]]</f>
        <v>0</v>
      </c>
      <c r="AP109" s="310"/>
      <c r="AQ109" s="311"/>
      <c r="AR109" s="115">
        <f>Tabelle4[[#This Row],[Kreditrest per 1.1. aktuelles Jahr]]-Tabelle4[[#This Row],[Prognose 2018
(RADAR: Kosten 2018 S)]]</f>
        <v>0</v>
      </c>
      <c r="AS109" s="115"/>
      <c r="AT109" s="311"/>
      <c r="AU109" s="115"/>
      <c r="AV109" s="311"/>
      <c r="AW109" s="115"/>
      <c r="AX109" s="311"/>
      <c r="AY109" s="115"/>
      <c r="AZ109" s="311"/>
      <c r="BA109" s="115"/>
      <c r="BB109" s="311"/>
      <c r="BC109" s="115"/>
      <c r="BD109" s="311"/>
      <c r="BE109" s="115"/>
      <c r="BF109" s="311"/>
      <c r="BG109" s="115"/>
      <c r="BH109" s="311"/>
      <c r="BI109" s="115"/>
      <c r="BJ109" s="115"/>
      <c r="BK109" s="264"/>
      <c r="BL109" s="105"/>
      <c r="BM109" s="106">
        <v>0</v>
      </c>
      <c r="BN109" s="106">
        <v>0</v>
      </c>
      <c r="BO109" s="106">
        <v>0</v>
      </c>
      <c r="BP109" s="106">
        <v>0</v>
      </c>
      <c r="BQ109" s="106">
        <v>0</v>
      </c>
      <c r="BR109" s="106">
        <v>0</v>
      </c>
      <c r="BS109" s="106">
        <v>0</v>
      </c>
      <c r="BT109" s="108">
        <f>SUM(Tabelle4[[#This Row],[Projektverantwortung
(Lenkungsausschuss) ]:[Kommunikation ]])</f>
        <v>0</v>
      </c>
      <c r="BU109" s="105"/>
      <c r="BV109" s="106">
        <v>0</v>
      </c>
      <c r="BW109" s="106">
        <v>0</v>
      </c>
      <c r="BX109" s="106">
        <v>0</v>
      </c>
      <c r="BY109" s="106">
        <v>0</v>
      </c>
      <c r="BZ109" s="106">
        <v>0</v>
      </c>
      <c r="CA109" s="106">
        <v>0</v>
      </c>
      <c r="CB109" s="106">
        <v>0</v>
      </c>
      <c r="CC109" s="108">
        <f>SUM(Tabelle4[[#This Row],[Projektverantwortung
(Lenkungsausschuss)   ]:[Kommunikation   ]])</f>
        <v>0</v>
      </c>
      <c r="CD109" s="105"/>
      <c r="CE109" s="106">
        <v>0</v>
      </c>
      <c r="CF109" s="106">
        <v>0</v>
      </c>
      <c r="CG109" s="106">
        <v>0</v>
      </c>
      <c r="CH109" s="106">
        <v>0</v>
      </c>
      <c r="CI109" s="106">
        <v>0</v>
      </c>
      <c r="CJ109" s="106">
        <v>0</v>
      </c>
      <c r="CK109" s="106">
        <v>0</v>
      </c>
      <c r="CL109" s="108">
        <f>SUM(Tabelle4[[#This Row],[Projektverantwortung
(Lenkungsausschuss).]:[Kommunikation    ]])</f>
        <v>0</v>
      </c>
      <c r="CM109" s="105"/>
      <c r="CN109" s="106">
        <v>0</v>
      </c>
      <c r="CO109" s="106">
        <v>0</v>
      </c>
      <c r="CP109" s="106">
        <v>0</v>
      </c>
      <c r="CQ109" s="106">
        <v>0</v>
      </c>
      <c r="CR109" s="106">
        <v>0</v>
      </c>
      <c r="CS109" s="106">
        <v>0</v>
      </c>
      <c r="CT109" s="106">
        <v>0</v>
      </c>
      <c r="CU109" s="108">
        <f>SUM(Tabelle4[[#This Row],[Projektverantwortung
(Lenkungsausschuss)    ]:[Kommunikation     ]])</f>
        <v>0</v>
      </c>
      <c r="CV109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109" s="105"/>
      <c r="CX109" s="105"/>
      <c r="CY109" s="105"/>
      <c r="CZ109" s="105"/>
      <c r="DA109" s="105"/>
      <c r="DB109" s="105"/>
      <c r="DC109" s="105"/>
      <c r="DD109" s="105"/>
      <c r="DE109" s="107">
        <f>SUM(Tabelle4[[#This Row],[Aufwand ]],Tabelle4[[#This Row],[Aufwand 2]],Tabelle4[[#This Row],[Aufwand 3]],Tabelle4[[#This Row],[Aufwand 4]])</f>
        <v>0</v>
      </c>
      <c r="DF109" s="105"/>
      <c r="DG109" s="105"/>
      <c r="DH109" s="105"/>
      <c r="DI109" s="105"/>
      <c r="DJ109" s="105"/>
      <c r="DK109" s="105"/>
      <c r="DL109" s="105"/>
      <c r="DM109" s="105"/>
      <c r="DN109" s="107">
        <f>SUM(Tabelle4[[#This Row],[Aufwand  ]],Tabelle4[[#This Row],[Aufwand  2]],Tabelle4[[#This Row],[Aufwand  3]],Tabelle4[[#This Row],[Aufwand  4]])</f>
        <v>0</v>
      </c>
      <c r="DO109" s="105"/>
      <c r="DP109" s="105"/>
      <c r="DQ109" s="105"/>
      <c r="DR109" s="105"/>
      <c r="DS109" s="105"/>
      <c r="DT109" s="105"/>
      <c r="DU109" s="105"/>
      <c r="DV109" s="105"/>
      <c r="DW109" s="107">
        <f>SUM(Tabelle4[[#This Row],[Aufwand   ]],Tabelle4[[#This Row],[Aufwand   2]],Tabelle4[[#This Row],[Aufwand   3]],Tabelle4[[#This Row],[Aufwand   4]])</f>
        <v>0</v>
      </c>
      <c r="DX109" s="105"/>
      <c r="DY109" s="105"/>
      <c r="DZ109" s="105"/>
      <c r="EA109" s="105"/>
      <c r="EB109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109" s="122">
        <f>Tabelle4[[#This Row],[Gesamaufwand]]/2000</f>
        <v>0</v>
      </c>
      <c r="ED109" s="47"/>
      <c r="EE109" s="47"/>
      <c r="EF109" s="47"/>
      <c r="EG109" s="47"/>
      <c r="EH109" s="47"/>
      <c r="EI109" s="47"/>
      <c r="EJ109" s="47"/>
      <c r="EK109" s="47"/>
      <c r="EL109" s="47"/>
    </row>
    <row r="110" spans="1:142">
      <c r="A110" s="255" t="s">
        <v>487</v>
      </c>
      <c r="B110" s="251" t="s">
        <v>105</v>
      </c>
      <c r="C110" s="254" t="s">
        <v>68</v>
      </c>
      <c r="D110" s="251" t="s">
        <v>913</v>
      </c>
      <c r="E110" s="251" t="s">
        <v>97</v>
      </c>
      <c r="F110" s="253">
        <v>2</v>
      </c>
      <c r="G110" s="253">
        <v>2</v>
      </c>
      <c r="H110" s="253"/>
      <c r="I110" s="254" t="s">
        <v>95</v>
      </c>
      <c r="J110" s="254"/>
      <c r="K110" s="105"/>
      <c r="L110" s="105"/>
      <c r="M110" s="48"/>
      <c r="N110" s="105"/>
      <c r="O110" s="255" t="s">
        <v>488</v>
      </c>
      <c r="P110" s="261">
        <v>2</v>
      </c>
      <c r="Q110" s="261">
        <v>0</v>
      </c>
      <c r="R110" s="261">
        <v>0</v>
      </c>
      <c r="S110" s="262" t="s">
        <v>287</v>
      </c>
      <c r="T110" s="263" t="s">
        <v>660</v>
      </c>
      <c r="U110" s="105"/>
      <c r="V110" s="259" t="s">
        <v>609</v>
      </c>
      <c r="W110" s="105" t="s">
        <v>6</v>
      </c>
      <c r="X110" s="105" t="s">
        <v>11</v>
      </c>
      <c r="Y110" s="105" t="s">
        <v>22</v>
      </c>
      <c r="Z110" s="105" t="s">
        <v>86</v>
      </c>
      <c r="AA110" s="105" t="s">
        <v>639</v>
      </c>
      <c r="AB110" s="105" t="s">
        <v>639</v>
      </c>
      <c r="AC110" s="105" t="s">
        <v>639</v>
      </c>
      <c r="AD110" s="105" t="s">
        <v>639</v>
      </c>
      <c r="AE110" s="105"/>
      <c r="AF110" s="105"/>
      <c r="AG110" s="105"/>
      <c r="AH110" s="115" t="s">
        <v>621</v>
      </c>
      <c r="AI110" s="115"/>
      <c r="AJ110" s="115"/>
      <c r="AK110" s="105"/>
      <c r="AL110" s="115"/>
      <c r="AM110" s="115"/>
      <c r="AN110" s="115"/>
      <c r="AO110" s="260">
        <f>Tabelle4[[#This Row],[Kredit-  / Budgetsumme
(RADAR: Gesamtkosten S)]]-Tabelle4[[#This Row],[Netto-Ausgaben Vorjahre ]]</f>
        <v>0</v>
      </c>
      <c r="AP110" s="310"/>
      <c r="AQ110" s="311"/>
      <c r="AR110" s="115">
        <f>Tabelle4[[#This Row],[Kreditrest per 1.1. aktuelles Jahr]]-Tabelle4[[#This Row],[Prognose 2018
(RADAR: Kosten 2018 S)]]</f>
        <v>0</v>
      </c>
      <c r="AS110" s="115"/>
      <c r="AT110" s="311"/>
      <c r="AU110" s="115"/>
      <c r="AV110" s="311"/>
      <c r="AW110" s="115"/>
      <c r="AX110" s="311"/>
      <c r="AY110" s="115"/>
      <c r="AZ110" s="311"/>
      <c r="BA110" s="115"/>
      <c r="BB110" s="311"/>
      <c r="BC110" s="115"/>
      <c r="BD110" s="311"/>
      <c r="BE110" s="115"/>
      <c r="BF110" s="311"/>
      <c r="BG110" s="115"/>
      <c r="BH110" s="311"/>
      <c r="BI110" s="115"/>
      <c r="BJ110" s="115"/>
      <c r="BK110" s="264"/>
      <c r="BL110" s="105"/>
      <c r="BM110" s="106">
        <v>0</v>
      </c>
      <c r="BN110" s="106">
        <v>20</v>
      </c>
      <c r="BO110" s="106">
        <v>40</v>
      </c>
      <c r="BP110" s="106"/>
      <c r="BQ110" s="106"/>
      <c r="BR110" s="106"/>
      <c r="BS110" s="106"/>
      <c r="BT110" s="108">
        <f>SUM(Tabelle4[[#This Row],[Projektverantwortung
(Lenkungsausschuss) ]:[Kommunikation ]])</f>
        <v>60</v>
      </c>
      <c r="BU110" s="105"/>
      <c r="BV110" s="106">
        <v>0</v>
      </c>
      <c r="BW110" s="106">
        <v>20</v>
      </c>
      <c r="BX110" s="106">
        <v>40</v>
      </c>
      <c r="BY110" s="106"/>
      <c r="BZ110" s="106"/>
      <c r="CA110" s="106"/>
      <c r="CB110" s="106"/>
      <c r="CC110" s="108">
        <f>SUM(Tabelle4[[#This Row],[Projektverantwortung
(Lenkungsausschuss)   ]:[Kommunikation   ]])</f>
        <v>60</v>
      </c>
      <c r="CD110" s="105"/>
      <c r="CE110" s="106">
        <v>0</v>
      </c>
      <c r="CF110" s="106">
        <v>8</v>
      </c>
      <c r="CG110" s="106">
        <v>8</v>
      </c>
      <c r="CH110" s="106"/>
      <c r="CI110" s="106"/>
      <c r="CJ110" s="106"/>
      <c r="CK110" s="106"/>
      <c r="CL110" s="108">
        <f>SUM(Tabelle4[[#This Row],[Projektverantwortung
(Lenkungsausschuss).]:[Kommunikation    ]])</f>
        <v>16</v>
      </c>
      <c r="CM110" s="105"/>
      <c r="CN110" s="106">
        <v>0</v>
      </c>
      <c r="CO110" s="106">
        <v>40</v>
      </c>
      <c r="CP110" s="106">
        <v>8</v>
      </c>
      <c r="CQ110" s="106"/>
      <c r="CR110" s="106"/>
      <c r="CS110" s="106"/>
      <c r="CT110" s="106"/>
      <c r="CU110" s="108">
        <f>SUM(Tabelle4[[#This Row],[Projektverantwortung
(Lenkungsausschuss)    ]:[Kommunikation     ]])</f>
        <v>48</v>
      </c>
      <c r="CV110" s="107">
        <f>SUM(Tabelle4[[#This Row],[Total Aufwand
1. Quartal 2018]],Tabelle4[[#This Row],[Total Aufwand
2. Quartal 2018]],Tabelle4[[#This Row],[Total Aufwand
3. Quartal 2018]],Tabelle4[[#This Row],[Total Aufwand
4. Quartal 2018]])</f>
        <v>184</v>
      </c>
      <c r="CW110" s="105"/>
      <c r="CX110" s="105"/>
      <c r="CY110" s="105"/>
      <c r="CZ110" s="105"/>
      <c r="DA110" s="105"/>
      <c r="DB110" s="105"/>
      <c r="DC110" s="105"/>
      <c r="DD110" s="105"/>
      <c r="DE110" s="107">
        <f>SUM(Tabelle4[[#This Row],[Aufwand ]],Tabelle4[[#This Row],[Aufwand 2]],Tabelle4[[#This Row],[Aufwand 3]],Tabelle4[[#This Row],[Aufwand 4]])</f>
        <v>0</v>
      </c>
      <c r="DF110" s="105"/>
      <c r="DG110" s="105"/>
      <c r="DH110" s="105"/>
      <c r="DI110" s="105"/>
      <c r="DJ110" s="105"/>
      <c r="DK110" s="105"/>
      <c r="DL110" s="105"/>
      <c r="DM110" s="105"/>
      <c r="DN110" s="107">
        <f>SUM(Tabelle4[[#This Row],[Aufwand  ]],Tabelle4[[#This Row],[Aufwand  2]],Tabelle4[[#This Row],[Aufwand  3]],Tabelle4[[#This Row],[Aufwand  4]])</f>
        <v>0</v>
      </c>
      <c r="DO110" s="105"/>
      <c r="DP110" s="105"/>
      <c r="DQ110" s="105"/>
      <c r="DR110" s="105"/>
      <c r="DS110" s="105"/>
      <c r="DT110" s="105"/>
      <c r="DU110" s="105"/>
      <c r="DV110" s="105"/>
      <c r="DW110" s="107">
        <f>SUM(Tabelle4[[#This Row],[Aufwand   ]],Tabelle4[[#This Row],[Aufwand   2]],Tabelle4[[#This Row],[Aufwand   3]],Tabelle4[[#This Row],[Aufwand   4]])</f>
        <v>0</v>
      </c>
      <c r="DX110" s="105"/>
      <c r="DY110" s="105"/>
      <c r="DZ110" s="105"/>
      <c r="EA110" s="105"/>
      <c r="EB110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184</v>
      </c>
      <c r="EC110" s="122">
        <f>Tabelle4[[#This Row],[Gesamaufwand]]/2000</f>
        <v>9.1999999999999998E-2</v>
      </c>
      <c r="ED110" s="47"/>
      <c r="EE110" s="47"/>
      <c r="EF110" s="47"/>
      <c r="EG110" s="47"/>
      <c r="EH110" s="47"/>
      <c r="EI110" s="47"/>
      <c r="EJ110" s="47"/>
      <c r="EK110" s="47"/>
      <c r="EL110" s="47"/>
    </row>
    <row r="111" spans="1:142">
      <c r="A111" s="255" t="s">
        <v>489</v>
      </c>
      <c r="B111" s="251" t="s">
        <v>105</v>
      </c>
      <c r="C111" s="254" t="s">
        <v>68</v>
      </c>
      <c r="D111" s="251" t="s">
        <v>913</v>
      </c>
      <c r="E111" s="251" t="s">
        <v>97</v>
      </c>
      <c r="F111" s="253">
        <v>1</v>
      </c>
      <c r="G111" s="253">
        <v>1</v>
      </c>
      <c r="H111" s="253"/>
      <c r="I111" s="254" t="s">
        <v>94</v>
      </c>
      <c r="J111" s="254"/>
      <c r="K111" s="105"/>
      <c r="L111" s="105"/>
      <c r="M111" s="48"/>
      <c r="N111" s="105"/>
      <c r="O111" s="255" t="s">
        <v>490</v>
      </c>
      <c r="P111" s="261">
        <v>2</v>
      </c>
      <c r="Q111" s="261">
        <v>0</v>
      </c>
      <c r="R111" s="261">
        <v>0</v>
      </c>
      <c r="S111" s="262" t="s">
        <v>414</v>
      </c>
      <c r="T111" s="263" t="s">
        <v>661</v>
      </c>
      <c r="U111" s="105"/>
      <c r="V111" s="259" t="s">
        <v>610</v>
      </c>
      <c r="W111" s="105" t="s">
        <v>6</v>
      </c>
      <c r="X111" s="105" t="s">
        <v>11</v>
      </c>
      <c r="Y111" s="105" t="s">
        <v>86</v>
      </c>
      <c r="Z111" s="105" t="s">
        <v>86</v>
      </c>
      <c r="AA111" s="105" t="s">
        <v>639</v>
      </c>
      <c r="AB111" s="105" t="s">
        <v>639</v>
      </c>
      <c r="AC111" s="105" t="s">
        <v>639</v>
      </c>
      <c r="AD111" s="105" t="s">
        <v>639</v>
      </c>
      <c r="AE111" s="105"/>
      <c r="AF111" s="105"/>
      <c r="AG111" s="105"/>
      <c r="AH111" s="115" t="s">
        <v>621</v>
      </c>
      <c r="AI111" s="115"/>
      <c r="AJ111" s="115"/>
      <c r="AK111" s="105"/>
      <c r="AL111" s="115"/>
      <c r="AM111" s="115"/>
      <c r="AN111" s="115"/>
      <c r="AO111" s="260">
        <f>Tabelle4[[#This Row],[Kredit-  / Budgetsumme
(RADAR: Gesamtkosten S)]]-Tabelle4[[#This Row],[Netto-Ausgaben Vorjahre ]]</f>
        <v>0</v>
      </c>
      <c r="AP111" s="310"/>
      <c r="AQ111" s="311"/>
      <c r="AR111" s="115">
        <f>Tabelle4[[#This Row],[Kreditrest per 1.1. aktuelles Jahr]]-Tabelle4[[#This Row],[Prognose 2018
(RADAR: Kosten 2018 S)]]</f>
        <v>0</v>
      </c>
      <c r="AS111" s="115"/>
      <c r="AT111" s="311"/>
      <c r="AU111" s="115"/>
      <c r="AV111" s="311"/>
      <c r="AW111" s="115"/>
      <c r="AX111" s="311"/>
      <c r="AY111" s="115"/>
      <c r="AZ111" s="311"/>
      <c r="BA111" s="115"/>
      <c r="BB111" s="311"/>
      <c r="BC111" s="115"/>
      <c r="BD111" s="311"/>
      <c r="BE111" s="115"/>
      <c r="BF111" s="311"/>
      <c r="BG111" s="115"/>
      <c r="BH111" s="311"/>
      <c r="BI111" s="115"/>
      <c r="BJ111" s="115"/>
      <c r="BK111" s="264"/>
      <c r="BL111" s="105"/>
      <c r="BM111" s="106">
        <v>0</v>
      </c>
      <c r="BN111" s="106"/>
      <c r="BO111" s="106">
        <v>60</v>
      </c>
      <c r="BP111" s="106"/>
      <c r="BQ111" s="106"/>
      <c r="BR111" s="106"/>
      <c r="BS111" s="106"/>
      <c r="BT111" s="108">
        <f>SUM(Tabelle4[[#This Row],[Projektverantwortung
(Lenkungsausschuss) ]:[Kommunikation ]])</f>
        <v>60</v>
      </c>
      <c r="BU111" s="105"/>
      <c r="BV111" s="106">
        <v>0</v>
      </c>
      <c r="BW111" s="106"/>
      <c r="BX111" s="106">
        <v>60</v>
      </c>
      <c r="BY111" s="106"/>
      <c r="BZ111" s="106"/>
      <c r="CA111" s="106"/>
      <c r="CB111" s="106"/>
      <c r="CC111" s="108">
        <f>SUM(Tabelle4[[#This Row],[Projektverantwortung
(Lenkungsausschuss)   ]:[Kommunikation   ]])</f>
        <v>60</v>
      </c>
      <c r="CD111" s="105"/>
      <c r="CE111" s="106">
        <v>0</v>
      </c>
      <c r="CF111" s="106"/>
      <c r="CG111" s="106">
        <v>60</v>
      </c>
      <c r="CH111" s="106"/>
      <c r="CI111" s="106"/>
      <c r="CJ111" s="106"/>
      <c r="CK111" s="106"/>
      <c r="CL111" s="108">
        <f>SUM(Tabelle4[[#This Row],[Projektverantwortung
(Lenkungsausschuss).]:[Kommunikation    ]])</f>
        <v>60</v>
      </c>
      <c r="CM111" s="105"/>
      <c r="CN111" s="106">
        <v>0</v>
      </c>
      <c r="CO111" s="106"/>
      <c r="CP111" s="106">
        <v>60</v>
      </c>
      <c r="CQ111" s="106"/>
      <c r="CR111" s="106"/>
      <c r="CS111" s="106"/>
      <c r="CT111" s="106"/>
      <c r="CU111" s="108">
        <f>SUM(Tabelle4[[#This Row],[Projektverantwortung
(Lenkungsausschuss)    ]:[Kommunikation     ]])</f>
        <v>60</v>
      </c>
      <c r="CV111" s="107">
        <f>SUM(Tabelle4[[#This Row],[Total Aufwand
1. Quartal 2018]],Tabelle4[[#This Row],[Total Aufwand
2. Quartal 2018]],Tabelle4[[#This Row],[Total Aufwand
3. Quartal 2018]],Tabelle4[[#This Row],[Total Aufwand
4. Quartal 2018]])</f>
        <v>240</v>
      </c>
      <c r="CW111" s="105"/>
      <c r="CX111" s="105"/>
      <c r="CY111" s="105"/>
      <c r="CZ111" s="105"/>
      <c r="DA111" s="105"/>
      <c r="DB111" s="105"/>
      <c r="DC111" s="105"/>
      <c r="DD111" s="105"/>
      <c r="DE111" s="107">
        <f>SUM(Tabelle4[[#This Row],[Aufwand ]],Tabelle4[[#This Row],[Aufwand 2]],Tabelle4[[#This Row],[Aufwand 3]],Tabelle4[[#This Row],[Aufwand 4]])</f>
        <v>0</v>
      </c>
      <c r="DF111" s="105"/>
      <c r="DG111" s="105"/>
      <c r="DH111" s="105"/>
      <c r="DI111" s="105"/>
      <c r="DJ111" s="105"/>
      <c r="DK111" s="105"/>
      <c r="DL111" s="105"/>
      <c r="DM111" s="105"/>
      <c r="DN111" s="107">
        <f>SUM(Tabelle4[[#This Row],[Aufwand  ]],Tabelle4[[#This Row],[Aufwand  2]],Tabelle4[[#This Row],[Aufwand  3]],Tabelle4[[#This Row],[Aufwand  4]])</f>
        <v>0</v>
      </c>
      <c r="DO111" s="105"/>
      <c r="DP111" s="105"/>
      <c r="DQ111" s="105"/>
      <c r="DR111" s="105"/>
      <c r="DS111" s="105"/>
      <c r="DT111" s="105"/>
      <c r="DU111" s="105"/>
      <c r="DV111" s="105"/>
      <c r="DW111" s="107">
        <f>SUM(Tabelle4[[#This Row],[Aufwand   ]],Tabelle4[[#This Row],[Aufwand   2]],Tabelle4[[#This Row],[Aufwand   3]],Tabelle4[[#This Row],[Aufwand   4]])</f>
        <v>0</v>
      </c>
      <c r="DX111" s="105"/>
      <c r="DY111" s="105"/>
      <c r="DZ111" s="105"/>
      <c r="EA111" s="105"/>
      <c r="EB111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240</v>
      </c>
      <c r="EC111" s="122">
        <f>Tabelle4[[#This Row],[Gesamaufwand]]/2000</f>
        <v>0.12</v>
      </c>
      <c r="ED111" s="47"/>
      <c r="EE111" s="47"/>
      <c r="EF111" s="47"/>
      <c r="EG111" s="47"/>
      <c r="EH111" s="47"/>
      <c r="EI111" s="47"/>
      <c r="EJ111" s="47"/>
      <c r="EK111" s="47"/>
      <c r="EL111" s="47"/>
    </row>
    <row r="112" spans="1:142">
      <c r="A112" s="255" t="s">
        <v>491</v>
      </c>
      <c r="B112" s="251" t="s">
        <v>105</v>
      </c>
      <c r="C112" s="254" t="s">
        <v>68</v>
      </c>
      <c r="D112" s="251" t="s">
        <v>913</v>
      </c>
      <c r="E112" s="251" t="s">
        <v>97</v>
      </c>
      <c r="F112" s="253">
        <v>1</v>
      </c>
      <c r="G112" s="253">
        <v>1</v>
      </c>
      <c r="H112" s="253"/>
      <c r="I112" s="254" t="s">
        <v>94</v>
      </c>
      <c r="J112" s="254"/>
      <c r="K112" s="105"/>
      <c r="L112" s="105"/>
      <c r="M112" s="48"/>
      <c r="N112" s="105"/>
      <c r="O112" s="255" t="s">
        <v>492</v>
      </c>
      <c r="P112" s="261">
        <v>2</v>
      </c>
      <c r="Q112" s="261">
        <v>0</v>
      </c>
      <c r="R112" s="261">
        <v>0</v>
      </c>
      <c r="S112" s="262" t="s">
        <v>395</v>
      </c>
      <c r="T112" s="263" t="s">
        <v>661</v>
      </c>
      <c r="U112" s="105"/>
      <c r="V112" s="259" t="s">
        <v>610</v>
      </c>
      <c r="W112" s="105" t="s">
        <v>6</v>
      </c>
      <c r="X112" s="105" t="s">
        <v>11</v>
      </c>
      <c r="Y112" s="105" t="s">
        <v>86</v>
      </c>
      <c r="Z112" s="105" t="s">
        <v>86</v>
      </c>
      <c r="AA112" s="105" t="s">
        <v>639</v>
      </c>
      <c r="AB112" s="105" t="s">
        <v>639</v>
      </c>
      <c r="AC112" s="105" t="s">
        <v>639</v>
      </c>
      <c r="AD112" s="105" t="s">
        <v>639</v>
      </c>
      <c r="AE112" s="105"/>
      <c r="AF112" s="105"/>
      <c r="AG112" s="105"/>
      <c r="AH112" s="115" t="s">
        <v>802</v>
      </c>
      <c r="AI112" s="115"/>
      <c r="AJ112" s="115"/>
      <c r="AK112" s="105"/>
      <c r="AL112" s="115"/>
      <c r="AM112" s="115"/>
      <c r="AN112" s="115"/>
      <c r="AO112" s="260"/>
      <c r="AP112" s="310"/>
      <c r="AQ112" s="311"/>
      <c r="AR112" s="115"/>
      <c r="AS112" s="115"/>
      <c r="AT112" s="311"/>
      <c r="AU112" s="115"/>
      <c r="AV112" s="311"/>
      <c r="AW112" s="115"/>
      <c r="AX112" s="311"/>
      <c r="AY112" s="115"/>
      <c r="AZ112" s="311"/>
      <c r="BA112" s="115"/>
      <c r="BB112" s="311"/>
      <c r="BC112" s="115"/>
      <c r="BD112" s="311"/>
      <c r="BE112" s="115"/>
      <c r="BF112" s="311"/>
      <c r="BG112" s="115"/>
      <c r="BH112" s="311"/>
      <c r="BI112" s="115"/>
      <c r="BJ112" s="115"/>
      <c r="BK112" s="264"/>
      <c r="BL112" s="105"/>
      <c r="BM112" s="106">
        <v>0</v>
      </c>
      <c r="BN112" s="106"/>
      <c r="BO112" s="106">
        <v>80</v>
      </c>
      <c r="BP112" s="106"/>
      <c r="BQ112" s="106"/>
      <c r="BR112" s="106"/>
      <c r="BS112" s="106"/>
      <c r="BT112" s="108">
        <f>SUM(Tabelle4[[#This Row],[Projektverantwortung
(Lenkungsausschuss) ]:[Kommunikation ]])</f>
        <v>80</v>
      </c>
      <c r="BU112" s="105"/>
      <c r="BV112" s="106">
        <v>0</v>
      </c>
      <c r="BW112" s="106"/>
      <c r="BX112" s="106">
        <v>80</v>
      </c>
      <c r="BY112" s="106"/>
      <c r="BZ112" s="106"/>
      <c r="CA112" s="106"/>
      <c r="CB112" s="106"/>
      <c r="CC112" s="108">
        <f>SUM(Tabelle4[[#This Row],[Projektverantwortung
(Lenkungsausschuss)   ]:[Kommunikation   ]])</f>
        <v>80</v>
      </c>
      <c r="CD112" s="105"/>
      <c r="CE112" s="106">
        <v>0</v>
      </c>
      <c r="CF112" s="106"/>
      <c r="CG112" s="106">
        <v>80</v>
      </c>
      <c r="CH112" s="106"/>
      <c r="CI112" s="106"/>
      <c r="CJ112" s="106"/>
      <c r="CK112" s="106"/>
      <c r="CL112" s="108">
        <f>SUM(Tabelle4[[#This Row],[Projektverantwortung
(Lenkungsausschuss).]:[Kommunikation    ]])</f>
        <v>80</v>
      </c>
      <c r="CM112" s="105"/>
      <c r="CN112" s="106">
        <v>0</v>
      </c>
      <c r="CO112" s="106"/>
      <c r="CP112" s="106">
        <v>80</v>
      </c>
      <c r="CQ112" s="106"/>
      <c r="CR112" s="106"/>
      <c r="CS112" s="106"/>
      <c r="CT112" s="106"/>
      <c r="CU112" s="108">
        <f>SUM(Tabelle4[[#This Row],[Projektverantwortung
(Lenkungsausschuss)    ]:[Kommunikation     ]])</f>
        <v>80</v>
      </c>
      <c r="CV112" s="107">
        <f>SUM(Tabelle4[[#This Row],[Total Aufwand
1. Quartal 2018]],Tabelle4[[#This Row],[Total Aufwand
2. Quartal 2018]],Tabelle4[[#This Row],[Total Aufwand
3. Quartal 2018]],Tabelle4[[#This Row],[Total Aufwand
4. Quartal 2018]])</f>
        <v>320</v>
      </c>
      <c r="CW112" s="105"/>
      <c r="CX112" s="105"/>
      <c r="CY112" s="105"/>
      <c r="CZ112" s="105"/>
      <c r="DA112" s="105"/>
      <c r="DB112" s="105"/>
      <c r="DC112" s="105"/>
      <c r="DD112" s="105"/>
      <c r="DE112" s="107">
        <f>SUM(Tabelle4[[#This Row],[Aufwand ]],Tabelle4[[#This Row],[Aufwand 2]],Tabelle4[[#This Row],[Aufwand 3]],Tabelle4[[#This Row],[Aufwand 4]])</f>
        <v>0</v>
      </c>
      <c r="DF112" s="105"/>
      <c r="DG112" s="105"/>
      <c r="DH112" s="105"/>
      <c r="DI112" s="105"/>
      <c r="DJ112" s="105"/>
      <c r="DK112" s="105"/>
      <c r="DL112" s="105"/>
      <c r="DM112" s="105"/>
      <c r="DN112" s="107">
        <f>SUM(Tabelle4[[#This Row],[Aufwand  ]],Tabelle4[[#This Row],[Aufwand  2]],Tabelle4[[#This Row],[Aufwand  3]],Tabelle4[[#This Row],[Aufwand  4]])</f>
        <v>0</v>
      </c>
      <c r="DO112" s="105"/>
      <c r="DP112" s="105"/>
      <c r="DQ112" s="105"/>
      <c r="DR112" s="105"/>
      <c r="DS112" s="105"/>
      <c r="DT112" s="105"/>
      <c r="DU112" s="105"/>
      <c r="DV112" s="105"/>
      <c r="DW112" s="107">
        <f>SUM(Tabelle4[[#This Row],[Aufwand   ]],Tabelle4[[#This Row],[Aufwand   2]],Tabelle4[[#This Row],[Aufwand   3]],Tabelle4[[#This Row],[Aufwand   4]])</f>
        <v>0</v>
      </c>
      <c r="DX112" s="105"/>
      <c r="DY112" s="105"/>
      <c r="DZ112" s="105"/>
      <c r="EA112" s="105"/>
      <c r="EB112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320</v>
      </c>
      <c r="EC112" s="122">
        <f>Tabelle4[[#This Row],[Gesamaufwand]]/2000</f>
        <v>0.16</v>
      </c>
      <c r="ED112" s="47"/>
      <c r="EE112" s="47"/>
      <c r="EF112" s="47"/>
      <c r="EG112" s="47"/>
      <c r="EH112" s="47"/>
      <c r="EI112" s="47"/>
      <c r="EJ112" s="47"/>
      <c r="EK112" s="47"/>
      <c r="EL112" s="47"/>
    </row>
    <row r="113" spans="1:142">
      <c r="A113" s="255" t="s">
        <v>398</v>
      </c>
      <c r="B113" s="251" t="s">
        <v>105</v>
      </c>
      <c r="C113" s="254" t="s">
        <v>67</v>
      </c>
      <c r="D113" s="251" t="s">
        <v>782</v>
      </c>
      <c r="E113" s="251" t="s">
        <v>778</v>
      </c>
      <c r="F113" s="253">
        <v>2</v>
      </c>
      <c r="G113" s="253">
        <v>1</v>
      </c>
      <c r="H113" s="253"/>
      <c r="I113" s="254" t="s">
        <v>95</v>
      </c>
      <c r="J113" s="254"/>
      <c r="K113" s="105"/>
      <c r="L113" s="105"/>
      <c r="M113" s="48"/>
      <c r="N113" s="105"/>
      <c r="O113" s="255" t="s">
        <v>399</v>
      </c>
      <c r="P113" s="261">
        <v>1</v>
      </c>
      <c r="Q113" s="261">
        <v>0</v>
      </c>
      <c r="R113" s="261">
        <v>0</v>
      </c>
      <c r="S113" s="262" t="s">
        <v>400</v>
      </c>
      <c r="T113" s="263" t="s">
        <v>674</v>
      </c>
      <c r="U113" s="105"/>
      <c r="V113" s="259" t="s">
        <v>12</v>
      </c>
      <c r="W113" s="105" t="s">
        <v>6</v>
      </c>
      <c r="X113" s="105" t="s">
        <v>86</v>
      </c>
      <c r="Y113" s="105" t="s">
        <v>690</v>
      </c>
      <c r="Z113" s="105" t="s">
        <v>86</v>
      </c>
      <c r="AA113" s="105" t="s">
        <v>690</v>
      </c>
      <c r="AB113" s="105" t="s">
        <v>690</v>
      </c>
      <c r="AC113" s="105" t="s">
        <v>690</v>
      </c>
      <c r="AD113" s="105" t="s">
        <v>690</v>
      </c>
      <c r="AE113" s="105"/>
      <c r="AF113" s="105"/>
      <c r="AG113" s="105"/>
      <c r="AH113" s="115" t="s">
        <v>857</v>
      </c>
      <c r="AI113" s="115"/>
      <c r="AJ113" s="115"/>
      <c r="AK113" s="105"/>
      <c r="AL113" s="115"/>
      <c r="AM113" s="115"/>
      <c r="AN113" s="115"/>
      <c r="AO113" s="260">
        <f>Tabelle4[[#This Row],[Kredit-  / Budgetsumme
(RADAR: Gesamtkosten S)]]-Tabelle4[[#This Row],[Netto-Ausgaben Vorjahre ]]</f>
        <v>0</v>
      </c>
      <c r="AP113" s="310"/>
      <c r="AQ113" s="311"/>
      <c r="AR113" s="115">
        <f>Tabelle4[[#This Row],[Kreditrest per 1.1. aktuelles Jahr]]-Tabelle4[[#This Row],[Prognose 2018
(RADAR: Kosten 2018 S)]]</f>
        <v>0</v>
      </c>
      <c r="AS113" s="115"/>
      <c r="AT113" s="311"/>
      <c r="AU113" s="115"/>
      <c r="AV113" s="311"/>
      <c r="AW113" s="115"/>
      <c r="AX113" s="311"/>
      <c r="AY113" s="115"/>
      <c r="AZ113" s="311"/>
      <c r="BA113" s="115"/>
      <c r="BB113" s="311"/>
      <c r="BC113" s="115"/>
      <c r="BD113" s="311"/>
      <c r="BE113" s="115"/>
      <c r="BF113" s="311"/>
      <c r="BG113" s="115"/>
      <c r="BH113" s="311"/>
      <c r="BI113" s="115"/>
      <c r="BJ113" s="115"/>
      <c r="BK113" s="264"/>
      <c r="BL113" s="105"/>
      <c r="BM113" s="106">
        <v>0</v>
      </c>
      <c r="BN113" s="106">
        <v>0</v>
      </c>
      <c r="BO113" s="106">
        <v>0</v>
      </c>
      <c r="BP113" s="106">
        <v>0</v>
      </c>
      <c r="BQ113" s="106">
        <v>0</v>
      </c>
      <c r="BR113" s="106">
        <v>0</v>
      </c>
      <c r="BS113" s="106">
        <v>0</v>
      </c>
      <c r="BT113" s="108">
        <f>SUM(Tabelle4[[#This Row],[Projektverantwortung
(Lenkungsausschuss) ]:[Kommunikation ]])</f>
        <v>0</v>
      </c>
      <c r="BU113" s="105"/>
      <c r="BV113" s="106">
        <v>0</v>
      </c>
      <c r="BW113" s="106">
        <v>0</v>
      </c>
      <c r="BX113" s="106">
        <v>0</v>
      </c>
      <c r="BY113" s="106">
        <v>0</v>
      </c>
      <c r="BZ113" s="106">
        <v>0</v>
      </c>
      <c r="CA113" s="106">
        <v>0</v>
      </c>
      <c r="CB113" s="106">
        <v>0</v>
      </c>
      <c r="CC113" s="108">
        <f>SUM(Tabelle4[[#This Row],[Projektverantwortung
(Lenkungsausschuss)   ]:[Kommunikation   ]])</f>
        <v>0</v>
      </c>
      <c r="CD113" s="105"/>
      <c r="CE113" s="106">
        <v>0</v>
      </c>
      <c r="CF113" s="106">
        <v>0</v>
      </c>
      <c r="CG113" s="106">
        <v>0</v>
      </c>
      <c r="CH113" s="106">
        <v>0</v>
      </c>
      <c r="CI113" s="106">
        <v>0</v>
      </c>
      <c r="CJ113" s="106">
        <v>0</v>
      </c>
      <c r="CK113" s="106">
        <v>0</v>
      </c>
      <c r="CL113" s="108">
        <f>SUM(Tabelle4[[#This Row],[Projektverantwortung
(Lenkungsausschuss).]:[Kommunikation    ]])</f>
        <v>0</v>
      </c>
      <c r="CM113" s="105"/>
      <c r="CN113" s="106">
        <v>0</v>
      </c>
      <c r="CO113" s="106">
        <v>0</v>
      </c>
      <c r="CP113" s="106">
        <v>0</v>
      </c>
      <c r="CQ113" s="106">
        <v>0</v>
      </c>
      <c r="CR113" s="106">
        <v>0</v>
      </c>
      <c r="CS113" s="106">
        <v>0</v>
      </c>
      <c r="CT113" s="106">
        <v>0</v>
      </c>
      <c r="CU113" s="108">
        <f>SUM(Tabelle4[[#This Row],[Projektverantwortung
(Lenkungsausschuss)    ]:[Kommunikation     ]])</f>
        <v>0</v>
      </c>
      <c r="CV113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113" s="105"/>
      <c r="CX113" s="105"/>
      <c r="CY113" s="105"/>
      <c r="CZ113" s="105"/>
      <c r="DA113" s="105"/>
      <c r="DB113" s="105"/>
      <c r="DC113" s="105"/>
      <c r="DD113" s="105"/>
      <c r="DE113" s="107">
        <f>SUM(Tabelle4[[#This Row],[Aufwand ]],Tabelle4[[#This Row],[Aufwand 2]],Tabelle4[[#This Row],[Aufwand 3]],Tabelle4[[#This Row],[Aufwand 4]])</f>
        <v>0</v>
      </c>
      <c r="DF113" s="105"/>
      <c r="DG113" s="105"/>
      <c r="DH113" s="105"/>
      <c r="DI113" s="105"/>
      <c r="DJ113" s="105"/>
      <c r="DK113" s="105"/>
      <c r="DL113" s="105"/>
      <c r="DM113" s="105"/>
      <c r="DN113" s="107">
        <f>SUM(Tabelle4[[#This Row],[Aufwand  ]],Tabelle4[[#This Row],[Aufwand  2]],Tabelle4[[#This Row],[Aufwand  3]],Tabelle4[[#This Row],[Aufwand  4]])</f>
        <v>0</v>
      </c>
      <c r="DO113" s="105"/>
      <c r="DP113" s="105"/>
      <c r="DQ113" s="105"/>
      <c r="DR113" s="105"/>
      <c r="DS113" s="105"/>
      <c r="DT113" s="105"/>
      <c r="DU113" s="105"/>
      <c r="DV113" s="105"/>
      <c r="DW113" s="107">
        <f>SUM(Tabelle4[[#This Row],[Aufwand   ]],Tabelle4[[#This Row],[Aufwand   2]],Tabelle4[[#This Row],[Aufwand   3]],Tabelle4[[#This Row],[Aufwand   4]])</f>
        <v>0</v>
      </c>
      <c r="DX113" s="105"/>
      <c r="DY113" s="105"/>
      <c r="DZ113" s="105"/>
      <c r="EA113" s="105"/>
      <c r="EB113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113" s="122">
        <f>Tabelle4[[#This Row],[Gesamaufwand]]/2000</f>
        <v>0</v>
      </c>
      <c r="ED113" s="47"/>
      <c r="EE113" s="47"/>
      <c r="EF113" s="47"/>
      <c r="EG113" s="47"/>
      <c r="EH113" s="47"/>
      <c r="EI113" s="47"/>
      <c r="EJ113" s="47"/>
      <c r="EK113" s="47"/>
      <c r="EL113" s="47"/>
    </row>
    <row r="114" spans="1:142">
      <c r="A114" s="265" t="s">
        <v>343</v>
      </c>
      <c r="B114" s="251" t="s">
        <v>694</v>
      </c>
      <c r="C114" s="254" t="s">
        <v>67</v>
      </c>
      <c r="D114" s="251" t="s">
        <v>780</v>
      </c>
      <c r="E114" s="251" t="s">
        <v>778</v>
      </c>
      <c r="F114" s="253">
        <v>2</v>
      </c>
      <c r="G114" s="253">
        <v>1</v>
      </c>
      <c r="H114" s="253"/>
      <c r="I114" s="254" t="s">
        <v>95</v>
      </c>
      <c r="J114" s="254"/>
      <c r="K114" s="105"/>
      <c r="L114" s="105"/>
      <c r="M114" s="48"/>
      <c r="N114" s="105"/>
      <c r="O114" s="255" t="s">
        <v>344</v>
      </c>
      <c r="P114" s="261">
        <v>1</v>
      </c>
      <c r="Q114" s="261">
        <v>0</v>
      </c>
      <c r="R114" s="261">
        <v>0</v>
      </c>
      <c r="S114" s="262" t="s">
        <v>345</v>
      </c>
      <c r="T114" s="263" t="s">
        <v>674</v>
      </c>
      <c r="U114" s="105"/>
      <c r="V114" s="259" t="s">
        <v>12</v>
      </c>
      <c r="W114" s="105" t="s">
        <v>6</v>
      </c>
      <c r="X114" s="105" t="s">
        <v>86</v>
      </c>
      <c r="Y114" s="105" t="s">
        <v>690</v>
      </c>
      <c r="Z114" s="105" t="s">
        <v>83</v>
      </c>
      <c r="AA114" s="105" t="s">
        <v>690</v>
      </c>
      <c r="AB114" s="105" t="s">
        <v>690</v>
      </c>
      <c r="AC114" s="105" t="s">
        <v>690</v>
      </c>
      <c r="AD114" s="105" t="s">
        <v>690</v>
      </c>
      <c r="AE114" s="105"/>
      <c r="AF114" s="105"/>
      <c r="AG114" s="105"/>
      <c r="AH114" s="115" t="s">
        <v>802</v>
      </c>
      <c r="AI114" s="115" t="s">
        <v>73</v>
      </c>
      <c r="AJ114" s="115" t="s">
        <v>74</v>
      </c>
      <c r="AK114" s="105" t="s">
        <v>810</v>
      </c>
      <c r="AL114" s="115"/>
      <c r="AM114" s="115"/>
      <c r="AN114" s="115">
        <v>70384.3</v>
      </c>
      <c r="AO114" s="260">
        <f>Tabelle4[[#This Row],[Kredit-  / Budgetsumme
(RADAR: Gesamtkosten S)]]-Tabelle4[[#This Row],[Netto-Ausgaben Vorjahre ]]</f>
        <v>-70384.3</v>
      </c>
      <c r="AP114" s="310"/>
      <c r="AQ114" s="311"/>
      <c r="AR114" s="115">
        <f>Tabelle4[[#This Row],[Kreditrest per 1.1. aktuelles Jahr]]-Tabelle4[[#This Row],[Prognose 2018
(RADAR: Kosten 2018 S)]]</f>
        <v>-70384.3</v>
      </c>
      <c r="AS114" s="115"/>
      <c r="AT114" s="311"/>
      <c r="AU114" s="115"/>
      <c r="AV114" s="311"/>
      <c r="AW114" s="115"/>
      <c r="AX114" s="311"/>
      <c r="AY114" s="115"/>
      <c r="AZ114" s="311"/>
      <c r="BA114" s="115"/>
      <c r="BB114" s="311"/>
      <c r="BC114" s="115"/>
      <c r="BD114" s="311"/>
      <c r="BE114" s="115"/>
      <c r="BF114" s="311"/>
      <c r="BG114" s="115"/>
      <c r="BH114" s="311"/>
      <c r="BI114" s="115"/>
      <c r="BJ114" s="115"/>
      <c r="BK114" s="264"/>
      <c r="BL114" s="105"/>
      <c r="BM114" s="106"/>
      <c r="BN114" s="106"/>
      <c r="BO114" s="106"/>
      <c r="BP114" s="106"/>
      <c r="BQ114" s="106"/>
      <c r="BR114" s="106"/>
      <c r="BS114" s="106"/>
      <c r="BT114" s="108">
        <f>SUM(Tabelle4[[#This Row],[Projektverantwortung
(Lenkungsausschuss) ]:[Kommunikation ]])</f>
        <v>0</v>
      </c>
      <c r="BU114" s="105"/>
      <c r="BV114" s="106"/>
      <c r="BW114" s="106"/>
      <c r="BX114" s="106"/>
      <c r="BY114" s="106"/>
      <c r="BZ114" s="106"/>
      <c r="CA114" s="106"/>
      <c r="CB114" s="106"/>
      <c r="CC114" s="108">
        <f>SUM(Tabelle4[[#This Row],[Projektverantwortung
(Lenkungsausschuss)   ]:[Kommunikation   ]])</f>
        <v>0</v>
      </c>
      <c r="CD114" s="105"/>
      <c r="CE114" s="106"/>
      <c r="CF114" s="106"/>
      <c r="CG114" s="106"/>
      <c r="CH114" s="106"/>
      <c r="CI114" s="106"/>
      <c r="CJ114" s="106"/>
      <c r="CK114" s="106"/>
      <c r="CL114" s="108">
        <f>SUM(Tabelle4[[#This Row],[Projektverantwortung
(Lenkungsausschuss).]:[Kommunikation    ]])</f>
        <v>0</v>
      </c>
      <c r="CM114" s="105"/>
      <c r="CN114" s="106"/>
      <c r="CO114" s="106"/>
      <c r="CP114" s="106"/>
      <c r="CQ114" s="106"/>
      <c r="CR114" s="106"/>
      <c r="CS114" s="106"/>
      <c r="CT114" s="106"/>
      <c r="CU114" s="108">
        <f>SUM(Tabelle4[[#This Row],[Projektverantwortung
(Lenkungsausschuss)    ]:[Kommunikation     ]])</f>
        <v>0</v>
      </c>
      <c r="CV114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114" s="105"/>
      <c r="CX114" s="105"/>
      <c r="CY114" s="105"/>
      <c r="CZ114" s="105"/>
      <c r="DA114" s="105"/>
      <c r="DB114" s="105"/>
      <c r="DC114" s="105"/>
      <c r="DD114" s="105"/>
      <c r="DE114" s="107">
        <f>SUM(Tabelle4[[#This Row],[Aufwand ]],Tabelle4[[#This Row],[Aufwand 2]],Tabelle4[[#This Row],[Aufwand 3]],Tabelle4[[#This Row],[Aufwand 4]])</f>
        <v>0</v>
      </c>
      <c r="DF114" s="105"/>
      <c r="DG114" s="105"/>
      <c r="DH114" s="105"/>
      <c r="DI114" s="105"/>
      <c r="DJ114" s="105"/>
      <c r="DK114" s="105"/>
      <c r="DL114" s="105"/>
      <c r="DM114" s="105"/>
      <c r="DN114" s="107">
        <f>SUM(Tabelle4[[#This Row],[Aufwand  ]],Tabelle4[[#This Row],[Aufwand  2]],Tabelle4[[#This Row],[Aufwand  3]],Tabelle4[[#This Row],[Aufwand  4]])</f>
        <v>0</v>
      </c>
      <c r="DO114" s="105"/>
      <c r="DP114" s="105"/>
      <c r="DQ114" s="105"/>
      <c r="DR114" s="105"/>
      <c r="DS114" s="105"/>
      <c r="DT114" s="105"/>
      <c r="DU114" s="105"/>
      <c r="DV114" s="105"/>
      <c r="DW114" s="107">
        <f>SUM(Tabelle4[[#This Row],[Aufwand   ]],Tabelle4[[#This Row],[Aufwand   2]],Tabelle4[[#This Row],[Aufwand   3]],Tabelle4[[#This Row],[Aufwand   4]])</f>
        <v>0</v>
      </c>
      <c r="DX114" s="105"/>
      <c r="DY114" s="105"/>
      <c r="DZ114" s="105"/>
      <c r="EA114" s="105"/>
      <c r="EB114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114" s="122">
        <f>Tabelle4[[#This Row],[Gesamaufwand]]/2000</f>
        <v>0</v>
      </c>
      <c r="ED114" s="47"/>
      <c r="EE114" s="47"/>
      <c r="EF114" s="47"/>
      <c r="EG114" s="47"/>
      <c r="EH114" s="47"/>
      <c r="EI114" s="47"/>
      <c r="EJ114" s="47"/>
      <c r="EK114" s="47"/>
      <c r="EL114" s="47"/>
    </row>
    <row r="115" spans="1:142">
      <c r="A115" s="248" t="s">
        <v>818</v>
      </c>
      <c r="B115" s="249"/>
      <c r="C115" s="250"/>
      <c r="D115" s="249"/>
      <c r="E115" s="249" t="s">
        <v>779</v>
      </c>
      <c r="F115" s="253">
        <v>1</v>
      </c>
      <c r="G115" s="253">
        <v>1</v>
      </c>
      <c r="H115" s="253"/>
      <c r="I115" s="254" t="s">
        <v>94</v>
      </c>
      <c r="J115" s="254"/>
      <c r="K115" s="110"/>
      <c r="L115" s="110"/>
      <c r="M115" s="77"/>
      <c r="N115" s="110"/>
      <c r="O115" s="248"/>
      <c r="P115" s="256"/>
      <c r="Q115" s="256"/>
      <c r="R115" s="256"/>
      <c r="S115" s="257"/>
      <c r="T115" s="258"/>
      <c r="U115" s="110"/>
      <c r="V115" s="259" t="s">
        <v>12</v>
      </c>
      <c r="W115" s="105" t="s">
        <v>7</v>
      </c>
      <c r="X115" s="105" t="s">
        <v>11</v>
      </c>
      <c r="Y115" s="105" t="s">
        <v>690</v>
      </c>
      <c r="Z115" s="105" t="s">
        <v>9</v>
      </c>
      <c r="AA115" s="105" t="s">
        <v>639</v>
      </c>
      <c r="AB115" s="105" t="s">
        <v>639</v>
      </c>
      <c r="AC115" s="105" t="s">
        <v>639</v>
      </c>
      <c r="AD115" s="105" t="s">
        <v>639</v>
      </c>
      <c r="AE115" s="110"/>
      <c r="AF115" s="110"/>
      <c r="AG115" s="110"/>
      <c r="AH115" s="260" t="s">
        <v>21</v>
      </c>
      <c r="AI115" s="260" t="s">
        <v>73</v>
      </c>
      <c r="AJ115" s="260" t="s">
        <v>620</v>
      </c>
      <c r="AK115" s="110" t="s">
        <v>819</v>
      </c>
      <c r="AL115" s="260">
        <v>3000000</v>
      </c>
      <c r="AM115" s="260"/>
      <c r="AN115" s="260"/>
      <c r="AO115" s="260">
        <f>Tabelle4[[#This Row],[Kredit-  / Budgetsumme
(RADAR: Gesamtkosten S)]]-Tabelle4[[#This Row],[Netto-Ausgaben Vorjahre ]]</f>
        <v>3000000</v>
      </c>
      <c r="AP115" s="310"/>
      <c r="AQ115" s="310">
        <v>150000</v>
      </c>
      <c r="AR115" s="260">
        <f>Tabelle4[[#This Row],[Kreditrest per 1.1. aktuelles Jahr]]-Tabelle4[[#This Row],[Prognose 2018
(RADAR: Kosten 2018 S)]]</f>
        <v>2850000</v>
      </c>
      <c r="AS115" s="260"/>
      <c r="AT115" s="310">
        <v>150000</v>
      </c>
      <c r="AU115" s="260"/>
      <c r="AV115" s="310">
        <v>1350000</v>
      </c>
      <c r="AW115" s="260"/>
      <c r="AX115" s="310">
        <v>1350000</v>
      </c>
      <c r="AY115" s="260">
        <v>3000000</v>
      </c>
      <c r="AZ115" s="310"/>
      <c r="BA115" s="260"/>
      <c r="BB115" s="310"/>
      <c r="BC115" s="260"/>
      <c r="BD115" s="310"/>
      <c r="BE115" s="260"/>
      <c r="BF115" s="310"/>
      <c r="BG115" s="260"/>
      <c r="BH115" s="310"/>
      <c r="BI115" s="260"/>
      <c r="BJ115" s="260"/>
      <c r="BK115" s="260"/>
      <c r="BL115" s="105"/>
      <c r="BM115" s="111">
        <v>0</v>
      </c>
      <c r="BN115" s="111"/>
      <c r="BO115" s="111">
        <v>100</v>
      </c>
      <c r="BP115" s="111"/>
      <c r="BQ115" s="111"/>
      <c r="BR115" s="111"/>
      <c r="BS115" s="111"/>
      <c r="BT115" s="113">
        <f>SUM(Tabelle4[[#This Row],[Projektverantwortung
(Lenkungsausschuss) ]:[Kommunikation ]])</f>
        <v>100</v>
      </c>
      <c r="BU115" s="113"/>
      <c r="BV115" s="106">
        <v>0</v>
      </c>
      <c r="BW115" s="106"/>
      <c r="BX115" s="106">
        <v>60</v>
      </c>
      <c r="BY115" s="106"/>
      <c r="BZ115" s="106"/>
      <c r="CA115" s="106"/>
      <c r="CB115" s="106"/>
      <c r="CC115" s="113">
        <f>SUM(Tabelle4[[#This Row],[Projektverantwortung
(Lenkungsausschuss)   ]:[Kommunikation   ]])</f>
        <v>60</v>
      </c>
      <c r="CD115" s="113"/>
      <c r="CE115" s="106">
        <v>0</v>
      </c>
      <c r="CF115" s="106"/>
      <c r="CG115" s="106">
        <v>60</v>
      </c>
      <c r="CH115" s="114"/>
      <c r="CI115" s="114"/>
      <c r="CJ115" s="114"/>
      <c r="CK115" s="114"/>
      <c r="CL115" s="113">
        <f>SUM(Tabelle4[[#This Row],[Projektverantwortung
(Lenkungsausschuss).]:[Kommunikation    ]])</f>
        <v>60</v>
      </c>
      <c r="CM115" s="113"/>
      <c r="CN115" s="106">
        <v>0</v>
      </c>
      <c r="CO115" s="106"/>
      <c r="CP115" s="106">
        <v>60</v>
      </c>
      <c r="CQ115" s="114"/>
      <c r="CR115" s="114"/>
      <c r="CS115" s="114"/>
      <c r="CT115" s="114"/>
      <c r="CU115" s="113">
        <f>SUM(Tabelle4[[#This Row],[Projektverantwortung
(Lenkungsausschuss)    ]:[Kommunikation     ]])</f>
        <v>60</v>
      </c>
      <c r="CV115" s="112">
        <f>SUM(Tabelle4[[#This Row],[Total Aufwand
1. Quartal 2018]],Tabelle4[[#This Row],[Total Aufwand
2. Quartal 2018]],Tabelle4[[#This Row],[Total Aufwand
3. Quartal 2018]],Tabelle4[[#This Row],[Total Aufwand
4. Quartal 2018]])</f>
        <v>280</v>
      </c>
      <c r="CW115" s="105"/>
      <c r="CX115" s="105"/>
      <c r="CY115" s="105"/>
      <c r="CZ115" s="105"/>
      <c r="DA115" s="105"/>
      <c r="DB115" s="105"/>
      <c r="DC115" s="105"/>
      <c r="DD115" s="105"/>
      <c r="DE115" s="112">
        <f>SUM(Tabelle4[[#This Row],[Aufwand ]],Tabelle4[[#This Row],[Aufwand 2]],Tabelle4[[#This Row],[Aufwand 3]],Tabelle4[[#This Row],[Aufwand 4]])</f>
        <v>0</v>
      </c>
      <c r="DF115" s="142"/>
      <c r="DG115" s="110"/>
      <c r="DH115" s="110"/>
      <c r="DI115" s="142"/>
      <c r="DJ115" s="110"/>
      <c r="DK115" s="142"/>
      <c r="DL115" s="110"/>
      <c r="DM115" s="142"/>
      <c r="DN115" s="112">
        <f>SUM(Tabelle4[[#This Row],[Aufwand  ]],Tabelle4[[#This Row],[Aufwand  2]],Tabelle4[[#This Row],[Aufwand  3]],Tabelle4[[#This Row],[Aufwand  4]])</f>
        <v>0</v>
      </c>
      <c r="DO115" s="142"/>
      <c r="DP115" s="110"/>
      <c r="DQ115" s="110"/>
      <c r="DR115" s="142"/>
      <c r="DS115" s="110"/>
      <c r="DT115" s="142"/>
      <c r="DU115" s="110"/>
      <c r="DV115" s="142"/>
      <c r="DW115" s="107">
        <f>SUM(Tabelle4[[#This Row],[Aufwand   ]],Tabelle4[[#This Row],[Aufwand   2]],Tabelle4[[#This Row],[Aufwand   3]],Tabelle4[[#This Row],[Aufwand   4]])</f>
        <v>0</v>
      </c>
      <c r="DX115" s="142"/>
      <c r="DY115" s="143"/>
      <c r="DZ115" s="105"/>
      <c r="EA115" s="105"/>
      <c r="EB115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280</v>
      </c>
      <c r="EC115" s="122">
        <f>Tabelle4[[#This Row],[Gesamaufwand]]/2000</f>
        <v>0.14000000000000001</v>
      </c>
      <c r="ED115" s="47"/>
      <c r="EE115" s="47"/>
      <c r="EF115" s="47"/>
      <c r="EG115" s="47"/>
      <c r="EH115" s="47"/>
      <c r="EI115" s="47"/>
      <c r="EJ115" s="47"/>
      <c r="EK115" s="47"/>
      <c r="EL115" s="47"/>
    </row>
    <row r="116" spans="1:142">
      <c r="A116" s="265" t="s">
        <v>493</v>
      </c>
      <c r="B116" s="251" t="s">
        <v>105</v>
      </c>
      <c r="C116" s="254" t="s">
        <v>75</v>
      </c>
      <c r="D116" s="251" t="s">
        <v>914</v>
      </c>
      <c r="E116" s="251" t="s">
        <v>112</v>
      </c>
      <c r="F116" s="253">
        <v>1</v>
      </c>
      <c r="G116" s="253">
        <v>1</v>
      </c>
      <c r="H116" s="253"/>
      <c r="I116" s="254" t="s">
        <v>94</v>
      </c>
      <c r="J116" s="254"/>
      <c r="K116" s="105"/>
      <c r="L116" s="105"/>
      <c r="M116" s="48"/>
      <c r="N116" s="105"/>
      <c r="O116" s="255" t="s">
        <v>494</v>
      </c>
      <c r="P116" s="261">
        <v>2</v>
      </c>
      <c r="Q116" s="261">
        <v>0</v>
      </c>
      <c r="R116" s="261">
        <v>0</v>
      </c>
      <c r="S116" s="262" t="s">
        <v>417</v>
      </c>
      <c r="T116" s="263" t="s">
        <v>660</v>
      </c>
      <c r="U116" s="105"/>
      <c r="V116" s="259" t="s">
        <v>12</v>
      </c>
      <c r="W116" s="105" t="s">
        <v>7</v>
      </c>
      <c r="X116" s="105" t="s">
        <v>11</v>
      </c>
      <c r="Y116" s="105" t="s">
        <v>690</v>
      </c>
      <c r="Z116" s="105" t="s">
        <v>9</v>
      </c>
      <c r="AA116" s="105" t="s">
        <v>639</v>
      </c>
      <c r="AB116" s="105" t="s">
        <v>639</v>
      </c>
      <c r="AC116" s="105" t="s">
        <v>639</v>
      </c>
      <c r="AD116" s="105" t="s">
        <v>639</v>
      </c>
      <c r="AE116" s="105"/>
      <c r="AF116" s="105"/>
      <c r="AG116" s="105"/>
      <c r="AH116" s="115" t="s">
        <v>621</v>
      </c>
      <c r="AI116" s="115" t="s">
        <v>75</v>
      </c>
      <c r="AJ116" s="115" t="s">
        <v>75</v>
      </c>
      <c r="AK116" s="105"/>
      <c r="AL116" s="115"/>
      <c r="AM116" s="115"/>
      <c r="AN116" s="115"/>
      <c r="AO116" s="260">
        <f>Tabelle4[[#This Row],[Kredit-  / Budgetsumme
(RADAR: Gesamtkosten S)]]-Tabelle4[[#This Row],[Netto-Ausgaben Vorjahre ]]</f>
        <v>0</v>
      </c>
      <c r="AP116" s="310"/>
      <c r="AQ116" s="311"/>
      <c r="AR116" s="115">
        <f>Tabelle4[[#This Row],[Kreditrest per 1.1. aktuelles Jahr]]-Tabelle4[[#This Row],[Prognose 2018
(RADAR: Kosten 2018 S)]]</f>
        <v>0</v>
      </c>
      <c r="AS116" s="115"/>
      <c r="AT116" s="311"/>
      <c r="AU116" s="115"/>
      <c r="AV116" s="311"/>
      <c r="AW116" s="115"/>
      <c r="AX116" s="311"/>
      <c r="AY116" s="115"/>
      <c r="AZ116" s="311"/>
      <c r="BA116" s="115"/>
      <c r="BB116" s="311"/>
      <c r="BC116" s="115"/>
      <c r="BD116" s="311"/>
      <c r="BE116" s="115"/>
      <c r="BF116" s="311"/>
      <c r="BG116" s="115"/>
      <c r="BH116" s="311"/>
      <c r="BI116" s="115"/>
      <c r="BJ116" s="115"/>
      <c r="BK116" s="264"/>
      <c r="BL116" s="105"/>
      <c r="BM116" s="106"/>
      <c r="BN116" s="106"/>
      <c r="BO116" s="106"/>
      <c r="BP116" s="106"/>
      <c r="BQ116" s="106"/>
      <c r="BR116" s="106"/>
      <c r="BS116" s="106"/>
      <c r="BT116" s="108">
        <f>SUM(Tabelle4[[#This Row],[Projektverantwortung
(Lenkungsausschuss) ]:[Kommunikation ]])</f>
        <v>0</v>
      </c>
      <c r="BU116" s="105"/>
      <c r="BV116" s="106"/>
      <c r="BW116" s="106"/>
      <c r="BX116" s="106"/>
      <c r="BY116" s="106"/>
      <c r="BZ116" s="106"/>
      <c r="CA116" s="106"/>
      <c r="CB116" s="106"/>
      <c r="CC116" s="108">
        <f>SUM(Tabelle4[[#This Row],[Projektverantwortung
(Lenkungsausschuss)   ]:[Kommunikation   ]])</f>
        <v>0</v>
      </c>
      <c r="CD116" s="105"/>
      <c r="CE116" s="106"/>
      <c r="CF116" s="106"/>
      <c r="CG116" s="106"/>
      <c r="CH116" s="106"/>
      <c r="CI116" s="106"/>
      <c r="CJ116" s="106"/>
      <c r="CK116" s="106"/>
      <c r="CL116" s="108">
        <f>SUM(Tabelle4[[#This Row],[Projektverantwortung
(Lenkungsausschuss).]:[Kommunikation    ]])</f>
        <v>0</v>
      </c>
      <c r="CM116" s="105"/>
      <c r="CN116" s="106"/>
      <c r="CO116" s="106"/>
      <c r="CP116" s="106"/>
      <c r="CQ116" s="106"/>
      <c r="CR116" s="106"/>
      <c r="CS116" s="106"/>
      <c r="CT116" s="106"/>
      <c r="CU116" s="108">
        <f>SUM(Tabelle4[[#This Row],[Projektverantwortung
(Lenkungsausschuss)    ]:[Kommunikation     ]])</f>
        <v>0</v>
      </c>
      <c r="CV116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116" s="105"/>
      <c r="CX116" s="105"/>
      <c r="CY116" s="105"/>
      <c r="CZ116" s="105"/>
      <c r="DA116" s="105"/>
      <c r="DB116" s="105"/>
      <c r="DC116" s="105"/>
      <c r="DD116" s="105"/>
      <c r="DE116" s="107">
        <f>SUM(Tabelle4[[#This Row],[Aufwand ]],Tabelle4[[#This Row],[Aufwand 2]],Tabelle4[[#This Row],[Aufwand 3]],Tabelle4[[#This Row],[Aufwand 4]])</f>
        <v>0</v>
      </c>
      <c r="DF116" s="105"/>
      <c r="DG116" s="105"/>
      <c r="DH116" s="105"/>
      <c r="DI116" s="105"/>
      <c r="DJ116" s="105"/>
      <c r="DK116" s="105"/>
      <c r="DL116" s="105"/>
      <c r="DM116" s="105"/>
      <c r="DN116" s="107">
        <f>SUM(Tabelle4[[#This Row],[Aufwand  ]],Tabelle4[[#This Row],[Aufwand  2]],Tabelle4[[#This Row],[Aufwand  3]],Tabelle4[[#This Row],[Aufwand  4]])</f>
        <v>0</v>
      </c>
      <c r="DO116" s="105"/>
      <c r="DP116" s="105"/>
      <c r="DQ116" s="105"/>
      <c r="DR116" s="105"/>
      <c r="DS116" s="105"/>
      <c r="DT116" s="105"/>
      <c r="DU116" s="105"/>
      <c r="DV116" s="105"/>
      <c r="DW116" s="107">
        <f>SUM(Tabelle4[[#This Row],[Aufwand   ]],Tabelle4[[#This Row],[Aufwand   2]],Tabelle4[[#This Row],[Aufwand   3]],Tabelle4[[#This Row],[Aufwand   4]])</f>
        <v>0</v>
      </c>
      <c r="DX116" s="105"/>
      <c r="DY116" s="105"/>
      <c r="DZ116" s="105"/>
      <c r="EA116" s="105"/>
      <c r="EB116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116" s="122">
        <f>Tabelle4[[#This Row],[Gesamaufwand]]/2000</f>
        <v>0</v>
      </c>
      <c r="ED116" s="47"/>
      <c r="EE116" s="47"/>
      <c r="EF116" s="47"/>
      <c r="EG116" s="47"/>
      <c r="EH116" s="47"/>
      <c r="EI116" s="47"/>
      <c r="EJ116" s="47"/>
      <c r="EK116" s="47"/>
      <c r="EL116" s="47"/>
    </row>
    <row r="117" spans="1:142">
      <c r="A117" s="255" t="s">
        <v>495</v>
      </c>
      <c r="B117" s="251" t="s">
        <v>105</v>
      </c>
      <c r="C117" s="254" t="s">
        <v>68</v>
      </c>
      <c r="D117" s="251" t="s">
        <v>913</v>
      </c>
      <c r="E117" s="251" t="s">
        <v>635</v>
      </c>
      <c r="F117" s="253">
        <v>3</v>
      </c>
      <c r="G117" s="253">
        <v>2</v>
      </c>
      <c r="H117" s="253"/>
      <c r="I117" s="254" t="s">
        <v>95</v>
      </c>
      <c r="J117" s="254"/>
      <c r="K117" s="105"/>
      <c r="L117" s="105"/>
      <c r="M117" s="48"/>
      <c r="N117" s="105"/>
      <c r="O117" s="255" t="s">
        <v>496</v>
      </c>
      <c r="P117" s="261">
        <v>2</v>
      </c>
      <c r="Q117" s="261">
        <v>0</v>
      </c>
      <c r="R117" s="261">
        <v>0</v>
      </c>
      <c r="S117" s="262" t="s">
        <v>246</v>
      </c>
      <c r="T117" s="263" t="s">
        <v>4</v>
      </c>
      <c r="U117" s="105"/>
      <c r="V117" s="259" t="s">
        <v>607</v>
      </c>
      <c r="W117" s="105" t="s">
        <v>6</v>
      </c>
      <c r="X117" s="105" t="s">
        <v>86</v>
      </c>
      <c r="Y117" s="105" t="s">
        <v>690</v>
      </c>
      <c r="Z117" s="105" t="s">
        <v>75</v>
      </c>
      <c r="AA117" s="105" t="s">
        <v>639</v>
      </c>
      <c r="AB117" s="105" t="s">
        <v>639</v>
      </c>
      <c r="AC117" s="105" t="s">
        <v>639</v>
      </c>
      <c r="AD117" s="105" t="s">
        <v>639</v>
      </c>
      <c r="AE117" s="105"/>
      <c r="AF117" s="105"/>
      <c r="AG117" s="105"/>
      <c r="AH117" s="115" t="s">
        <v>621</v>
      </c>
      <c r="AI117" s="115"/>
      <c r="AJ117" s="115"/>
      <c r="AK117" s="105"/>
      <c r="AL117" s="115"/>
      <c r="AM117" s="115"/>
      <c r="AN117" s="115"/>
      <c r="AO117" s="260">
        <f>Tabelle4[[#This Row],[Kredit-  / Budgetsumme
(RADAR: Gesamtkosten S)]]-Tabelle4[[#This Row],[Netto-Ausgaben Vorjahre ]]</f>
        <v>0</v>
      </c>
      <c r="AP117" s="310"/>
      <c r="AQ117" s="311"/>
      <c r="AR117" s="115">
        <f>Tabelle4[[#This Row],[Kreditrest per 1.1. aktuelles Jahr]]-Tabelle4[[#This Row],[Prognose 2018
(RADAR: Kosten 2018 S)]]</f>
        <v>0</v>
      </c>
      <c r="AS117" s="115"/>
      <c r="AT117" s="311"/>
      <c r="AU117" s="115"/>
      <c r="AV117" s="311"/>
      <c r="AW117" s="115"/>
      <c r="AX117" s="311"/>
      <c r="AY117" s="115"/>
      <c r="AZ117" s="311"/>
      <c r="BA117" s="115"/>
      <c r="BB117" s="311"/>
      <c r="BC117" s="115"/>
      <c r="BD117" s="311"/>
      <c r="BE117" s="115"/>
      <c r="BF117" s="311"/>
      <c r="BG117" s="115"/>
      <c r="BH117" s="311"/>
      <c r="BI117" s="115"/>
      <c r="BJ117" s="115"/>
      <c r="BK117" s="264"/>
      <c r="BL117" s="105"/>
      <c r="BM117" s="106" t="s">
        <v>75</v>
      </c>
      <c r="BN117" s="106"/>
      <c r="BO117" s="106"/>
      <c r="BP117" s="106"/>
      <c r="BQ117" s="106"/>
      <c r="BR117" s="106"/>
      <c r="BS117" s="106"/>
      <c r="BT117" s="108">
        <f>SUM(Tabelle4[[#This Row],[Projektverantwortung
(Lenkungsausschuss) ]:[Kommunikation ]])</f>
        <v>0</v>
      </c>
      <c r="BU117" s="105"/>
      <c r="BV117" s="106"/>
      <c r="BW117" s="106"/>
      <c r="BX117" s="106"/>
      <c r="BY117" s="106"/>
      <c r="BZ117" s="106"/>
      <c r="CA117" s="106"/>
      <c r="CB117" s="106"/>
      <c r="CC117" s="108">
        <f>SUM(Tabelle4[[#This Row],[Projektverantwortung
(Lenkungsausschuss)   ]:[Kommunikation   ]])</f>
        <v>0</v>
      </c>
      <c r="CD117" s="105"/>
      <c r="CE117" s="106"/>
      <c r="CF117" s="106"/>
      <c r="CG117" s="106"/>
      <c r="CH117" s="106"/>
      <c r="CI117" s="106"/>
      <c r="CJ117" s="106"/>
      <c r="CK117" s="106"/>
      <c r="CL117" s="108">
        <f>SUM(Tabelle4[[#This Row],[Projektverantwortung
(Lenkungsausschuss).]:[Kommunikation    ]])</f>
        <v>0</v>
      </c>
      <c r="CM117" s="105"/>
      <c r="CN117" s="106"/>
      <c r="CO117" s="106"/>
      <c r="CP117" s="106"/>
      <c r="CQ117" s="106"/>
      <c r="CR117" s="106"/>
      <c r="CS117" s="106"/>
      <c r="CT117" s="106"/>
      <c r="CU117" s="108">
        <f>SUM(Tabelle4[[#This Row],[Projektverantwortung
(Lenkungsausschuss)    ]:[Kommunikation     ]])</f>
        <v>0</v>
      </c>
      <c r="CV117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117" s="105"/>
      <c r="CX117" s="105"/>
      <c r="CY117" s="105"/>
      <c r="CZ117" s="105"/>
      <c r="DA117" s="105"/>
      <c r="DB117" s="105"/>
      <c r="DC117" s="105"/>
      <c r="DD117" s="105"/>
      <c r="DE117" s="107">
        <f>SUM(Tabelle4[[#This Row],[Aufwand ]],Tabelle4[[#This Row],[Aufwand 2]],Tabelle4[[#This Row],[Aufwand 3]],Tabelle4[[#This Row],[Aufwand 4]])</f>
        <v>0</v>
      </c>
      <c r="DF117" s="105"/>
      <c r="DG117" s="105"/>
      <c r="DH117" s="105"/>
      <c r="DI117" s="105"/>
      <c r="DJ117" s="105"/>
      <c r="DK117" s="105"/>
      <c r="DL117" s="105"/>
      <c r="DM117" s="105"/>
      <c r="DN117" s="107">
        <f>SUM(Tabelle4[[#This Row],[Aufwand  ]],Tabelle4[[#This Row],[Aufwand  2]],Tabelle4[[#This Row],[Aufwand  3]],Tabelle4[[#This Row],[Aufwand  4]])</f>
        <v>0</v>
      </c>
      <c r="DO117" s="105"/>
      <c r="DP117" s="105"/>
      <c r="DQ117" s="105"/>
      <c r="DR117" s="105"/>
      <c r="DS117" s="105"/>
      <c r="DT117" s="105"/>
      <c r="DU117" s="105"/>
      <c r="DV117" s="105"/>
      <c r="DW117" s="107">
        <f>SUM(Tabelle4[[#This Row],[Aufwand   ]],Tabelle4[[#This Row],[Aufwand   2]],Tabelle4[[#This Row],[Aufwand   3]],Tabelle4[[#This Row],[Aufwand   4]])</f>
        <v>0</v>
      </c>
      <c r="DX117" s="105"/>
      <c r="DY117" s="105"/>
      <c r="DZ117" s="105"/>
      <c r="EA117" s="105"/>
      <c r="EB117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117" s="122">
        <f>Tabelle4[[#This Row],[Gesamaufwand]]/2000</f>
        <v>0</v>
      </c>
      <c r="ED117" s="47"/>
      <c r="EE117" s="47"/>
      <c r="EF117" s="47"/>
      <c r="EG117" s="47"/>
      <c r="EH117" s="47"/>
      <c r="EI117" s="47"/>
      <c r="EJ117" s="47"/>
      <c r="EK117" s="47"/>
      <c r="EL117" s="47"/>
    </row>
    <row r="118" spans="1:142">
      <c r="A118" s="265" t="s">
        <v>347</v>
      </c>
      <c r="B118" s="251" t="s">
        <v>694</v>
      </c>
      <c r="C118" s="254" t="s">
        <v>67</v>
      </c>
      <c r="D118" s="251" t="s">
        <v>780</v>
      </c>
      <c r="E118" s="251" t="s">
        <v>778</v>
      </c>
      <c r="F118" s="253">
        <v>2</v>
      </c>
      <c r="G118" s="253">
        <v>1</v>
      </c>
      <c r="H118" s="253"/>
      <c r="I118" s="254" t="s">
        <v>95</v>
      </c>
      <c r="J118" s="254"/>
      <c r="K118" s="105"/>
      <c r="L118" s="105"/>
      <c r="M118" s="48"/>
      <c r="N118" s="105"/>
      <c r="O118" s="255" t="s">
        <v>348</v>
      </c>
      <c r="P118" s="261">
        <v>1</v>
      </c>
      <c r="Q118" s="261">
        <v>0</v>
      </c>
      <c r="R118" s="261">
        <v>0</v>
      </c>
      <c r="S118" s="262" t="s">
        <v>349</v>
      </c>
      <c r="T118" s="263" t="s">
        <v>674</v>
      </c>
      <c r="U118" s="105"/>
      <c r="V118" s="259" t="s">
        <v>12</v>
      </c>
      <c r="W118" s="105" t="s">
        <v>6</v>
      </c>
      <c r="X118" s="105" t="s">
        <v>86</v>
      </c>
      <c r="Y118" s="105" t="s">
        <v>690</v>
      </c>
      <c r="Z118" s="105" t="s">
        <v>81</v>
      </c>
      <c r="AA118" s="105" t="s">
        <v>690</v>
      </c>
      <c r="AB118" s="105" t="s">
        <v>690</v>
      </c>
      <c r="AC118" s="105" t="s">
        <v>690</v>
      </c>
      <c r="AD118" s="105" t="s">
        <v>690</v>
      </c>
      <c r="AE118" s="105"/>
      <c r="AF118" s="105"/>
      <c r="AG118" s="105"/>
      <c r="AH118" s="115" t="s">
        <v>802</v>
      </c>
      <c r="AI118" s="115"/>
      <c r="AJ118" s="115"/>
      <c r="AK118" s="105"/>
      <c r="AL118" s="115"/>
      <c r="AM118" s="115"/>
      <c r="AN118" s="115"/>
      <c r="AO118" s="260">
        <f>Tabelle4[[#This Row],[Kredit-  / Budgetsumme
(RADAR: Gesamtkosten S)]]-Tabelle4[[#This Row],[Netto-Ausgaben Vorjahre ]]</f>
        <v>0</v>
      </c>
      <c r="AP118" s="310"/>
      <c r="AQ118" s="311"/>
      <c r="AR118" s="115">
        <f>Tabelle4[[#This Row],[Kreditrest per 1.1. aktuelles Jahr]]-Tabelle4[[#This Row],[Prognose 2018
(RADAR: Kosten 2018 S)]]</f>
        <v>0</v>
      </c>
      <c r="AS118" s="115"/>
      <c r="AT118" s="311"/>
      <c r="AU118" s="115"/>
      <c r="AV118" s="311"/>
      <c r="AW118" s="115"/>
      <c r="AX118" s="311"/>
      <c r="AY118" s="115"/>
      <c r="AZ118" s="311"/>
      <c r="BA118" s="115"/>
      <c r="BB118" s="311"/>
      <c r="BC118" s="115"/>
      <c r="BD118" s="311"/>
      <c r="BE118" s="115"/>
      <c r="BF118" s="311"/>
      <c r="BG118" s="115"/>
      <c r="BH118" s="311"/>
      <c r="BI118" s="115"/>
      <c r="BJ118" s="115"/>
      <c r="BK118" s="264"/>
      <c r="BL118" s="105"/>
      <c r="BM118" s="106"/>
      <c r="BN118" s="106"/>
      <c r="BO118" s="106"/>
      <c r="BP118" s="106"/>
      <c r="BQ118" s="106"/>
      <c r="BR118" s="106"/>
      <c r="BS118" s="106"/>
      <c r="BT118" s="108">
        <f>SUM(Tabelle4[[#This Row],[Projektverantwortung
(Lenkungsausschuss) ]:[Kommunikation ]])</f>
        <v>0</v>
      </c>
      <c r="BU118" s="105"/>
      <c r="BV118" s="106"/>
      <c r="BW118" s="106"/>
      <c r="BX118" s="106"/>
      <c r="BY118" s="106"/>
      <c r="BZ118" s="106"/>
      <c r="CA118" s="106"/>
      <c r="CB118" s="106"/>
      <c r="CC118" s="108">
        <f>SUM(Tabelle4[[#This Row],[Projektverantwortung
(Lenkungsausschuss)   ]:[Kommunikation   ]])</f>
        <v>0</v>
      </c>
      <c r="CD118" s="105"/>
      <c r="CE118" s="106"/>
      <c r="CF118" s="106"/>
      <c r="CG118" s="106"/>
      <c r="CH118" s="106"/>
      <c r="CI118" s="106"/>
      <c r="CJ118" s="106"/>
      <c r="CK118" s="106"/>
      <c r="CL118" s="108">
        <f>SUM(Tabelle4[[#This Row],[Projektverantwortung
(Lenkungsausschuss).]:[Kommunikation    ]])</f>
        <v>0</v>
      </c>
      <c r="CM118" s="105"/>
      <c r="CN118" s="106"/>
      <c r="CO118" s="106"/>
      <c r="CP118" s="106"/>
      <c r="CQ118" s="106"/>
      <c r="CR118" s="106"/>
      <c r="CS118" s="106"/>
      <c r="CT118" s="106"/>
      <c r="CU118" s="108">
        <f>SUM(Tabelle4[[#This Row],[Projektverantwortung
(Lenkungsausschuss)    ]:[Kommunikation     ]])</f>
        <v>0</v>
      </c>
      <c r="CV118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118" s="105"/>
      <c r="CX118" s="105"/>
      <c r="CY118" s="105"/>
      <c r="CZ118" s="105"/>
      <c r="DA118" s="105"/>
      <c r="DB118" s="105"/>
      <c r="DC118" s="105"/>
      <c r="DD118" s="105"/>
      <c r="DE118" s="107">
        <f>SUM(Tabelle4[[#This Row],[Aufwand ]],Tabelle4[[#This Row],[Aufwand 2]],Tabelle4[[#This Row],[Aufwand 3]],Tabelle4[[#This Row],[Aufwand 4]])</f>
        <v>0</v>
      </c>
      <c r="DF118" s="105"/>
      <c r="DG118" s="105"/>
      <c r="DH118" s="105"/>
      <c r="DI118" s="105"/>
      <c r="DJ118" s="105"/>
      <c r="DK118" s="105"/>
      <c r="DL118" s="105"/>
      <c r="DM118" s="105"/>
      <c r="DN118" s="107">
        <f>SUM(Tabelle4[[#This Row],[Aufwand  ]],Tabelle4[[#This Row],[Aufwand  2]],Tabelle4[[#This Row],[Aufwand  3]],Tabelle4[[#This Row],[Aufwand  4]])</f>
        <v>0</v>
      </c>
      <c r="DO118" s="105"/>
      <c r="DP118" s="105"/>
      <c r="DQ118" s="105"/>
      <c r="DR118" s="105"/>
      <c r="DS118" s="105"/>
      <c r="DT118" s="105"/>
      <c r="DU118" s="105"/>
      <c r="DV118" s="105"/>
      <c r="DW118" s="107">
        <f>SUM(Tabelle4[[#This Row],[Aufwand   ]],Tabelle4[[#This Row],[Aufwand   2]],Tabelle4[[#This Row],[Aufwand   3]],Tabelle4[[#This Row],[Aufwand   4]])</f>
        <v>0</v>
      </c>
      <c r="DX118" s="105"/>
      <c r="DY118" s="105"/>
      <c r="DZ118" s="105"/>
      <c r="EA118" s="105"/>
      <c r="EB118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118" s="122">
        <f>Tabelle4[[#This Row],[Gesamaufwand]]/2000</f>
        <v>0</v>
      </c>
      <c r="ED118" s="47"/>
      <c r="EE118" s="47"/>
      <c r="EF118" s="47"/>
      <c r="EG118" s="47"/>
      <c r="EH118" s="47"/>
      <c r="EI118" s="47"/>
      <c r="EJ118" s="47"/>
      <c r="EK118" s="47"/>
      <c r="EL118" s="47"/>
    </row>
    <row r="119" spans="1:142">
      <c r="A119" s="265" t="s">
        <v>350</v>
      </c>
      <c r="B119" s="251" t="s">
        <v>694</v>
      </c>
      <c r="C119" s="254" t="s">
        <v>67</v>
      </c>
      <c r="D119" s="251" t="s">
        <v>780</v>
      </c>
      <c r="E119" s="251" t="s">
        <v>778</v>
      </c>
      <c r="F119" s="253">
        <v>2</v>
      </c>
      <c r="G119" s="253">
        <v>1</v>
      </c>
      <c r="H119" s="253"/>
      <c r="I119" s="254" t="s">
        <v>95</v>
      </c>
      <c r="J119" s="254"/>
      <c r="K119" s="105"/>
      <c r="L119" s="105"/>
      <c r="M119" s="48"/>
      <c r="N119" s="105"/>
      <c r="O119" s="255" t="s">
        <v>351</v>
      </c>
      <c r="P119" s="261">
        <v>1</v>
      </c>
      <c r="Q119" s="261">
        <v>0</v>
      </c>
      <c r="R119" s="261">
        <v>0</v>
      </c>
      <c r="S119" s="262" t="s">
        <v>352</v>
      </c>
      <c r="T119" s="263" t="s">
        <v>674</v>
      </c>
      <c r="U119" s="105"/>
      <c r="V119" s="259" t="s">
        <v>12</v>
      </c>
      <c r="W119" s="105" t="s">
        <v>6</v>
      </c>
      <c r="X119" s="105" t="s">
        <v>86</v>
      </c>
      <c r="Y119" s="105" t="s">
        <v>690</v>
      </c>
      <c r="Z119" s="105" t="s">
        <v>81</v>
      </c>
      <c r="AA119" s="105" t="s">
        <v>690</v>
      </c>
      <c r="AB119" s="105" t="s">
        <v>690</v>
      </c>
      <c r="AC119" s="105" t="s">
        <v>690</v>
      </c>
      <c r="AD119" s="105" t="s">
        <v>690</v>
      </c>
      <c r="AE119" s="105"/>
      <c r="AF119" s="105"/>
      <c r="AG119" s="105"/>
      <c r="AH119" s="115" t="s">
        <v>802</v>
      </c>
      <c r="AI119" s="115"/>
      <c r="AJ119" s="115"/>
      <c r="AK119" s="105"/>
      <c r="AL119" s="115"/>
      <c r="AM119" s="115"/>
      <c r="AN119" s="115"/>
      <c r="AO119" s="260">
        <f>Tabelle4[[#This Row],[Kredit-  / Budgetsumme
(RADAR: Gesamtkosten S)]]-Tabelle4[[#This Row],[Netto-Ausgaben Vorjahre ]]</f>
        <v>0</v>
      </c>
      <c r="AP119" s="310"/>
      <c r="AQ119" s="311"/>
      <c r="AR119" s="115">
        <f>Tabelle4[[#This Row],[Kreditrest per 1.1. aktuelles Jahr]]-Tabelle4[[#This Row],[Prognose 2018
(RADAR: Kosten 2018 S)]]</f>
        <v>0</v>
      </c>
      <c r="AS119" s="115"/>
      <c r="AT119" s="311"/>
      <c r="AU119" s="115"/>
      <c r="AV119" s="311"/>
      <c r="AW119" s="115"/>
      <c r="AX119" s="311"/>
      <c r="AY119" s="115"/>
      <c r="AZ119" s="311"/>
      <c r="BA119" s="115"/>
      <c r="BB119" s="311"/>
      <c r="BC119" s="115"/>
      <c r="BD119" s="311"/>
      <c r="BE119" s="115"/>
      <c r="BF119" s="311"/>
      <c r="BG119" s="115"/>
      <c r="BH119" s="311"/>
      <c r="BI119" s="115"/>
      <c r="BJ119" s="115"/>
      <c r="BK119" s="264"/>
      <c r="BL119" s="105"/>
      <c r="BM119" s="106"/>
      <c r="BN119" s="106"/>
      <c r="BO119" s="106"/>
      <c r="BP119" s="106"/>
      <c r="BQ119" s="106"/>
      <c r="BR119" s="106"/>
      <c r="BS119" s="106"/>
      <c r="BT119" s="108">
        <f>SUM(Tabelle4[[#This Row],[Projektverantwortung
(Lenkungsausschuss) ]:[Kommunikation ]])</f>
        <v>0</v>
      </c>
      <c r="BU119" s="105"/>
      <c r="BV119" s="106"/>
      <c r="BW119" s="106"/>
      <c r="BX119" s="106"/>
      <c r="BY119" s="106"/>
      <c r="BZ119" s="106"/>
      <c r="CA119" s="106"/>
      <c r="CB119" s="106"/>
      <c r="CC119" s="108">
        <f>SUM(Tabelle4[[#This Row],[Projektverantwortung
(Lenkungsausschuss)   ]:[Kommunikation   ]])</f>
        <v>0</v>
      </c>
      <c r="CD119" s="105"/>
      <c r="CE119" s="106"/>
      <c r="CF119" s="106"/>
      <c r="CG119" s="106"/>
      <c r="CH119" s="106"/>
      <c r="CI119" s="106"/>
      <c r="CJ119" s="106"/>
      <c r="CK119" s="106"/>
      <c r="CL119" s="108">
        <f>SUM(Tabelle4[[#This Row],[Projektverantwortung
(Lenkungsausschuss).]:[Kommunikation    ]])</f>
        <v>0</v>
      </c>
      <c r="CM119" s="105"/>
      <c r="CN119" s="106"/>
      <c r="CO119" s="106"/>
      <c r="CP119" s="106"/>
      <c r="CQ119" s="106"/>
      <c r="CR119" s="106"/>
      <c r="CS119" s="106"/>
      <c r="CT119" s="106"/>
      <c r="CU119" s="108">
        <f>SUM(Tabelle4[[#This Row],[Projektverantwortung
(Lenkungsausschuss)    ]:[Kommunikation     ]])</f>
        <v>0</v>
      </c>
      <c r="CV119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119" s="105"/>
      <c r="CX119" s="105"/>
      <c r="CY119" s="105"/>
      <c r="CZ119" s="105"/>
      <c r="DA119" s="105"/>
      <c r="DB119" s="105"/>
      <c r="DC119" s="105"/>
      <c r="DD119" s="105"/>
      <c r="DE119" s="107">
        <f>SUM(Tabelle4[[#This Row],[Aufwand ]],Tabelle4[[#This Row],[Aufwand 2]],Tabelle4[[#This Row],[Aufwand 3]],Tabelle4[[#This Row],[Aufwand 4]])</f>
        <v>0</v>
      </c>
      <c r="DF119" s="105"/>
      <c r="DG119" s="105"/>
      <c r="DH119" s="105"/>
      <c r="DI119" s="105"/>
      <c r="DJ119" s="105"/>
      <c r="DK119" s="105"/>
      <c r="DL119" s="105"/>
      <c r="DM119" s="105"/>
      <c r="DN119" s="107">
        <f>SUM(Tabelle4[[#This Row],[Aufwand  ]],Tabelle4[[#This Row],[Aufwand  2]],Tabelle4[[#This Row],[Aufwand  3]],Tabelle4[[#This Row],[Aufwand  4]])</f>
        <v>0</v>
      </c>
      <c r="DO119" s="105"/>
      <c r="DP119" s="105"/>
      <c r="DQ119" s="105"/>
      <c r="DR119" s="105"/>
      <c r="DS119" s="105"/>
      <c r="DT119" s="105"/>
      <c r="DU119" s="105"/>
      <c r="DV119" s="105"/>
      <c r="DW119" s="107">
        <f>SUM(Tabelle4[[#This Row],[Aufwand   ]],Tabelle4[[#This Row],[Aufwand   2]],Tabelle4[[#This Row],[Aufwand   3]],Tabelle4[[#This Row],[Aufwand   4]])</f>
        <v>0</v>
      </c>
      <c r="DX119" s="105"/>
      <c r="DY119" s="105"/>
      <c r="DZ119" s="105"/>
      <c r="EA119" s="105"/>
      <c r="EB119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119" s="122">
        <f>Tabelle4[[#This Row],[Gesamaufwand]]/2000</f>
        <v>0</v>
      </c>
      <c r="ED119" s="47"/>
      <c r="EE119" s="47"/>
      <c r="EF119" s="47"/>
      <c r="EG119" s="47"/>
      <c r="EH119" s="47"/>
      <c r="EI119" s="47"/>
      <c r="EJ119" s="47"/>
      <c r="EK119" s="47"/>
      <c r="EL119" s="47"/>
    </row>
    <row r="120" spans="1:142">
      <c r="A120" s="255" t="s">
        <v>497</v>
      </c>
      <c r="B120" s="251" t="s">
        <v>105</v>
      </c>
      <c r="C120" s="254" t="s">
        <v>75</v>
      </c>
      <c r="D120" s="251" t="s">
        <v>913</v>
      </c>
      <c r="E120" s="251" t="s">
        <v>635</v>
      </c>
      <c r="F120" s="253">
        <v>3</v>
      </c>
      <c r="G120" s="253">
        <v>2</v>
      </c>
      <c r="H120" s="253"/>
      <c r="I120" s="254" t="s">
        <v>95</v>
      </c>
      <c r="J120" s="254"/>
      <c r="K120" s="105"/>
      <c r="L120" s="105"/>
      <c r="M120" s="48"/>
      <c r="N120" s="105"/>
      <c r="O120" s="255" t="s">
        <v>498</v>
      </c>
      <c r="P120" s="261">
        <v>2</v>
      </c>
      <c r="Q120" s="261">
        <v>0</v>
      </c>
      <c r="R120" s="261">
        <v>0</v>
      </c>
      <c r="S120" s="262" t="s">
        <v>198</v>
      </c>
      <c r="T120" s="263" t="s">
        <v>75</v>
      </c>
      <c r="U120" s="105"/>
      <c r="V120" s="259" t="s">
        <v>615</v>
      </c>
      <c r="W120" s="105" t="s">
        <v>75</v>
      </c>
      <c r="X120" s="105" t="s">
        <v>75</v>
      </c>
      <c r="Y120" s="105" t="s">
        <v>10</v>
      </c>
      <c r="Z120" s="105" t="s">
        <v>862</v>
      </c>
      <c r="AA120" s="105" t="s">
        <v>75</v>
      </c>
      <c r="AB120" s="105" t="s">
        <v>75</v>
      </c>
      <c r="AC120" s="105" t="s">
        <v>75</v>
      </c>
      <c r="AD120" s="105"/>
      <c r="AE120" s="105"/>
      <c r="AF120" s="105"/>
      <c r="AG120" s="105"/>
      <c r="AH120" s="115" t="s">
        <v>621</v>
      </c>
      <c r="AI120" s="115"/>
      <c r="AJ120" s="115"/>
      <c r="AK120" s="105"/>
      <c r="AL120" s="115"/>
      <c r="AM120" s="115"/>
      <c r="AN120" s="115"/>
      <c r="AO120" s="260">
        <f>Tabelle4[[#This Row],[Kredit-  / Budgetsumme
(RADAR: Gesamtkosten S)]]-Tabelle4[[#This Row],[Netto-Ausgaben Vorjahre ]]</f>
        <v>0</v>
      </c>
      <c r="AP120" s="310"/>
      <c r="AQ120" s="311"/>
      <c r="AR120" s="115">
        <f>Tabelle4[[#This Row],[Kreditrest per 1.1. aktuelles Jahr]]-Tabelle4[[#This Row],[Prognose 2018
(RADAR: Kosten 2018 S)]]</f>
        <v>0</v>
      </c>
      <c r="AS120" s="115"/>
      <c r="AT120" s="311"/>
      <c r="AU120" s="115"/>
      <c r="AV120" s="311"/>
      <c r="AW120" s="115"/>
      <c r="AX120" s="311"/>
      <c r="AY120" s="115"/>
      <c r="AZ120" s="311"/>
      <c r="BA120" s="115"/>
      <c r="BB120" s="311"/>
      <c r="BC120" s="115"/>
      <c r="BD120" s="311"/>
      <c r="BE120" s="115"/>
      <c r="BF120" s="311"/>
      <c r="BG120" s="115"/>
      <c r="BH120" s="311"/>
      <c r="BI120" s="115"/>
      <c r="BJ120" s="115"/>
      <c r="BK120" s="264"/>
      <c r="BL120" s="105"/>
      <c r="BM120" s="106"/>
      <c r="BN120" s="106"/>
      <c r="BO120" s="106"/>
      <c r="BP120" s="106"/>
      <c r="BQ120" s="106"/>
      <c r="BR120" s="106"/>
      <c r="BS120" s="106"/>
      <c r="BT120" s="108">
        <f>SUM(Tabelle4[[#This Row],[Projektverantwortung
(Lenkungsausschuss) ]:[Kommunikation ]])</f>
        <v>0</v>
      </c>
      <c r="BU120" s="105"/>
      <c r="BV120" s="106"/>
      <c r="BW120" s="106"/>
      <c r="BX120" s="106"/>
      <c r="BY120" s="106"/>
      <c r="BZ120" s="106"/>
      <c r="CA120" s="106"/>
      <c r="CB120" s="106"/>
      <c r="CC120" s="108">
        <f>SUM(Tabelle4[[#This Row],[Projektverantwortung
(Lenkungsausschuss)   ]:[Kommunikation   ]])</f>
        <v>0</v>
      </c>
      <c r="CD120" s="105"/>
      <c r="CE120" s="106"/>
      <c r="CF120" s="106"/>
      <c r="CG120" s="106"/>
      <c r="CH120" s="106"/>
      <c r="CI120" s="106"/>
      <c r="CJ120" s="106"/>
      <c r="CK120" s="106"/>
      <c r="CL120" s="108">
        <f>SUM(Tabelle4[[#This Row],[Projektverantwortung
(Lenkungsausschuss).]:[Kommunikation    ]])</f>
        <v>0</v>
      </c>
      <c r="CM120" s="105"/>
      <c r="CN120" s="106"/>
      <c r="CO120" s="106"/>
      <c r="CP120" s="106"/>
      <c r="CQ120" s="106"/>
      <c r="CR120" s="106"/>
      <c r="CS120" s="106"/>
      <c r="CT120" s="106"/>
      <c r="CU120" s="108">
        <f>SUM(Tabelle4[[#This Row],[Projektverantwortung
(Lenkungsausschuss)    ]:[Kommunikation     ]])</f>
        <v>0</v>
      </c>
      <c r="CV120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120" s="105"/>
      <c r="CX120" s="105"/>
      <c r="CY120" s="105"/>
      <c r="CZ120" s="105"/>
      <c r="DA120" s="105"/>
      <c r="DB120" s="105"/>
      <c r="DC120" s="105"/>
      <c r="DD120" s="105"/>
      <c r="DE120" s="107">
        <f>SUM(Tabelle4[[#This Row],[Aufwand ]],Tabelle4[[#This Row],[Aufwand 2]],Tabelle4[[#This Row],[Aufwand 3]],Tabelle4[[#This Row],[Aufwand 4]])</f>
        <v>0</v>
      </c>
      <c r="DF120" s="105"/>
      <c r="DG120" s="105"/>
      <c r="DH120" s="105"/>
      <c r="DI120" s="105"/>
      <c r="DJ120" s="105"/>
      <c r="DK120" s="105"/>
      <c r="DL120" s="105"/>
      <c r="DM120" s="105"/>
      <c r="DN120" s="107">
        <f>SUM(Tabelle4[[#This Row],[Aufwand  ]],Tabelle4[[#This Row],[Aufwand  2]],Tabelle4[[#This Row],[Aufwand  3]],Tabelle4[[#This Row],[Aufwand  4]])</f>
        <v>0</v>
      </c>
      <c r="DO120" s="105"/>
      <c r="DP120" s="105"/>
      <c r="DQ120" s="105"/>
      <c r="DR120" s="105"/>
      <c r="DS120" s="105"/>
      <c r="DT120" s="105"/>
      <c r="DU120" s="105"/>
      <c r="DV120" s="105"/>
      <c r="DW120" s="107">
        <f>SUM(Tabelle4[[#This Row],[Aufwand   ]],Tabelle4[[#This Row],[Aufwand   2]],Tabelle4[[#This Row],[Aufwand   3]],Tabelle4[[#This Row],[Aufwand   4]])</f>
        <v>0</v>
      </c>
      <c r="DX120" s="105"/>
      <c r="DY120" s="105"/>
      <c r="DZ120" s="105"/>
      <c r="EA120" s="105"/>
      <c r="EB120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120" s="122">
        <f>Tabelle4[[#This Row],[Gesamaufwand]]/2000</f>
        <v>0</v>
      </c>
      <c r="ED120" s="47"/>
      <c r="EE120" s="47"/>
      <c r="EF120" s="47"/>
      <c r="EG120" s="47"/>
      <c r="EH120" s="47"/>
      <c r="EI120" s="47"/>
      <c r="EJ120" s="47"/>
      <c r="EK120" s="47"/>
      <c r="EL120" s="47"/>
    </row>
    <row r="121" spans="1:142">
      <c r="A121" s="255" t="s">
        <v>353</v>
      </c>
      <c r="B121" s="251" t="s">
        <v>105</v>
      </c>
      <c r="C121" s="254" t="s">
        <v>67</v>
      </c>
      <c r="D121" s="251" t="s">
        <v>780</v>
      </c>
      <c r="E121" s="251" t="s">
        <v>778</v>
      </c>
      <c r="F121" s="253">
        <v>2</v>
      </c>
      <c r="G121" s="253">
        <v>2</v>
      </c>
      <c r="H121" s="253"/>
      <c r="I121" s="254" t="s">
        <v>95</v>
      </c>
      <c r="J121" s="254"/>
      <c r="K121" s="105"/>
      <c r="L121" s="105"/>
      <c r="M121" s="48"/>
      <c r="N121" s="105"/>
      <c r="O121" s="255" t="s">
        <v>354</v>
      </c>
      <c r="P121" s="261">
        <v>1</v>
      </c>
      <c r="Q121" s="261">
        <v>0</v>
      </c>
      <c r="R121" s="261">
        <v>0</v>
      </c>
      <c r="S121" s="262" t="s">
        <v>355</v>
      </c>
      <c r="T121" s="263" t="s">
        <v>663</v>
      </c>
      <c r="U121" s="105"/>
      <c r="V121" s="259" t="s">
        <v>12</v>
      </c>
      <c r="W121" s="105" t="s">
        <v>6</v>
      </c>
      <c r="X121" s="105" t="s">
        <v>86</v>
      </c>
      <c r="Y121" s="105" t="s">
        <v>690</v>
      </c>
      <c r="Z121" s="105" t="s">
        <v>81</v>
      </c>
      <c r="AA121" s="105" t="s">
        <v>690</v>
      </c>
      <c r="AB121" s="105" t="s">
        <v>690</v>
      </c>
      <c r="AC121" s="105" t="s">
        <v>634</v>
      </c>
      <c r="AD121" s="105" t="s">
        <v>690</v>
      </c>
      <c r="AE121" s="105"/>
      <c r="AF121" s="105"/>
      <c r="AG121" s="105"/>
      <c r="AH121" s="115" t="s">
        <v>802</v>
      </c>
      <c r="AI121" s="115"/>
      <c r="AJ121" s="115" t="s">
        <v>620</v>
      </c>
      <c r="AK121" s="105"/>
      <c r="AL121" s="115">
        <v>108000</v>
      </c>
      <c r="AM121" s="115"/>
      <c r="AN121" s="115">
        <f>Tabelle4[[#This Row],[Kredit-  / Budgetsumme
(RADAR: Gesamtkosten S)]]-Tabelle4[[#This Row],[Kreditrest per 1.1. aktuelles Jahr]]</f>
        <v>79100</v>
      </c>
      <c r="AO121" s="260">
        <v>28900</v>
      </c>
      <c r="AP121" s="310"/>
      <c r="AQ121" s="311">
        <v>28900</v>
      </c>
      <c r="AR121" s="115">
        <f>Tabelle4[[#This Row],[Kreditrest per 1.1. aktuelles Jahr]]-Tabelle4[[#This Row],[Prognose 2018
(RADAR: Kosten 2018 S)]]</f>
        <v>0</v>
      </c>
      <c r="AS121" s="115"/>
      <c r="AT121" s="311"/>
      <c r="AU121" s="115"/>
      <c r="AV121" s="311"/>
      <c r="AW121" s="115"/>
      <c r="AX121" s="311"/>
      <c r="AY121" s="115"/>
      <c r="AZ121" s="311"/>
      <c r="BA121" s="115"/>
      <c r="BB121" s="311"/>
      <c r="BC121" s="115"/>
      <c r="BD121" s="311"/>
      <c r="BE121" s="115"/>
      <c r="BF121" s="311"/>
      <c r="BG121" s="115"/>
      <c r="BH121" s="311"/>
      <c r="BI121" s="115"/>
      <c r="BJ121" s="115"/>
      <c r="BK121" s="264"/>
      <c r="BL121" s="105"/>
      <c r="BM121" s="106">
        <v>0</v>
      </c>
      <c r="BN121" s="106"/>
      <c r="BO121" s="106">
        <v>40</v>
      </c>
      <c r="BP121" s="106">
        <v>0</v>
      </c>
      <c r="BQ121" s="106">
        <v>0</v>
      </c>
      <c r="BR121" s="106">
        <v>20</v>
      </c>
      <c r="BS121" s="106"/>
      <c r="BT121" s="108">
        <f>SUM(Tabelle4[[#This Row],[Projektverantwortung
(Lenkungsausschuss) ]:[Kommunikation ]])</f>
        <v>60</v>
      </c>
      <c r="BU121" s="105"/>
      <c r="BV121" s="106"/>
      <c r="BW121" s="106"/>
      <c r="BX121" s="106">
        <v>20</v>
      </c>
      <c r="BY121" s="106"/>
      <c r="BZ121" s="106">
        <v>20</v>
      </c>
      <c r="CA121" s="106"/>
      <c r="CB121" s="106"/>
      <c r="CC121" s="108">
        <f>SUM(Tabelle4[[#This Row],[Projektverantwortung
(Lenkungsausschuss)   ]:[Kommunikation   ]])</f>
        <v>40</v>
      </c>
      <c r="CD121" s="105"/>
      <c r="CE121" s="106">
        <v>0</v>
      </c>
      <c r="CF121" s="106">
        <v>0</v>
      </c>
      <c r="CG121" s="106">
        <v>0</v>
      </c>
      <c r="CH121" s="106">
        <v>0</v>
      </c>
      <c r="CI121" s="106">
        <v>0</v>
      </c>
      <c r="CJ121" s="106">
        <v>0</v>
      </c>
      <c r="CK121" s="106">
        <v>0</v>
      </c>
      <c r="CL121" s="108">
        <f>SUM(Tabelle4[[#This Row],[Projektverantwortung
(Lenkungsausschuss).]:[Kommunikation    ]])</f>
        <v>0</v>
      </c>
      <c r="CM121" s="105"/>
      <c r="CN121" s="106">
        <v>0</v>
      </c>
      <c r="CO121" s="106">
        <v>0</v>
      </c>
      <c r="CP121" s="106">
        <v>0</v>
      </c>
      <c r="CQ121" s="106">
        <v>0</v>
      </c>
      <c r="CR121" s="106">
        <v>20</v>
      </c>
      <c r="CS121" s="106">
        <v>0</v>
      </c>
      <c r="CT121" s="106">
        <v>0</v>
      </c>
      <c r="CU121" s="108">
        <f>SUM(Tabelle4[[#This Row],[Projektverantwortung
(Lenkungsausschuss)    ]:[Kommunikation     ]])</f>
        <v>20</v>
      </c>
      <c r="CV121" s="107">
        <f>SUM(Tabelle4[[#This Row],[Total Aufwand
1. Quartal 2018]],Tabelle4[[#This Row],[Total Aufwand
2. Quartal 2018]],Tabelle4[[#This Row],[Total Aufwand
3. Quartal 2018]],Tabelle4[[#This Row],[Total Aufwand
4. Quartal 2018]])</f>
        <v>120</v>
      </c>
      <c r="CW121" s="105"/>
      <c r="CX121" s="105"/>
      <c r="CY121" s="105"/>
      <c r="CZ121" s="105"/>
      <c r="DA121" s="105"/>
      <c r="DB121" s="105"/>
      <c r="DC121" s="105"/>
      <c r="DD121" s="105"/>
      <c r="DE121" s="107">
        <f>SUM(Tabelle4[[#This Row],[Aufwand ]],Tabelle4[[#This Row],[Aufwand 2]],Tabelle4[[#This Row],[Aufwand 3]],Tabelle4[[#This Row],[Aufwand 4]])</f>
        <v>0</v>
      </c>
      <c r="DF121" s="105"/>
      <c r="DG121" s="105"/>
      <c r="DH121" s="105"/>
      <c r="DI121" s="105"/>
      <c r="DJ121" s="105"/>
      <c r="DK121" s="105"/>
      <c r="DL121" s="105"/>
      <c r="DM121" s="105"/>
      <c r="DN121" s="107">
        <f>SUM(Tabelle4[[#This Row],[Aufwand  ]],Tabelle4[[#This Row],[Aufwand  2]],Tabelle4[[#This Row],[Aufwand  3]],Tabelle4[[#This Row],[Aufwand  4]])</f>
        <v>0</v>
      </c>
      <c r="DO121" s="105"/>
      <c r="DP121" s="105"/>
      <c r="DQ121" s="105"/>
      <c r="DR121" s="105"/>
      <c r="DS121" s="105"/>
      <c r="DT121" s="105"/>
      <c r="DU121" s="105"/>
      <c r="DV121" s="105"/>
      <c r="DW121" s="107">
        <f>SUM(Tabelle4[[#This Row],[Aufwand   ]],Tabelle4[[#This Row],[Aufwand   2]],Tabelle4[[#This Row],[Aufwand   3]],Tabelle4[[#This Row],[Aufwand   4]])</f>
        <v>0</v>
      </c>
      <c r="DX121" s="105"/>
      <c r="DY121" s="105"/>
      <c r="DZ121" s="105"/>
      <c r="EA121" s="105"/>
      <c r="EB121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120</v>
      </c>
      <c r="EC121" s="122">
        <f>Tabelle4[[#This Row],[Gesamaufwand]]/2000</f>
        <v>0.06</v>
      </c>
      <c r="ED121" s="47"/>
      <c r="EE121" s="47"/>
      <c r="EF121" s="47"/>
      <c r="EG121" s="47"/>
      <c r="EH121" s="47"/>
      <c r="EI121" s="47"/>
      <c r="EJ121" s="47"/>
      <c r="EK121" s="47"/>
      <c r="EL121" s="47"/>
    </row>
    <row r="122" spans="1:142">
      <c r="A122" s="265" t="s">
        <v>147</v>
      </c>
      <c r="B122" s="251" t="s">
        <v>1331</v>
      </c>
      <c r="C122" s="254" t="s">
        <v>690</v>
      </c>
      <c r="D122" s="251"/>
      <c r="E122" s="251" t="s">
        <v>75</v>
      </c>
      <c r="F122" s="253"/>
      <c r="G122" s="253"/>
      <c r="H122" s="253"/>
      <c r="I122" s="254"/>
      <c r="J122" s="254"/>
      <c r="K122" s="105"/>
      <c r="L122" s="105"/>
      <c r="M122" s="48"/>
      <c r="N122" s="105"/>
      <c r="O122" s="255" t="s">
        <v>148</v>
      </c>
      <c r="P122" s="261">
        <v>4</v>
      </c>
      <c r="Q122" s="261">
        <v>0</v>
      </c>
      <c r="R122" s="261">
        <v>0</v>
      </c>
      <c r="S122" s="262" t="s">
        <v>126</v>
      </c>
      <c r="T122" s="263" t="s">
        <v>673</v>
      </c>
      <c r="U122" s="105"/>
      <c r="V122" s="259" t="s">
        <v>12</v>
      </c>
      <c r="W122" s="105" t="s">
        <v>75</v>
      </c>
      <c r="X122" s="105" t="s">
        <v>75</v>
      </c>
      <c r="Y122" s="105" t="s">
        <v>75</v>
      </c>
      <c r="Z122" s="105" t="s">
        <v>75</v>
      </c>
      <c r="AA122" s="105" t="s">
        <v>75</v>
      </c>
      <c r="AB122" s="105" t="s">
        <v>75</v>
      </c>
      <c r="AC122" s="105" t="s">
        <v>75</v>
      </c>
      <c r="AD122" s="105"/>
      <c r="AE122" s="105"/>
      <c r="AF122" s="105"/>
      <c r="AG122" s="105"/>
      <c r="AH122" s="115" t="s">
        <v>690</v>
      </c>
      <c r="AI122" s="115"/>
      <c r="AJ122" s="115"/>
      <c r="AK122" s="105"/>
      <c r="AL122" s="115"/>
      <c r="AM122" s="115"/>
      <c r="AN122" s="115"/>
      <c r="AO122" s="260">
        <f>Tabelle4[[#This Row],[Kredit-  / Budgetsumme
(RADAR: Gesamtkosten S)]]-Tabelle4[[#This Row],[Netto-Ausgaben Vorjahre ]]</f>
        <v>0</v>
      </c>
      <c r="AP122" s="310"/>
      <c r="AQ122" s="311"/>
      <c r="AR122" s="115">
        <f>Tabelle4[[#This Row],[Kreditrest per 1.1. aktuelles Jahr]]-Tabelle4[[#This Row],[Prognose 2018
(RADAR: Kosten 2018 S)]]</f>
        <v>0</v>
      </c>
      <c r="AS122" s="115"/>
      <c r="AT122" s="311"/>
      <c r="AU122" s="115"/>
      <c r="AV122" s="311"/>
      <c r="AW122" s="115"/>
      <c r="AX122" s="311"/>
      <c r="AY122" s="115"/>
      <c r="AZ122" s="311"/>
      <c r="BA122" s="115"/>
      <c r="BB122" s="311"/>
      <c r="BC122" s="115"/>
      <c r="BD122" s="311"/>
      <c r="BE122" s="115"/>
      <c r="BF122" s="311"/>
      <c r="BG122" s="115"/>
      <c r="BH122" s="311"/>
      <c r="BI122" s="115"/>
      <c r="BJ122" s="115"/>
      <c r="BK122" s="264"/>
      <c r="BL122" s="105"/>
      <c r="BM122" s="106"/>
      <c r="BN122" s="106"/>
      <c r="BO122" s="106"/>
      <c r="BP122" s="106"/>
      <c r="BQ122" s="106"/>
      <c r="BR122" s="106"/>
      <c r="BS122" s="106"/>
      <c r="BT122" s="108">
        <f>SUM(Tabelle4[[#This Row],[Projektverantwortung
(Lenkungsausschuss) ]:[Kommunikation ]])</f>
        <v>0</v>
      </c>
      <c r="BU122" s="105"/>
      <c r="BV122" s="106"/>
      <c r="BW122" s="106"/>
      <c r="BX122" s="106"/>
      <c r="BY122" s="106"/>
      <c r="BZ122" s="106"/>
      <c r="CA122" s="106"/>
      <c r="CB122" s="106"/>
      <c r="CC122" s="108">
        <f>SUM(Tabelle4[[#This Row],[Projektverantwortung
(Lenkungsausschuss)   ]:[Kommunikation   ]])</f>
        <v>0</v>
      </c>
      <c r="CD122" s="105"/>
      <c r="CE122" s="106"/>
      <c r="CF122" s="106"/>
      <c r="CG122" s="106"/>
      <c r="CH122" s="106"/>
      <c r="CI122" s="106"/>
      <c r="CJ122" s="106"/>
      <c r="CK122" s="106"/>
      <c r="CL122" s="108">
        <f>SUM(Tabelle4[[#This Row],[Projektverantwortung
(Lenkungsausschuss).]:[Kommunikation    ]])</f>
        <v>0</v>
      </c>
      <c r="CM122" s="105"/>
      <c r="CN122" s="106"/>
      <c r="CO122" s="106"/>
      <c r="CP122" s="106"/>
      <c r="CQ122" s="106"/>
      <c r="CR122" s="106"/>
      <c r="CS122" s="106"/>
      <c r="CT122" s="106"/>
      <c r="CU122" s="108">
        <f>SUM(Tabelle4[[#This Row],[Projektverantwortung
(Lenkungsausschuss)    ]:[Kommunikation     ]])</f>
        <v>0</v>
      </c>
      <c r="CV122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122" s="105"/>
      <c r="CX122" s="105"/>
      <c r="CY122" s="105"/>
      <c r="CZ122" s="105"/>
      <c r="DA122" s="105"/>
      <c r="DB122" s="105"/>
      <c r="DC122" s="105"/>
      <c r="DD122" s="105"/>
      <c r="DE122" s="107">
        <f>SUM(Tabelle4[[#This Row],[Aufwand ]],Tabelle4[[#This Row],[Aufwand 2]],Tabelle4[[#This Row],[Aufwand 3]],Tabelle4[[#This Row],[Aufwand 4]])</f>
        <v>0</v>
      </c>
      <c r="DF122" s="105"/>
      <c r="DG122" s="105"/>
      <c r="DH122" s="105"/>
      <c r="DI122" s="105"/>
      <c r="DJ122" s="105"/>
      <c r="DK122" s="105"/>
      <c r="DL122" s="105"/>
      <c r="DM122" s="105"/>
      <c r="DN122" s="107">
        <f>SUM(Tabelle4[[#This Row],[Aufwand  ]],Tabelle4[[#This Row],[Aufwand  2]],Tabelle4[[#This Row],[Aufwand  3]],Tabelle4[[#This Row],[Aufwand  4]])</f>
        <v>0</v>
      </c>
      <c r="DO122" s="105"/>
      <c r="DP122" s="105"/>
      <c r="DQ122" s="105"/>
      <c r="DR122" s="105"/>
      <c r="DS122" s="105"/>
      <c r="DT122" s="105"/>
      <c r="DU122" s="105"/>
      <c r="DV122" s="105"/>
      <c r="DW122" s="107">
        <f>SUM(Tabelle4[[#This Row],[Aufwand   ]],Tabelle4[[#This Row],[Aufwand   2]],Tabelle4[[#This Row],[Aufwand   3]],Tabelle4[[#This Row],[Aufwand   4]])</f>
        <v>0</v>
      </c>
      <c r="DX122" s="105"/>
      <c r="DY122" s="105"/>
      <c r="DZ122" s="105"/>
      <c r="EA122" s="105"/>
      <c r="EB122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122" s="122">
        <f>Tabelle4[[#This Row],[Gesamaufwand]]/2000</f>
        <v>0</v>
      </c>
      <c r="ED122" s="47"/>
      <c r="EE122" s="47"/>
      <c r="EF122" s="47"/>
      <c r="EG122" s="47"/>
      <c r="EH122" s="47"/>
      <c r="EI122" s="47"/>
      <c r="EJ122" s="47"/>
      <c r="EK122" s="47"/>
      <c r="EL122" s="47"/>
    </row>
    <row r="123" spans="1:142">
      <c r="A123" s="255" t="s">
        <v>1084</v>
      </c>
      <c r="B123" s="251"/>
      <c r="C123" s="254"/>
      <c r="D123" s="251" t="s">
        <v>914</v>
      </c>
      <c r="E123" s="251" t="s">
        <v>859</v>
      </c>
      <c r="F123" s="253">
        <v>4</v>
      </c>
      <c r="G123" s="253">
        <v>1</v>
      </c>
      <c r="H123" s="253"/>
      <c r="I123" s="254" t="s">
        <v>95</v>
      </c>
      <c r="J123" s="254"/>
      <c r="K123" s="105"/>
      <c r="L123" s="105"/>
      <c r="M123" s="48"/>
      <c r="N123" s="105"/>
      <c r="O123" s="255" t="s">
        <v>214</v>
      </c>
      <c r="P123" s="261">
        <v>5</v>
      </c>
      <c r="Q123" s="261">
        <v>0</v>
      </c>
      <c r="R123" s="261">
        <v>0</v>
      </c>
      <c r="S123" s="262" t="s">
        <v>215</v>
      </c>
      <c r="T123" s="263" t="s">
        <v>673</v>
      </c>
      <c r="U123" s="105"/>
      <c r="V123" s="259" t="s">
        <v>12</v>
      </c>
      <c r="W123" s="105" t="s">
        <v>8</v>
      </c>
      <c r="X123" s="105" t="s">
        <v>10</v>
      </c>
      <c r="Y123" s="105"/>
      <c r="Z123" s="105" t="s">
        <v>84</v>
      </c>
      <c r="AA123" s="105"/>
      <c r="AB123" s="105"/>
      <c r="AC123" s="105"/>
      <c r="AD123" s="105"/>
      <c r="AE123" s="105"/>
      <c r="AF123" s="105"/>
      <c r="AG123" s="105"/>
      <c r="AH123" s="115" t="s">
        <v>1092</v>
      </c>
      <c r="AI123" s="115"/>
      <c r="AJ123" s="115"/>
      <c r="AK123" s="105"/>
      <c r="AL123" s="115"/>
      <c r="AM123" s="115"/>
      <c r="AN123" s="115"/>
      <c r="AO123" s="115"/>
      <c r="AP123" s="311"/>
      <c r="AQ123" s="311">
        <v>20000</v>
      </c>
      <c r="AR123" s="115"/>
      <c r="AS123" s="115"/>
      <c r="AT123" s="311">
        <v>20000</v>
      </c>
      <c r="AU123" s="115"/>
      <c r="AV123" s="311">
        <v>20000</v>
      </c>
      <c r="AW123" s="115"/>
      <c r="AX123" s="311">
        <v>20000</v>
      </c>
      <c r="AY123" s="115"/>
      <c r="AZ123" s="311">
        <v>20000</v>
      </c>
      <c r="BA123" s="115"/>
      <c r="BB123" s="311">
        <v>20000</v>
      </c>
      <c r="BC123" s="115"/>
      <c r="BD123" s="311">
        <v>20000</v>
      </c>
      <c r="BE123" s="115"/>
      <c r="BF123" s="311">
        <v>20000</v>
      </c>
      <c r="BG123" s="115"/>
      <c r="BH123" s="311"/>
      <c r="BI123" s="115"/>
      <c r="BJ123" s="115"/>
      <c r="BK123" s="115"/>
      <c r="BL123" s="105"/>
      <c r="BM123" s="106"/>
      <c r="BN123" s="106"/>
      <c r="BO123" s="106"/>
      <c r="BP123" s="106"/>
      <c r="BQ123" s="106"/>
      <c r="BR123" s="106"/>
      <c r="BS123" s="106"/>
      <c r="BT123" s="108">
        <f>SUM(Tabelle4[[#This Row],[Projektverantwortung
(Lenkungsausschuss) ]:[Kommunikation ]])</f>
        <v>0</v>
      </c>
      <c r="BU123" s="108"/>
      <c r="BV123" s="151"/>
      <c r="BW123" s="151"/>
      <c r="BX123" s="151"/>
      <c r="BY123" s="151"/>
      <c r="BZ123" s="151"/>
      <c r="CA123" s="151"/>
      <c r="CB123" s="151"/>
      <c r="CC123" s="108">
        <f>SUM(Tabelle4[[#This Row],[Projektverantwortung
(Lenkungsausschuss)   ]:[Kommunikation   ]])</f>
        <v>0</v>
      </c>
      <c r="CD123" s="108"/>
      <c r="CE123" s="151"/>
      <c r="CF123" s="151"/>
      <c r="CG123" s="151"/>
      <c r="CH123" s="151"/>
      <c r="CI123" s="151"/>
      <c r="CJ123" s="151"/>
      <c r="CK123" s="151"/>
      <c r="CL123" s="108">
        <f>SUM(Tabelle4[[#This Row],[Projektverantwortung
(Lenkungsausschuss).]:[Kommunikation    ]])</f>
        <v>0</v>
      </c>
      <c r="CM123" s="108"/>
      <c r="CN123" s="151"/>
      <c r="CO123" s="151"/>
      <c r="CP123" s="151"/>
      <c r="CQ123" s="151"/>
      <c r="CR123" s="151"/>
      <c r="CS123" s="151"/>
      <c r="CT123" s="151"/>
      <c r="CU123" s="108">
        <f>SUM(Tabelle4[[#This Row],[Projektverantwortung
(Lenkungsausschuss)    ]:[Kommunikation     ]])</f>
        <v>0</v>
      </c>
      <c r="CV123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123" s="105"/>
      <c r="CX123" s="105"/>
      <c r="CY123" s="116"/>
      <c r="CZ123" s="105"/>
      <c r="DA123" s="116"/>
      <c r="DB123" s="105"/>
      <c r="DC123" s="116"/>
      <c r="DD123" s="105"/>
      <c r="DE123" s="107">
        <f>SUM(Tabelle4[[#This Row],[Aufwand ]],Tabelle4[[#This Row],[Aufwand 2]],Tabelle4[[#This Row],[Aufwand 3]],Tabelle4[[#This Row],[Aufwand 4]])</f>
        <v>0</v>
      </c>
      <c r="DF123" s="116"/>
      <c r="DG123" s="105"/>
      <c r="DH123" s="105"/>
      <c r="DI123" s="116"/>
      <c r="DJ123" s="105"/>
      <c r="DK123" s="116"/>
      <c r="DL123" s="105"/>
      <c r="DM123" s="116"/>
      <c r="DN123" s="107">
        <f>SUM(Tabelle4[[#This Row],[Aufwand  ]],Tabelle4[[#This Row],[Aufwand  2]],Tabelle4[[#This Row],[Aufwand  3]],Tabelle4[[#This Row],[Aufwand  4]])</f>
        <v>0</v>
      </c>
      <c r="DO123" s="116"/>
      <c r="DP123" s="116"/>
      <c r="DQ123" s="116"/>
      <c r="DR123" s="105"/>
      <c r="DS123" s="105"/>
      <c r="DT123" s="116"/>
      <c r="DU123" s="105"/>
      <c r="DV123" s="116"/>
      <c r="DW123" s="107" t="e">
        <f>#REF!</f>
        <v>#REF!</v>
      </c>
      <c r="DX123" s="116"/>
      <c r="DY123" s="152"/>
      <c r="DZ123" s="105"/>
      <c r="EA123" s="180"/>
      <c r="EB123" s="181" t="e">
        <f>#REF!</f>
        <v>#REF!</v>
      </c>
      <c r="EC123" s="109"/>
      <c r="ED123" s="47"/>
      <c r="EE123" s="47"/>
      <c r="EF123" s="47"/>
      <c r="EG123" s="47"/>
      <c r="EH123" s="47"/>
      <c r="EI123" s="47"/>
      <c r="EJ123" s="47"/>
      <c r="EK123" s="47"/>
      <c r="EL123" s="47"/>
    </row>
    <row r="124" spans="1:142">
      <c r="A124" s="255" t="s">
        <v>149</v>
      </c>
      <c r="B124" s="251" t="s">
        <v>1331</v>
      </c>
      <c r="C124" s="254" t="s">
        <v>690</v>
      </c>
      <c r="D124" s="251"/>
      <c r="E124" s="251" t="s">
        <v>75</v>
      </c>
      <c r="F124" s="253"/>
      <c r="G124" s="253"/>
      <c r="H124" s="253"/>
      <c r="I124" s="254"/>
      <c r="J124" s="254"/>
      <c r="K124" s="105"/>
      <c r="L124" s="105"/>
      <c r="M124" s="48"/>
      <c r="N124" s="105"/>
      <c r="O124" s="255" t="s">
        <v>150</v>
      </c>
      <c r="P124" s="261">
        <v>4</v>
      </c>
      <c r="Q124" s="261">
        <v>0</v>
      </c>
      <c r="R124" s="261">
        <v>0</v>
      </c>
      <c r="S124" s="262" t="s">
        <v>129</v>
      </c>
      <c r="T124" s="263" t="s">
        <v>673</v>
      </c>
      <c r="U124" s="105"/>
      <c r="V124" s="259" t="s">
        <v>75</v>
      </c>
      <c r="W124" s="105" t="s">
        <v>7</v>
      </c>
      <c r="X124" s="105" t="s">
        <v>9</v>
      </c>
      <c r="Y124" s="105" t="s">
        <v>690</v>
      </c>
      <c r="Z124" s="105" t="s">
        <v>9</v>
      </c>
      <c r="AA124" s="105" t="s">
        <v>690</v>
      </c>
      <c r="AB124" s="105" t="s">
        <v>690</v>
      </c>
      <c r="AC124" s="105" t="s">
        <v>690</v>
      </c>
      <c r="AD124" s="105"/>
      <c r="AE124" s="105"/>
      <c r="AF124" s="105"/>
      <c r="AG124" s="105"/>
      <c r="AH124" s="115" t="s">
        <v>690</v>
      </c>
      <c r="AI124" s="115"/>
      <c r="AJ124" s="115"/>
      <c r="AK124" s="105"/>
      <c r="AL124" s="115"/>
      <c r="AM124" s="115"/>
      <c r="AN124" s="115"/>
      <c r="AO124" s="260">
        <f>Tabelle4[[#This Row],[Kredit-  / Budgetsumme
(RADAR: Gesamtkosten S)]]-Tabelle4[[#This Row],[Netto-Ausgaben Vorjahre ]]</f>
        <v>0</v>
      </c>
      <c r="AP124" s="310"/>
      <c r="AQ124" s="311"/>
      <c r="AR124" s="115">
        <f>Tabelle4[[#This Row],[Kreditrest per 1.1. aktuelles Jahr]]-Tabelle4[[#This Row],[Prognose 2018
(RADAR: Kosten 2018 S)]]</f>
        <v>0</v>
      </c>
      <c r="AS124" s="115"/>
      <c r="AT124" s="311"/>
      <c r="AU124" s="115"/>
      <c r="AV124" s="311"/>
      <c r="AW124" s="115"/>
      <c r="AX124" s="311"/>
      <c r="AY124" s="115"/>
      <c r="AZ124" s="311"/>
      <c r="BA124" s="115"/>
      <c r="BB124" s="311"/>
      <c r="BC124" s="115"/>
      <c r="BD124" s="311"/>
      <c r="BE124" s="115"/>
      <c r="BF124" s="311"/>
      <c r="BG124" s="115"/>
      <c r="BH124" s="311"/>
      <c r="BI124" s="115"/>
      <c r="BJ124" s="115"/>
      <c r="BK124" s="264"/>
      <c r="BL124" s="105"/>
      <c r="BM124" s="106"/>
      <c r="BN124" s="106"/>
      <c r="BO124" s="106">
        <v>20</v>
      </c>
      <c r="BP124" s="106"/>
      <c r="BQ124" s="106"/>
      <c r="BR124" s="106"/>
      <c r="BS124" s="106"/>
      <c r="BT124" s="108">
        <f>SUM(Tabelle4[[#This Row],[Projektverantwortung
(Lenkungsausschuss) ]:[Kommunikation ]])</f>
        <v>20</v>
      </c>
      <c r="BU124" s="105"/>
      <c r="BV124" s="106"/>
      <c r="BW124" s="106"/>
      <c r="BX124" s="106">
        <v>20</v>
      </c>
      <c r="BY124" s="106"/>
      <c r="BZ124" s="106"/>
      <c r="CA124" s="106"/>
      <c r="CB124" s="106"/>
      <c r="CC124" s="108">
        <f>SUM(Tabelle4[[#This Row],[Projektverantwortung
(Lenkungsausschuss)   ]:[Kommunikation   ]])</f>
        <v>20</v>
      </c>
      <c r="CD124" s="105"/>
      <c r="CE124" s="106"/>
      <c r="CF124" s="106"/>
      <c r="CG124" s="106">
        <v>20</v>
      </c>
      <c r="CH124" s="106"/>
      <c r="CI124" s="106"/>
      <c r="CJ124" s="106"/>
      <c r="CK124" s="106"/>
      <c r="CL124" s="108">
        <f>SUM(Tabelle4[[#This Row],[Projektverantwortung
(Lenkungsausschuss).]:[Kommunikation    ]])</f>
        <v>20</v>
      </c>
      <c r="CM124" s="105"/>
      <c r="CN124" s="106"/>
      <c r="CO124" s="106"/>
      <c r="CP124" s="106">
        <v>20</v>
      </c>
      <c r="CQ124" s="106"/>
      <c r="CR124" s="106"/>
      <c r="CS124" s="106"/>
      <c r="CT124" s="106"/>
      <c r="CU124" s="108">
        <f>SUM(Tabelle4[[#This Row],[Projektverantwortung
(Lenkungsausschuss)    ]:[Kommunikation     ]])</f>
        <v>20</v>
      </c>
      <c r="CV124" s="107">
        <f>SUM(Tabelle4[[#This Row],[Total Aufwand
1. Quartal 2018]],Tabelle4[[#This Row],[Total Aufwand
2. Quartal 2018]],Tabelle4[[#This Row],[Total Aufwand
3. Quartal 2018]],Tabelle4[[#This Row],[Total Aufwand
4. Quartal 2018]])</f>
        <v>80</v>
      </c>
      <c r="CW124" s="105"/>
      <c r="CX124" s="105"/>
      <c r="CY124" s="105"/>
      <c r="CZ124" s="105"/>
      <c r="DA124" s="105"/>
      <c r="DB124" s="105"/>
      <c r="DC124" s="105"/>
      <c r="DD124" s="105"/>
      <c r="DE124" s="107">
        <f>SUM(Tabelle4[[#This Row],[Aufwand ]],Tabelle4[[#This Row],[Aufwand 2]],Tabelle4[[#This Row],[Aufwand 3]],Tabelle4[[#This Row],[Aufwand 4]])</f>
        <v>0</v>
      </c>
      <c r="DF124" s="105"/>
      <c r="DG124" s="105"/>
      <c r="DH124" s="105"/>
      <c r="DI124" s="105"/>
      <c r="DJ124" s="105"/>
      <c r="DK124" s="105"/>
      <c r="DL124" s="105"/>
      <c r="DM124" s="105"/>
      <c r="DN124" s="107">
        <f>SUM(Tabelle4[[#This Row],[Aufwand  ]],Tabelle4[[#This Row],[Aufwand  2]],Tabelle4[[#This Row],[Aufwand  3]],Tabelle4[[#This Row],[Aufwand  4]])</f>
        <v>0</v>
      </c>
      <c r="DO124" s="105"/>
      <c r="DP124" s="105"/>
      <c r="DQ124" s="105"/>
      <c r="DR124" s="105"/>
      <c r="DS124" s="105"/>
      <c r="DT124" s="105"/>
      <c r="DU124" s="105"/>
      <c r="DV124" s="105"/>
      <c r="DW124" s="107">
        <f>SUM(Tabelle4[[#This Row],[Aufwand   ]],Tabelle4[[#This Row],[Aufwand   2]],Tabelle4[[#This Row],[Aufwand   3]],Tabelle4[[#This Row],[Aufwand   4]])</f>
        <v>0</v>
      </c>
      <c r="DX124" s="105"/>
      <c r="DY124" s="105"/>
      <c r="DZ124" s="105"/>
      <c r="EA124" s="105"/>
      <c r="EB124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80</v>
      </c>
      <c r="EC124" s="122">
        <f>Tabelle4[[#This Row],[Gesamaufwand]]/2000</f>
        <v>0.04</v>
      </c>
      <c r="ED124" s="48"/>
      <c r="EE124" s="48"/>
      <c r="EF124" s="48"/>
      <c r="EG124" s="48"/>
      <c r="EH124" s="48"/>
      <c r="EI124" s="47"/>
      <c r="EJ124" s="47"/>
      <c r="EK124" s="47"/>
      <c r="EL124" s="47"/>
    </row>
    <row r="125" spans="1:142">
      <c r="A125" s="255" t="s">
        <v>499</v>
      </c>
      <c r="B125" s="251" t="s">
        <v>105</v>
      </c>
      <c r="C125" s="254" t="s">
        <v>68</v>
      </c>
      <c r="D125" s="251" t="s">
        <v>913</v>
      </c>
      <c r="E125" s="251" t="s">
        <v>695</v>
      </c>
      <c r="F125" s="253">
        <v>3</v>
      </c>
      <c r="G125" s="253">
        <v>4</v>
      </c>
      <c r="H125" s="253"/>
      <c r="I125" s="254" t="s">
        <v>95</v>
      </c>
      <c r="J125" s="254"/>
      <c r="K125" s="105"/>
      <c r="L125" s="105"/>
      <c r="M125" s="48"/>
      <c r="N125" s="105"/>
      <c r="O125" s="255" t="s">
        <v>500</v>
      </c>
      <c r="P125" s="261">
        <v>2</v>
      </c>
      <c r="Q125" s="261">
        <v>0</v>
      </c>
      <c r="R125" s="261">
        <v>0</v>
      </c>
      <c r="S125" s="262" t="s">
        <v>501</v>
      </c>
      <c r="T125" s="263" t="s">
        <v>75</v>
      </c>
      <c r="U125" s="105"/>
      <c r="V125" s="259" t="s">
        <v>607</v>
      </c>
      <c r="W125" s="105" t="s">
        <v>6</v>
      </c>
      <c r="X125" s="105" t="s">
        <v>86</v>
      </c>
      <c r="Y125" s="105" t="s">
        <v>690</v>
      </c>
      <c r="Z125" s="105" t="s">
        <v>80</v>
      </c>
      <c r="AA125" s="105" t="s">
        <v>639</v>
      </c>
      <c r="AB125" s="105" t="s">
        <v>639</v>
      </c>
      <c r="AC125" s="105" t="s">
        <v>639</v>
      </c>
      <c r="AD125" s="105"/>
      <c r="AE125" s="105"/>
      <c r="AF125" s="105"/>
      <c r="AG125" s="105"/>
      <c r="AH125" s="115" t="s">
        <v>621</v>
      </c>
      <c r="AI125" s="115"/>
      <c r="AJ125" s="115"/>
      <c r="AK125" s="105"/>
      <c r="AL125" s="115"/>
      <c r="AM125" s="115"/>
      <c r="AN125" s="115"/>
      <c r="AO125" s="260">
        <f>Tabelle4[[#This Row],[Kredit-  / Budgetsumme
(RADAR: Gesamtkosten S)]]-Tabelle4[[#This Row],[Netto-Ausgaben Vorjahre ]]</f>
        <v>0</v>
      </c>
      <c r="AP125" s="310"/>
      <c r="AQ125" s="311"/>
      <c r="AR125" s="115">
        <f>Tabelle4[[#This Row],[Kreditrest per 1.1. aktuelles Jahr]]-Tabelle4[[#This Row],[Prognose 2018
(RADAR: Kosten 2018 S)]]</f>
        <v>0</v>
      </c>
      <c r="AS125" s="115"/>
      <c r="AT125" s="311"/>
      <c r="AU125" s="115"/>
      <c r="AV125" s="311"/>
      <c r="AW125" s="115"/>
      <c r="AX125" s="311"/>
      <c r="AY125" s="115"/>
      <c r="AZ125" s="311"/>
      <c r="BA125" s="115"/>
      <c r="BB125" s="311"/>
      <c r="BC125" s="115"/>
      <c r="BD125" s="311"/>
      <c r="BE125" s="115"/>
      <c r="BF125" s="311"/>
      <c r="BG125" s="115"/>
      <c r="BH125" s="311"/>
      <c r="BI125" s="115"/>
      <c r="BJ125" s="115"/>
      <c r="BK125" s="264"/>
      <c r="BL125" s="105"/>
      <c r="BM125" s="106"/>
      <c r="BN125" s="106"/>
      <c r="BO125" s="106">
        <v>8</v>
      </c>
      <c r="BP125" s="106"/>
      <c r="BQ125" s="106"/>
      <c r="BR125" s="106"/>
      <c r="BS125" s="106"/>
      <c r="BT125" s="108">
        <f>SUM(Tabelle4[[#This Row],[Projektverantwortung
(Lenkungsausschuss) ]:[Kommunikation ]])</f>
        <v>8</v>
      </c>
      <c r="BU125" s="105"/>
      <c r="BV125" s="106"/>
      <c r="BW125" s="106"/>
      <c r="BX125" s="106">
        <v>8</v>
      </c>
      <c r="BY125" s="106"/>
      <c r="BZ125" s="106"/>
      <c r="CA125" s="106"/>
      <c r="CB125" s="106"/>
      <c r="CC125" s="108">
        <f>SUM(Tabelle4[[#This Row],[Projektverantwortung
(Lenkungsausschuss)   ]:[Kommunikation   ]])</f>
        <v>8</v>
      </c>
      <c r="CD125" s="105"/>
      <c r="CE125" s="106"/>
      <c r="CF125" s="106"/>
      <c r="CG125" s="106">
        <v>8</v>
      </c>
      <c r="CH125" s="106"/>
      <c r="CI125" s="106"/>
      <c r="CJ125" s="106"/>
      <c r="CK125" s="106"/>
      <c r="CL125" s="108">
        <f>SUM(Tabelle4[[#This Row],[Projektverantwortung
(Lenkungsausschuss).]:[Kommunikation    ]])</f>
        <v>8</v>
      </c>
      <c r="CM125" s="105"/>
      <c r="CN125" s="106"/>
      <c r="CO125" s="106"/>
      <c r="CP125" s="106">
        <v>8</v>
      </c>
      <c r="CQ125" s="106"/>
      <c r="CR125" s="106"/>
      <c r="CS125" s="106"/>
      <c r="CT125" s="106"/>
      <c r="CU125" s="108">
        <f>SUM(Tabelle4[[#This Row],[Projektverantwortung
(Lenkungsausschuss)    ]:[Kommunikation     ]])</f>
        <v>8</v>
      </c>
      <c r="CV125" s="107">
        <f>SUM(Tabelle4[[#This Row],[Total Aufwand
1. Quartal 2018]],Tabelle4[[#This Row],[Total Aufwand
2. Quartal 2018]],Tabelle4[[#This Row],[Total Aufwand
3. Quartal 2018]],Tabelle4[[#This Row],[Total Aufwand
4. Quartal 2018]])</f>
        <v>32</v>
      </c>
      <c r="CW125" s="105"/>
      <c r="CX125" s="105"/>
      <c r="CY125" s="105"/>
      <c r="CZ125" s="105"/>
      <c r="DA125" s="105"/>
      <c r="DB125" s="105"/>
      <c r="DC125" s="105"/>
      <c r="DD125" s="105"/>
      <c r="DE125" s="107">
        <f>SUM(Tabelle4[[#This Row],[Aufwand ]],Tabelle4[[#This Row],[Aufwand 2]],Tabelle4[[#This Row],[Aufwand 3]],Tabelle4[[#This Row],[Aufwand 4]])</f>
        <v>0</v>
      </c>
      <c r="DF125" s="105"/>
      <c r="DG125" s="105"/>
      <c r="DH125" s="105"/>
      <c r="DI125" s="105"/>
      <c r="DJ125" s="105"/>
      <c r="DK125" s="105"/>
      <c r="DL125" s="105"/>
      <c r="DM125" s="105"/>
      <c r="DN125" s="107">
        <f>SUM(Tabelle4[[#This Row],[Aufwand  ]],Tabelle4[[#This Row],[Aufwand  2]],Tabelle4[[#This Row],[Aufwand  3]],Tabelle4[[#This Row],[Aufwand  4]])</f>
        <v>0</v>
      </c>
      <c r="DO125" s="105"/>
      <c r="DP125" s="105"/>
      <c r="DQ125" s="105"/>
      <c r="DR125" s="105"/>
      <c r="DS125" s="105"/>
      <c r="DT125" s="105"/>
      <c r="DU125" s="105"/>
      <c r="DV125" s="105"/>
      <c r="DW125" s="107">
        <f>SUM(Tabelle4[[#This Row],[Aufwand   ]],Tabelle4[[#This Row],[Aufwand   2]],Tabelle4[[#This Row],[Aufwand   3]],Tabelle4[[#This Row],[Aufwand   4]])</f>
        <v>0</v>
      </c>
      <c r="DX125" s="105"/>
      <c r="DY125" s="105"/>
      <c r="DZ125" s="105"/>
      <c r="EA125" s="105"/>
      <c r="EB125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32</v>
      </c>
      <c r="EC125" s="122">
        <f>Tabelle4[[#This Row],[Gesamaufwand]]/2000</f>
        <v>1.6E-2</v>
      </c>
      <c r="ED125" s="48"/>
      <c r="EE125" s="48"/>
      <c r="EF125" s="48"/>
      <c r="EG125" s="48"/>
      <c r="EH125" s="48"/>
      <c r="EI125" s="47"/>
      <c r="EJ125" s="47"/>
      <c r="EK125" s="47"/>
      <c r="EL125" s="47"/>
    </row>
    <row r="126" spans="1:142">
      <c r="A126" s="255" t="s">
        <v>151</v>
      </c>
      <c r="B126" s="251" t="s">
        <v>1331</v>
      </c>
      <c r="C126" s="254" t="s">
        <v>690</v>
      </c>
      <c r="D126" s="251" t="s">
        <v>75</v>
      </c>
      <c r="E126" s="251" t="s">
        <v>97</v>
      </c>
      <c r="F126" s="253">
        <v>1</v>
      </c>
      <c r="G126" s="253">
        <v>1</v>
      </c>
      <c r="H126" s="253"/>
      <c r="I126" s="254" t="s">
        <v>94</v>
      </c>
      <c r="J126" s="254"/>
      <c r="K126" s="105"/>
      <c r="L126" s="105"/>
      <c r="M126" s="48"/>
      <c r="N126" s="105"/>
      <c r="O126" s="255" t="s">
        <v>152</v>
      </c>
      <c r="P126" s="261">
        <v>4</v>
      </c>
      <c r="Q126" s="261">
        <v>0</v>
      </c>
      <c r="R126" s="261">
        <v>0</v>
      </c>
      <c r="S126" s="262" t="s">
        <v>132</v>
      </c>
      <c r="T126" s="263" t="s">
        <v>673</v>
      </c>
      <c r="U126" s="105"/>
      <c r="V126" s="259" t="s">
        <v>610</v>
      </c>
      <c r="W126" s="105" t="s">
        <v>6</v>
      </c>
      <c r="X126" s="105" t="s">
        <v>86</v>
      </c>
      <c r="Y126" s="105" t="s">
        <v>690</v>
      </c>
      <c r="Z126" s="105" t="s">
        <v>81</v>
      </c>
      <c r="AA126" s="105" t="s">
        <v>690</v>
      </c>
      <c r="AB126" s="105" t="s">
        <v>690</v>
      </c>
      <c r="AC126" s="105" t="s">
        <v>690</v>
      </c>
      <c r="AD126" s="105"/>
      <c r="AE126" s="105"/>
      <c r="AF126" s="105"/>
      <c r="AG126" s="105"/>
      <c r="AH126" s="115" t="s">
        <v>690</v>
      </c>
      <c r="AI126" s="115"/>
      <c r="AJ126" s="115"/>
      <c r="AK126" s="105"/>
      <c r="AL126" s="115"/>
      <c r="AM126" s="115"/>
      <c r="AN126" s="115"/>
      <c r="AO126" s="260">
        <f>Tabelle4[[#This Row],[Kredit-  / Budgetsumme
(RADAR: Gesamtkosten S)]]-Tabelle4[[#This Row],[Netto-Ausgaben Vorjahre ]]</f>
        <v>0</v>
      </c>
      <c r="AP126" s="310"/>
      <c r="AQ126" s="311"/>
      <c r="AR126" s="115">
        <f>Tabelle4[[#This Row],[Kreditrest per 1.1. aktuelles Jahr]]-Tabelle4[[#This Row],[Prognose 2018
(RADAR: Kosten 2018 S)]]</f>
        <v>0</v>
      </c>
      <c r="AS126" s="115"/>
      <c r="AT126" s="311"/>
      <c r="AU126" s="115"/>
      <c r="AV126" s="311"/>
      <c r="AW126" s="115"/>
      <c r="AX126" s="311"/>
      <c r="AY126" s="115"/>
      <c r="AZ126" s="311"/>
      <c r="BA126" s="115"/>
      <c r="BB126" s="311"/>
      <c r="BC126" s="115"/>
      <c r="BD126" s="311"/>
      <c r="BE126" s="115"/>
      <c r="BF126" s="311"/>
      <c r="BG126" s="115"/>
      <c r="BH126" s="311"/>
      <c r="BI126" s="115"/>
      <c r="BJ126" s="115"/>
      <c r="BK126" s="264"/>
      <c r="BL126" s="105"/>
      <c r="BM126" s="106"/>
      <c r="BN126" s="106">
        <v>8</v>
      </c>
      <c r="BO126" s="106"/>
      <c r="BP126" s="106">
        <v>60</v>
      </c>
      <c r="BQ126" s="106"/>
      <c r="BR126" s="106"/>
      <c r="BS126" s="106"/>
      <c r="BT126" s="108">
        <f>SUM(Tabelle4[[#This Row],[Projektverantwortung
(Lenkungsausschuss) ]:[Kommunikation ]])</f>
        <v>68</v>
      </c>
      <c r="BU126" s="105"/>
      <c r="BV126" s="106">
        <v>8</v>
      </c>
      <c r="BW126" s="106"/>
      <c r="BX126" s="106">
        <v>60</v>
      </c>
      <c r="BY126" s="106"/>
      <c r="BZ126" s="106"/>
      <c r="CA126" s="106"/>
      <c r="CB126" s="106"/>
      <c r="CC126" s="108">
        <f>SUM(Tabelle4[[#This Row],[Projektverantwortung
(Lenkungsausschuss)   ]:[Kommunikation   ]])</f>
        <v>68</v>
      </c>
      <c r="CD126" s="105"/>
      <c r="CE126" s="106">
        <v>8</v>
      </c>
      <c r="CF126" s="106"/>
      <c r="CG126" s="106">
        <v>20</v>
      </c>
      <c r="CH126" s="106"/>
      <c r="CI126" s="106"/>
      <c r="CJ126" s="106"/>
      <c r="CK126" s="106"/>
      <c r="CL126" s="108">
        <f>SUM(Tabelle4[[#This Row],[Projektverantwortung
(Lenkungsausschuss).]:[Kommunikation    ]])</f>
        <v>28</v>
      </c>
      <c r="CM126" s="105"/>
      <c r="CN126" s="106">
        <v>8</v>
      </c>
      <c r="CO126" s="106"/>
      <c r="CP126" s="106">
        <v>60</v>
      </c>
      <c r="CQ126" s="106"/>
      <c r="CR126" s="106"/>
      <c r="CS126" s="106"/>
      <c r="CT126" s="106"/>
      <c r="CU126" s="108">
        <f>SUM(Tabelle4[[#This Row],[Projektverantwortung
(Lenkungsausschuss)    ]:[Kommunikation     ]])</f>
        <v>68</v>
      </c>
      <c r="CV126" s="107">
        <f>SUM(Tabelle4[[#This Row],[Total Aufwand
1. Quartal 2018]],Tabelle4[[#This Row],[Total Aufwand
2. Quartal 2018]],Tabelle4[[#This Row],[Total Aufwand
3. Quartal 2018]],Tabelle4[[#This Row],[Total Aufwand
4. Quartal 2018]])</f>
        <v>232</v>
      </c>
      <c r="CW126" s="105"/>
      <c r="CX126" s="105"/>
      <c r="CY126" s="105"/>
      <c r="CZ126" s="105"/>
      <c r="DA126" s="105"/>
      <c r="DB126" s="105"/>
      <c r="DC126" s="105"/>
      <c r="DD126" s="105"/>
      <c r="DE126" s="107">
        <f>SUM(Tabelle4[[#This Row],[Aufwand ]],Tabelle4[[#This Row],[Aufwand 2]],Tabelle4[[#This Row],[Aufwand 3]],Tabelle4[[#This Row],[Aufwand 4]])</f>
        <v>0</v>
      </c>
      <c r="DF126" s="105"/>
      <c r="DG126" s="105"/>
      <c r="DH126" s="105"/>
      <c r="DI126" s="105"/>
      <c r="DJ126" s="105"/>
      <c r="DK126" s="105"/>
      <c r="DL126" s="105"/>
      <c r="DM126" s="105"/>
      <c r="DN126" s="107">
        <f>SUM(Tabelle4[[#This Row],[Aufwand  ]],Tabelle4[[#This Row],[Aufwand  2]],Tabelle4[[#This Row],[Aufwand  3]],Tabelle4[[#This Row],[Aufwand  4]])</f>
        <v>0</v>
      </c>
      <c r="DO126" s="105"/>
      <c r="DP126" s="105"/>
      <c r="DQ126" s="105"/>
      <c r="DR126" s="105"/>
      <c r="DS126" s="105"/>
      <c r="DT126" s="105"/>
      <c r="DU126" s="105"/>
      <c r="DV126" s="105"/>
      <c r="DW126" s="107">
        <f>SUM(Tabelle4[[#This Row],[Aufwand   ]],Tabelle4[[#This Row],[Aufwand   2]],Tabelle4[[#This Row],[Aufwand   3]],Tabelle4[[#This Row],[Aufwand   4]])</f>
        <v>0</v>
      </c>
      <c r="DX126" s="105"/>
      <c r="DY126" s="105"/>
      <c r="DZ126" s="105"/>
      <c r="EA126" s="105"/>
      <c r="EB126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232</v>
      </c>
      <c r="EC126" s="122">
        <f>Tabelle4[[#This Row],[Gesamaufwand]]/2000</f>
        <v>0.11600000000000001</v>
      </c>
      <c r="ED126" s="48"/>
      <c r="EE126" s="48"/>
      <c r="EF126" s="48"/>
      <c r="EG126" s="48"/>
      <c r="EH126" s="48"/>
      <c r="EI126" s="47"/>
      <c r="EJ126" s="47"/>
      <c r="EK126" s="47"/>
      <c r="EL126" s="47"/>
    </row>
    <row r="127" spans="1:142">
      <c r="A127" s="255" t="s">
        <v>357</v>
      </c>
      <c r="B127" s="251" t="s">
        <v>105</v>
      </c>
      <c r="C127" s="254" t="s">
        <v>67</v>
      </c>
      <c r="D127" s="251" t="s">
        <v>914</v>
      </c>
      <c r="E127" s="251" t="s">
        <v>113</v>
      </c>
      <c r="F127" s="253">
        <v>2</v>
      </c>
      <c r="G127" s="253">
        <v>2</v>
      </c>
      <c r="H127" s="253"/>
      <c r="I127" s="254" t="s">
        <v>95</v>
      </c>
      <c r="J127" s="254"/>
      <c r="K127" s="105"/>
      <c r="L127" s="105"/>
      <c r="M127" s="48"/>
      <c r="N127" s="105"/>
      <c r="O127" s="255" t="s">
        <v>358</v>
      </c>
      <c r="P127" s="261">
        <v>1</v>
      </c>
      <c r="Q127" s="261">
        <v>0</v>
      </c>
      <c r="R127" s="261">
        <v>0</v>
      </c>
      <c r="S127" s="262" t="s">
        <v>359</v>
      </c>
      <c r="T127" s="263" t="s">
        <v>664</v>
      </c>
      <c r="U127" s="105"/>
      <c r="V127" s="259" t="s">
        <v>12</v>
      </c>
      <c r="W127" s="105" t="s">
        <v>6</v>
      </c>
      <c r="X127" s="105" t="s">
        <v>86</v>
      </c>
      <c r="Y127" s="105" t="s">
        <v>690</v>
      </c>
      <c r="Z127" s="105" t="s">
        <v>83</v>
      </c>
      <c r="AA127" s="105" t="s">
        <v>83</v>
      </c>
      <c r="AB127" s="105" t="s">
        <v>13</v>
      </c>
      <c r="AC127" s="105" t="s">
        <v>83</v>
      </c>
      <c r="AD127" s="105"/>
      <c r="AE127" s="105"/>
      <c r="AF127" s="105"/>
      <c r="AG127" s="105"/>
      <c r="AH127" s="115" t="s">
        <v>802</v>
      </c>
      <c r="AI127" s="115" t="s">
        <v>73</v>
      </c>
      <c r="AJ127" s="115" t="s">
        <v>74</v>
      </c>
      <c r="AK127" s="105" t="s">
        <v>812</v>
      </c>
      <c r="AL127" s="115">
        <v>200000</v>
      </c>
      <c r="AM127" s="115"/>
      <c r="AN127" s="115">
        <v>248</v>
      </c>
      <c r="AO127" s="260">
        <f>Tabelle4[[#This Row],[Kredit-  / Budgetsumme
(RADAR: Gesamtkosten S)]]-Tabelle4[[#This Row],[Netto-Ausgaben Vorjahre ]]</f>
        <v>199752</v>
      </c>
      <c r="AP127" s="310"/>
      <c r="AQ127" s="311">
        <v>180000</v>
      </c>
      <c r="AR127" s="115">
        <f>Tabelle4[[#This Row],[Kreditrest per 1.1. aktuelles Jahr]]-Tabelle4[[#This Row],[Prognose 2018
(RADAR: Kosten 2018 S)]]</f>
        <v>19752</v>
      </c>
      <c r="AS127" s="115"/>
      <c r="AT127" s="311">
        <v>19752</v>
      </c>
      <c r="AU127" s="115"/>
      <c r="AV127" s="311"/>
      <c r="AW127" s="115"/>
      <c r="AX127" s="311"/>
      <c r="AY127" s="115"/>
      <c r="AZ127" s="311"/>
      <c r="BA127" s="115"/>
      <c r="BB127" s="311"/>
      <c r="BC127" s="115"/>
      <c r="BD127" s="311"/>
      <c r="BE127" s="115"/>
      <c r="BF127" s="311"/>
      <c r="BG127" s="115"/>
      <c r="BH127" s="311"/>
      <c r="BI127" s="115"/>
      <c r="BJ127" s="115"/>
      <c r="BK127" s="264"/>
      <c r="BL127" s="105"/>
      <c r="BM127" s="106"/>
      <c r="BN127" s="106"/>
      <c r="BO127" s="106">
        <v>40</v>
      </c>
      <c r="BP127" s="106"/>
      <c r="BQ127" s="106">
        <v>40</v>
      </c>
      <c r="BR127" s="106"/>
      <c r="BS127" s="106"/>
      <c r="BT127" s="108">
        <f>SUM(Tabelle4[[#This Row],[Projektverantwortung
(Lenkungsausschuss) ]:[Kommunikation ]])</f>
        <v>80</v>
      </c>
      <c r="BU127" s="105"/>
      <c r="BV127" s="106"/>
      <c r="BW127" s="106"/>
      <c r="BX127" s="106">
        <v>20</v>
      </c>
      <c r="BY127" s="106"/>
      <c r="BZ127" s="106">
        <v>80</v>
      </c>
      <c r="CA127" s="106"/>
      <c r="CB127" s="106"/>
      <c r="CC127" s="108">
        <f>SUM(Tabelle4[[#This Row],[Projektverantwortung
(Lenkungsausschuss)   ]:[Kommunikation   ]])</f>
        <v>100</v>
      </c>
      <c r="CD127" s="105"/>
      <c r="CE127" s="106"/>
      <c r="CF127" s="106"/>
      <c r="CG127" s="106">
        <v>8</v>
      </c>
      <c r="CH127" s="106"/>
      <c r="CI127" s="106">
        <v>20</v>
      </c>
      <c r="CJ127" s="106"/>
      <c r="CK127" s="106"/>
      <c r="CL127" s="108">
        <f>SUM(Tabelle4[[#This Row],[Projektverantwortung
(Lenkungsausschuss).]:[Kommunikation    ]])</f>
        <v>28</v>
      </c>
      <c r="CM127" s="105"/>
      <c r="CN127" s="106"/>
      <c r="CO127" s="106"/>
      <c r="CP127" s="106">
        <v>8</v>
      </c>
      <c r="CQ127" s="106"/>
      <c r="CR127" s="106"/>
      <c r="CS127" s="106"/>
      <c r="CT127" s="106"/>
      <c r="CU127" s="108">
        <f>SUM(Tabelle4[[#This Row],[Projektverantwortung
(Lenkungsausschuss)    ]:[Kommunikation     ]])</f>
        <v>8</v>
      </c>
      <c r="CV127" s="107">
        <f>SUM(Tabelle4[[#This Row],[Total Aufwand
1. Quartal 2018]],Tabelle4[[#This Row],[Total Aufwand
2. Quartal 2018]],Tabelle4[[#This Row],[Total Aufwand
3. Quartal 2018]],Tabelle4[[#This Row],[Total Aufwand
4. Quartal 2018]])</f>
        <v>216</v>
      </c>
      <c r="CW127" s="105"/>
      <c r="CX127" s="105"/>
      <c r="CY127" s="105"/>
      <c r="CZ127" s="105"/>
      <c r="DA127" s="105"/>
      <c r="DB127" s="105"/>
      <c r="DC127" s="105"/>
      <c r="DD127" s="105"/>
      <c r="DE127" s="107">
        <f>SUM(Tabelle4[[#This Row],[Aufwand ]],Tabelle4[[#This Row],[Aufwand 2]],Tabelle4[[#This Row],[Aufwand 3]],Tabelle4[[#This Row],[Aufwand 4]])</f>
        <v>0</v>
      </c>
      <c r="DF127" s="105"/>
      <c r="DG127" s="105"/>
      <c r="DH127" s="105"/>
      <c r="DI127" s="105"/>
      <c r="DJ127" s="105"/>
      <c r="DK127" s="105"/>
      <c r="DL127" s="105"/>
      <c r="DM127" s="105"/>
      <c r="DN127" s="107">
        <f>SUM(Tabelle4[[#This Row],[Aufwand  ]],Tabelle4[[#This Row],[Aufwand  2]],Tabelle4[[#This Row],[Aufwand  3]],Tabelle4[[#This Row],[Aufwand  4]])</f>
        <v>0</v>
      </c>
      <c r="DO127" s="105"/>
      <c r="DP127" s="105"/>
      <c r="DQ127" s="105"/>
      <c r="DR127" s="105"/>
      <c r="DS127" s="105"/>
      <c r="DT127" s="105"/>
      <c r="DU127" s="105"/>
      <c r="DV127" s="105"/>
      <c r="DW127" s="107">
        <f>SUM(Tabelle4[[#This Row],[Aufwand   ]],Tabelle4[[#This Row],[Aufwand   2]],Tabelle4[[#This Row],[Aufwand   3]],Tabelle4[[#This Row],[Aufwand   4]])</f>
        <v>0</v>
      </c>
      <c r="DX127" s="105"/>
      <c r="DY127" s="105"/>
      <c r="DZ127" s="105"/>
      <c r="EA127" s="105"/>
      <c r="EB127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216</v>
      </c>
      <c r="EC127" s="122">
        <f>Tabelle4[[#This Row],[Gesamaufwand]]/2000</f>
        <v>0.108</v>
      </c>
      <c r="ED127" s="47"/>
      <c r="EE127" s="47"/>
      <c r="EF127" s="47"/>
      <c r="EG127" s="47"/>
      <c r="EH127" s="47"/>
      <c r="EI127" s="47"/>
      <c r="EJ127" s="47"/>
      <c r="EK127" s="47"/>
      <c r="EL127" s="47"/>
    </row>
    <row r="128" spans="1:142">
      <c r="A128" s="255" t="s">
        <v>502</v>
      </c>
      <c r="B128" s="251" t="s">
        <v>105</v>
      </c>
      <c r="C128" s="254" t="s">
        <v>75</v>
      </c>
      <c r="D128" s="251" t="s">
        <v>913</v>
      </c>
      <c r="E128" s="251" t="s">
        <v>98</v>
      </c>
      <c r="F128" s="253">
        <v>3</v>
      </c>
      <c r="G128" s="253">
        <v>3</v>
      </c>
      <c r="H128" s="253"/>
      <c r="I128" s="254" t="s">
        <v>95</v>
      </c>
      <c r="J128" s="254"/>
      <c r="K128" s="105"/>
      <c r="L128" s="105"/>
      <c r="M128" s="48"/>
      <c r="N128" s="105"/>
      <c r="O128" s="255" t="s">
        <v>503</v>
      </c>
      <c r="P128" s="261">
        <v>2</v>
      </c>
      <c r="Q128" s="261">
        <v>0</v>
      </c>
      <c r="R128" s="261">
        <v>0</v>
      </c>
      <c r="S128" s="262" t="s">
        <v>400</v>
      </c>
      <c r="T128" s="263" t="s">
        <v>672</v>
      </c>
      <c r="U128" s="105"/>
      <c r="V128" s="259" t="s">
        <v>608</v>
      </c>
      <c r="W128" s="105" t="s">
        <v>7</v>
      </c>
      <c r="X128" s="105" t="s">
        <v>9</v>
      </c>
      <c r="Y128" s="105" t="s">
        <v>690</v>
      </c>
      <c r="Z128" s="105" t="s">
        <v>633</v>
      </c>
      <c r="AA128" s="105" t="s">
        <v>633</v>
      </c>
      <c r="AB128" s="105" t="s">
        <v>633</v>
      </c>
      <c r="AC128" s="105" t="s">
        <v>639</v>
      </c>
      <c r="AD128" s="105"/>
      <c r="AE128" s="105"/>
      <c r="AF128" s="105"/>
      <c r="AG128" s="105"/>
      <c r="AH128" s="115" t="s">
        <v>623</v>
      </c>
      <c r="AI128" s="115"/>
      <c r="AJ128" s="115"/>
      <c r="AK128" s="105"/>
      <c r="AL128" s="115"/>
      <c r="AM128" s="115"/>
      <c r="AN128" s="115"/>
      <c r="AO128" s="260">
        <f>Tabelle4[[#This Row],[Kredit-  / Budgetsumme
(RADAR: Gesamtkosten S)]]-Tabelle4[[#This Row],[Netto-Ausgaben Vorjahre ]]</f>
        <v>0</v>
      </c>
      <c r="AP128" s="310"/>
      <c r="AQ128" s="311">
        <v>15000</v>
      </c>
      <c r="AR128" s="115">
        <f>Tabelle4[[#This Row],[Kreditrest per 1.1. aktuelles Jahr]]-Tabelle4[[#This Row],[Prognose 2018
(RADAR: Kosten 2018 S)]]</f>
        <v>-15000</v>
      </c>
      <c r="AS128" s="115"/>
      <c r="AT128" s="311"/>
      <c r="AU128" s="115"/>
      <c r="AV128" s="311"/>
      <c r="AW128" s="115"/>
      <c r="AX128" s="311"/>
      <c r="AY128" s="115"/>
      <c r="AZ128" s="311"/>
      <c r="BA128" s="115"/>
      <c r="BB128" s="311"/>
      <c r="BC128" s="115"/>
      <c r="BD128" s="311"/>
      <c r="BE128" s="115"/>
      <c r="BF128" s="311"/>
      <c r="BG128" s="115"/>
      <c r="BH128" s="311"/>
      <c r="BI128" s="115"/>
      <c r="BJ128" s="115"/>
      <c r="BK128" s="264"/>
      <c r="BL128" s="105"/>
      <c r="BM128" s="106">
        <v>8</v>
      </c>
      <c r="BN128" s="106"/>
      <c r="BO128" s="106">
        <v>40</v>
      </c>
      <c r="BP128" s="106"/>
      <c r="BQ128" s="106"/>
      <c r="BR128" s="106"/>
      <c r="BS128" s="106"/>
      <c r="BT128" s="108">
        <f>SUM(Tabelle4[[#This Row],[Projektverantwortung
(Lenkungsausschuss) ]:[Kommunikation ]])</f>
        <v>48</v>
      </c>
      <c r="BU128" s="105"/>
      <c r="BV128" s="106">
        <v>8</v>
      </c>
      <c r="BW128" s="106"/>
      <c r="BX128" s="106">
        <v>40</v>
      </c>
      <c r="BY128" s="106"/>
      <c r="BZ128" s="106"/>
      <c r="CA128" s="106"/>
      <c r="CB128" s="106"/>
      <c r="CC128" s="108">
        <f>SUM(Tabelle4[[#This Row],[Projektverantwortung
(Lenkungsausschuss)   ]:[Kommunikation   ]])</f>
        <v>48</v>
      </c>
      <c r="CD128" s="105"/>
      <c r="CE128" s="106">
        <v>8</v>
      </c>
      <c r="CF128" s="106"/>
      <c r="CG128" s="106">
        <v>20</v>
      </c>
      <c r="CH128" s="106"/>
      <c r="CI128" s="106"/>
      <c r="CJ128" s="106"/>
      <c r="CK128" s="106"/>
      <c r="CL128" s="108">
        <f>SUM(Tabelle4[[#This Row],[Projektverantwortung
(Lenkungsausschuss).]:[Kommunikation    ]])</f>
        <v>28</v>
      </c>
      <c r="CM128" s="105"/>
      <c r="CN128" s="106"/>
      <c r="CO128" s="106"/>
      <c r="CP128" s="106"/>
      <c r="CQ128" s="106"/>
      <c r="CR128" s="106"/>
      <c r="CS128" s="106"/>
      <c r="CT128" s="106"/>
      <c r="CU128" s="108">
        <f>SUM(Tabelle4[[#This Row],[Projektverantwortung
(Lenkungsausschuss)    ]:[Kommunikation     ]])</f>
        <v>0</v>
      </c>
      <c r="CV128" s="107">
        <f>SUM(Tabelle4[[#This Row],[Total Aufwand
1. Quartal 2018]],Tabelle4[[#This Row],[Total Aufwand
2. Quartal 2018]],Tabelle4[[#This Row],[Total Aufwand
3. Quartal 2018]],Tabelle4[[#This Row],[Total Aufwand
4. Quartal 2018]])</f>
        <v>124</v>
      </c>
      <c r="CW128" s="105"/>
      <c r="CX128" s="105"/>
      <c r="CY128" s="105"/>
      <c r="CZ128" s="105"/>
      <c r="DA128" s="105"/>
      <c r="DB128" s="105"/>
      <c r="DC128" s="105"/>
      <c r="DD128" s="105"/>
      <c r="DE128" s="107">
        <f>SUM(Tabelle4[[#This Row],[Aufwand ]],Tabelle4[[#This Row],[Aufwand 2]],Tabelle4[[#This Row],[Aufwand 3]],Tabelle4[[#This Row],[Aufwand 4]])</f>
        <v>0</v>
      </c>
      <c r="DF128" s="105"/>
      <c r="DG128" s="105"/>
      <c r="DH128" s="105"/>
      <c r="DI128" s="105"/>
      <c r="DJ128" s="105"/>
      <c r="DK128" s="105"/>
      <c r="DL128" s="105"/>
      <c r="DM128" s="105"/>
      <c r="DN128" s="107">
        <f>SUM(Tabelle4[[#This Row],[Aufwand  ]],Tabelle4[[#This Row],[Aufwand  2]],Tabelle4[[#This Row],[Aufwand  3]],Tabelle4[[#This Row],[Aufwand  4]])</f>
        <v>0</v>
      </c>
      <c r="DO128" s="105"/>
      <c r="DP128" s="105"/>
      <c r="DQ128" s="105"/>
      <c r="DR128" s="105"/>
      <c r="DS128" s="105"/>
      <c r="DT128" s="105"/>
      <c r="DU128" s="105"/>
      <c r="DV128" s="105"/>
      <c r="DW128" s="107">
        <f>SUM(Tabelle4[[#This Row],[Aufwand   ]],Tabelle4[[#This Row],[Aufwand   2]],Tabelle4[[#This Row],[Aufwand   3]],Tabelle4[[#This Row],[Aufwand   4]])</f>
        <v>0</v>
      </c>
      <c r="DX128" s="105"/>
      <c r="DY128" s="105"/>
      <c r="DZ128" s="105"/>
      <c r="EA128" s="105"/>
      <c r="EB128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124</v>
      </c>
      <c r="EC128" s="122">
        <f>Tabelle4[[#This Row],[Gesamaufwand]]/2000</f>
        <v>6.2E-2</v>
      </c>
      <c r="ED128" s="48"/>
      <c r="EE128" s="48"/>
      <c r="EF128" s="48"/>
      <c r="EG128" s="48"/>
      <c r="EH128" s="48"/>
      <c r="EI128" s="47"/>
      <c r="EJ128" s="47"/>
      <c r="EK128" s="47"/>
      <c r="EL128" s="47"/>
    </row>
    <row r="129" spans="1:142">
      <c r="A129" s="255" t="s">
        <v>401</v>
      </c>
      <c r="B129" s="251" t="s">
        <v>105</v>
      </c>
      <c r="C129" s="254" t="s">
        <v>67</v>
      </c>
      <c r="D129" s="251" t="s">
        <v>914</v>
      </c>
      <c r="E129" s="251" t="s">
        <v>113</v>
      </c>
      <c r="F129" s="253">
        <v>2</v>
      </c>
      <c r="G129" s="253">
        <v>1</v>
      </c>
      <c r="H129" s="253"/>
      <c r="I129" s="254" t="s">
        <v>95</v>
      </c>
      <c r="J129" s="254"/>
      <c r="K129" s="105"/>
      <c r="L129" s="105"/>
      <c r="M129" s="48"/>
      <c r="N129" s="105"/>
      <c r="O129" s="255" t="s">
        <v>402</v>
      </c>
      <c r="P129" s="261">
        <v>1</v>
      </c>
      <c r="Q129" s="261">
        <v>0</v>
      </c>
      <c r="R129" s="261">
        <v>0</v>
      </c>
      <c r="S129" s="262" t="s">
        <v>403</v>
      </c>
      <c r="T129" s="263" t="s">
        <v>663</v>
      </c>
      <c r="U129" s="105"/>
      <c r="V129" s="259" t="s">
        <v>12</v>
      </c>
      <c r="W129" s="105" t="s">
        <v>6</v>
      </c>
      <c r="X129" s="105" t="s">
        <v>86</v>
      </c>
      <c r="Y129" s="105" t="s">
        <v>690</v>
      </c>
      <c r="Z129" s="105" t="s">
        <v>83</v>
      </c>
      <c r="AA129" s="105" t="s">
        <v>83</v>
      </c>
      <c r="AB129" s="105" t="s">
        <v>13</v>
      </c>
      <c r="AC129" s="105" t="s">
        <v>83</v>
      </c>
      <c r="AD129" s="105"/>
      <c r="AE129" s="105"/>
      <c r="AF129" s="105"/>
      <c r="AG129" s="105"/>
      <c r="AH129" s="115" t="s">
        <v>799</v>
      </c>
      <c r="AI129" s="115" t="s">
        <v>73</v>
      </c>
      <c r="AJ129" s="115" t="s">
        <v>74</v>
      </c>
      <c r="AK129" s="105" t="s">
        <v>811</v>
      </c>
      <c r="AL129" s="115">
        <v>150000</v>
      </c>
      <c r="AM129" s="115"/>
      <c r="AN129" s="115">
        <v>1565</v>
      </c>
      <c r="AO129" s="260">
        <f>Tabelle4[[#This Row],[Kredit-  / Budgetsumme
(RADAR: Gesamtkosten S)]]-Tabelle4[[#This Row],[Netto-Ausgaben Vorjahre ]]</f>
        <v>148435</v>
      </c>
      <c r="AP129" s="310"/>
      <c r="AQ129" s="311">
        <v>120000</v>
      </c>
      <c r="AR129" s="115">
        <f>Tabelle4[[#This Row],[Kreditrest per 1.1. aktuelles Jahr]]-Tabelle4[[#This Row],[Prognose 2018
(RADAR: Kosten 2018 S)]]</f>
        <v>28435</v>
      </c>
      <c r="AS129" s="115"/>
      <c r="AT129" s="311">
        <v>28435</v>
      </c>
      <c r="AU129" s="115"/>
      <c r="AV129" s="311"/>
      <c r="AW129" s="115"/>
      <c r="AX129" s="311"/>
      <c r="AY129" s="115"/>
      <c r="AZ129" s="311"/>
      <c r="BA129" s="115"/>
      <c r="BB129" s="311"/>
      <c r="BC129" s="115"/>
      <c r="BD129" s="311"/>
      <c r="BE129" s="115"/>
      <c r="BF129" s="311"/>
      <c r="BG129" s="115"/>
      <c r="BH129" s="311"/>
      <c r="BI129" s="115"/>
      <c r="BJ129" s="115"/>
      <c r="BK129" s="264"/>
      <c r="BL129" s="105"/>
      <c r="BM129" s="106">
        <v>20</v>
      </c>
      <c r="BN129" s="106"/>
      <c r="BO129" s="106">
        <v>40</v>
      </c>
      <c r="BP129" s="106"/>
      <c r="BQ129" s="106"/>
      <c r="BR129" s="106"/>
      <c r="BS129" s="106"/>
      <c r="BT129" s="108">
        <f>SUM(Tabelle4[[#This Row],[Projektverantwortung
(Lenkungsausschuss) ]:[Kommunikation ]])</f>
        <v>60</v>
      </c>
      <c r="BU129" s="105"/>
      <c r="BV129" s="106">
        <v>20</v>
      </c>
      <c r="BW129" s="106"/>
      <c r="BX129" s="106">
        <v>20</v>
      </c>
      <c r="BY129" s="106"/>
      <c r="BZ129" s="106">
        <v>40</v>
      </c>
      <c r="CA129" s="106"/>
      <c r="CB129" s="106"/>
      <c r="CC129" s="108">
        <f>SUM(Tabelle4[[#This Row],[Projektverantwortung
(Lenkungsausschuss)   ]:[Kommunikation   ]])</f>
        <v>80</v>
      </c>
      <c r="CD129" s="105"/>
      <c r="CE129" s="106">
        <v>8</v>
      </c>
      <c r="CF129" s="106"/>
      <c r="CG129" s="106">
        <v>20</v>
      </c>
      <c r="CH129" s="106"/>
      <c r="CI129" s="106">
        <v>20</v>
      </c>
      <c r="CJ129" s="106"/>
      <c r="CK129" s="106"/>
      <c r="CL129" s="108">
        <f>SUM(Tabelle4[[#This Row],[Projektverantwortung
(Lenkungsausschuss).]:[Kommunikation    ]])</f>
        <v>48</v>
      </c>
      <c r="CM129" s="105"/>
      <c r="CN129" s="106"/>
      <c r="CO129" s="106"/>
      <c r="CP129" s="106">
        <v>8</v>
      </c>
      <c r="CQ129" s="106"/>
      <c r="CR129" s="106">
        <v>20</v>
      </c>
      <c r="CS129" s="106"/>
      <c r="CT129" s="106"/>
      <c r="CU129" s="108">
        <f>SUM(Tabelle4[[#This Row],[Projektverantwortung
(Lenkungsausschuss)    ]:[Kommunikation     ]])</f>
        <v>28</v>
      </c>
      <c r="CV129" s="107">
        <f>SUM(Tabelle4[[#This Row],[Total Aufwand
1. Quartal 2018]],Tabelle4[[#This Row],[Total Aufwand
2. Quartal 2018]],Tabelle4[[#This Row],[Total Aufwand
3. Quartal 2018]],Tabelle4[[#This Row],[Total Aufwand
4. Quartal 2018]])</f>
        <v>216</v>
      </c>
      <c r="CW129" s="105"/>
      <c r="CX129" s="105"/>
      <c r="CY129" s="105"/>
      <c r="CZ129" s="105"/>
      <c r="DA129" s="105"/>
      <c r="DB129" s="105"/>
      <c r="DC129" s="105"/>
      <c r="DD129" s="105"/>
      <c r="DE129" s="107">
        <f>SUM(Tabelle4[[#This Row],[Aufwand ]],Tabelle4[[#This Row],[Aufwand 2]],Tabelle4[[#This Row],[Aufwand 3]],Tabelle4[[#This Row],[Aufwand 4]])</f>
        <v>0</v>
      </c>
      <c r="DF129" s="105"/>
      <c r="DG129" s="105"/>
      <c r="DH129" s="105"/>
      <c r="DI129" s="105"/>
      <c r="DJ129" s="105"/>
      <c r="DK129" s="105"/>
      <c r="DL129" s="105"/>
      <c r="DM129" s="105"/>
      <c r="DN129" s="107">
        <f>SUM(Tabelle4[[#This Row],[Aufwand  ]],Tabelle4[[#This Row],[Aufwand  2]],Tabelle4[[#This Row],[Aufwand  3]],Tabelle4[[#This Row],[Aufwand  4]])</f>
        <v>0</v>
      </c>
      <c r="DO129" s="105"/>
      <c r="DP129" s="105"/>
      <c r="DQ129" s="105"/>
      <c r="DR129" s="105"/>
      <c r="DS129" s="105"/>
      <c r="DT129" s="105"/>
      <c r="DU129" s="105"/>
      <c r="DV129" s="105"/>
      <c r="DW129" s="107">
        <f>SUM(Tabelle4[[#This Row],[Aufwand   ]],Tabelle4[[#This Row],[Aufwand   2]],Tabelle4[[#This Row],[Aufwand   3]],Tabelle4[[#This Row],[Aufwand   4]])</f>
        <v>0</v>
      </c>
      <c r="DX129" s="105"/>
      <c r="DY129" s="105"/>
      <c r="DZ129" s="105"/>
      <c r="EA129" s="105"/>
      <c r="EB129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216</v>
      </c>
      <c r="EC129" s="122">
        <f>Tabelle4[[#This Row],[Gesamaufwand]]/2000</f>
        <v>0.108</v>
      </c>
      <c r="ED129" s="47"/>
      <c r="EE129" s="47"/>
      <c r="EF129" s="47"/>
      <c r="EG129" s="47"/>
      <c r="EH129" s="47"/>
      <c r="EI129" s="47"/>
      <c r="EJ129" s="47"/>
      <c r="EK129" s="47"/>
      <c r="EL129" s="47"/>
    </row>
    <row r="130" spans="1:142">
      <c r="A130" s="265" t="s">
        <v>505</v>
      </c>
      <c r="B130" s="251" t="s">
        <v>694</v>
      </c>
      <c r="C130" s="254" t="s">
        <v>68</v>
      </c>
      <c r="D130" s="251" t="s">
        <v>913</v>
      </c>
      <c r="E130" s="251" t="s">
        <v>695</v>
      </c>
      <c r="F130" s="253">
        <v>3</v>
      </c>
      <c r="G130" s="253">
        <v>3</v>
      </c>
      <c r="H130" s="253"/>
      <c r="I130" s="254" t="s">
        <v>95</v>
      </c>
      <c r="J130" s="254"/>
      <c r="K130" s="105"/>
      <c r="L130" s="105"/>
      <c r="M130" s="48"/>
      <c r="N130" s="105"/>
      <c r="O130" s="255" t="s">
        <v>506</v>
      </c>
      <c r="P130" s="261">
        <v>2</v>
      </c>
      <c r="Q130" s="261">
        <v>0</v>
      </c>
      <c r="R130" s="261">
        <v>0</v>
      </c>
      <c r="S130" s="262" t="s">
        <v>345</v>
      </c>
      <c r="T130" s="263" t="s">
        <v>674</v>
      </c>
      <c r="U130" s="105"/>
      <c r="V130" s="259" t="s">
        <v>607</v>
      </c>
      <c r="W130" s="105" t="s">
        <v>6</v>
      </c>
      <c r="X130" s="105" t="s">
        <v>86</v>
      </c>
      <c r="Y130" s="105" t="s">
        <v>690</v>
      </c>
      <c r="Z130" s="105" t="s">
        <v>80</v>
      </c>
      <c r="AA130" s="105" t="s">
        <v>639</v>
      </c>
      <c r="AB130" s="105" t="s">
        <v>639</v>
      </c>
      <c r="AC130" s="105" t="s">
        <v>639</v>
      </c>
      <c r="AD130" s="105"/>
      <c r="AE130" s="105"/>
      <c r="AF130" s="105"/>
      <c r="AG130" s="105"/>
      <c r="AH130" s="115" t="s">
        <v>621</v>
      </c>
      <c r="AI130" s="115"/>
      <c r="AJ130" s="115"/>
      <c r="AK130" s="105"/>
      <c r="AL130" s="115"/>
      <c r="AM130" s="115"/>
      <c r="AN130" s="115"/>
      <c r="AO130" s="260">
        <f>Tabelle4[[#This Row],[Kredit-  / Budgetsumme
(RADAR: Gesamtkosten S)]]-Tabelle4[[#This Row],[Netto-Ausgaben Vorjahre ]]</f>
        <v>0</v>
      </c>
      <c r="AP130" s="310"/>
      <c r="AQ130" s="311"/>
      <c r="AR130" s="115">
        <f>Tabelle4[[#This Row],[Kreditrest per 1.1. aktuelles Jahr]]-Tabelle4[[#This Row],[Prognose 2018
(RADAR: Kosten 2018 S)]]</f>
        <v>0</v>
      </c>
      <c r="AS130" s="115"/>
      <c r="AT130" s="311"/>
      <c r="AU130" s="115"/>
      <c r="AV130" s="311"/>
      <c r="AW130" s="115"/>
      <c r="AX130" s="311"/>
      <c r="AY130" s="115"/>
      <c r="AZ130" s="311"/>
      <c r="BA130" s="115"/>
      <c r="BB130" s="311"/>
      <c r="BC130" s="115"/>
      <c r="BD130" s="311"/>
      <c r="BE130" s="115"/>
      <c r="BF130" s="311"/>
      <c r="BG130" s="115"/>
      <c r="BH130" s="311"/>
      <c r="BI130" s="115"/>
      <c r="BJ130" s="115"/>
      <c r="BK130" s="264"/>
      <c r="BL130" s="105"/>
      <c r="BM130" s="106"/>
      <c r="BN130" s="106"/>
      <c r="BO130" s="106"/>
      <c r="BP130" s="106"/>
      <c r="BQ130" s="106"/>
      <c r="BR130" s="106"/>
      <c r="BS130" s="106"/>
      <c r="BT130" s="108">
        <f>SUM(Tabelle4[[#This Row],[Projektverantwortung
(Lenkungsausschuss) ]:[Kommunikation ]])</f>
        <v>0</v>
      </c>
      <c r="BU130" s="105"/>
      <c r="BV130" s="106"/>
      <c r="BW130" s="106"/>
      <c r="BX130" s="106"/>
      <c r="BY130" s="106"/>
      <c r="BZ130" s="106"/>
      <c r="CA130" s="106"/>
      <c r="CB130" s="106"/>
      <c r="CC130" s="108">
        <f>SUM(Tabelle4[[#This Row],[Projektverantwortung
(Lenkungsausschuss)   ]:[Kommunikation   ]])</f>
        <v>0</v>
      </c>
      <c r="CD130" s="105"/>
      <c r="CE130" s="106"/>
      <c r="CF130" s="106"/>
      <c r="CG130" s="106"/>
      <c r="CH130" s="106"/>
      <c r="CI130" s="106"/>
      <c r="CJ130" s="106"/>
      <c r="CK130" s="106"/>
      <c r="CL130" s="108">
        <f>SUM(Tabelle4[[#This Row],[Projektverantwortung
(Lenkungsausschuss).]:[Kommunikation    ]])</f>
        <v>0</v>
      </c>
      <c r="CM130" s="105"/>
      <c r="CN130" s="106"/>
      <c r="CO130" s="106"/>
      <c r="CP130" s="106"/>
      <c r="CQ130" s="106"/>
      <c r="CR130" s="106"/>
      <c r="CS130" s="106"/>
      <c r="CT130" s="106"/>
      <c r="CU130" s="108">
        <f>SUM(Tabelle4[[#This Row],[Projektverantwortung
(Lenkungsausschuss)    ]:[Kommunikation     ]])</f>
        <v>0</v>
      </c>
      <c r="CV130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130" s="105"/>
      <c r="CX130" s="105"/>
      <c r="CY130" s="105"/>
      <c r="CZ130" s="105"/>
      <c r="DA130" s="105"/>
      <c r="DB130" s="105"/>
      <c r="DC130" s="105"/>
      <c r="DD130" s="105"/>
      <c r="DE130" s="107">
        <f>SUM(Tabelle4[[#This Row],[Aufwand ]],Tabelle4[[#This Row],[Aufwand 2]],Tabelle4[[#This Row],[Aufwand 3]],Tabelle4[[#This Row],[Aufwand 4]])</f>
        <v>0</v>
      </c>
      <c r="DF130" s="105"/>
      <c r="DG130" s="105"/>
      <c r="DH130" s="105"/>
      <c r="DI130" s="105"/>
      <c r="DJ130" s="105"/>
      <c r="DK130" s="105"/>
      <c r="DL130" s="105"/>
      <c r="DM130" s="105"/>
      <c r="DN130" s="107">
        <f>SUM(Tabelle4[[#This Row],[Aufwand  ]],Tabelle4[[#This Row],[Aufwand  2]],Tabelle4[[#This Row],[Aufwand  3]],Tabelle4[[#This Row],[Aufwand  4]])</f>
        <v>0</v>
      </c>
      <c r="DO130" s="105"/>
      <c r="DP130" s="105"/>
      <c r="DQ130" s="105"/>
      <c r="DR130" s="105"/>
      <c r="DS130" s="105"/>
      <c r="DT130" s="105"/>
      <c r="DU130" s="105"/>
      <c r="DV130" s="105"/>
      <c r="DW130" s="107">
        <f>SUM(Tabelle4[[#This Row],[Aufwand   ]],Tabelle4[[#This Row],[Aufwand   2]],Tabelle4[[#This Row],[Aufwand   3]],Tabelle4[[#This Row],[Aufwand   4]])</f>
        <v>0</v>
      </c>
      <c r="DX130" s="105"/>
      <c r="DY130" s="105"/>
      <c r="DZ130" s="105"/>
      <c r="EA130" s="105"/>
      <c r="EB130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130" s="122">
        <f>Tabelle4[[#This Row],[Gesamaufwand]]/2000</f>
        <v>0</v>
      </c>
      <c r="ED130" s="47"/>
      <c r="EE130" s="47"/>
      <c r="EF130" s="47"/>
      <c r="EG130" s="47"/>
      <c r="EH130" s="47"/>
      <c r="EI130" s="47"/>
      <c r="EJ130" s="47"/>
      <c r="EK130" s="47"/>
      <c r="EL130" s="47"/>
    </row>
    <row r="131" spans="1:142">
      <c r="A131" s="255" t="s">
        <v>507</v>
      </c>
      <c r="B131" s="251" t="s">
        <v>105</v>
      </c>
      <c r="C131" s="254" t="s">
        <v>68</v>
      </c>
      <c r="D131" s="251" t="s">
        <v>913</v>
      </c>
      <c r="E131" s="251" t="s">
        <v>97</v>
      </c>
      <c r="F131" s="253">
        <v>3</v>
      </c>
      <c r="G131" s="253">
        <v>1</v>
      </c>
      <c r="H131" s="253"/>
      <c r="I131" s="254" t="s">
        <v>95</v>
      </c>
      <c r="J131" s="254"/>
      <c r="K131" s="105"/>
      <c r="L131" s="105"/>
      <c r="M131" s="48"/>
      <c r="N131" s="105"/>
      <c r="O131" s="255" t="s">
        <v>508</v>
      </c>
      <c r="P131" s="261">
        <v>2</v>
      </c>
      <c r="Q131" s="261">
        <v>0</v>
      </c>
      <c r="R131" s="261">
        <v>0</v>
      </c>
      <c r="S131" s="262" t="s">
        <v>352</v>
      </c>
      <c r="T131" s="263" t="s">
        <v>661</v>
      </c>
      <c r="U131" s="105"/>
      <c r="V131" s="259" t="s">
        <v>610</v>
      </c>
      <c r="W131" s="105" t="s">
        <v>6</v>
      </c>
      <c r="X131" s="105" t="s">
        <v>86</v>
      </c>
      <c r="Y131" s="105" t="s">
        <v>690</v>
      </c>
      <c r="Z131" s="105" t="s">
        <v>86</v>
      </c>
      <c r="AA131" s="105" t="s">
        <v>639</v>
      </c>
      <c r="AB131" s="105" t="s">
        <v>639</v>
      </c>
      <c r="AC131" s="105" t="s">
        <v>639</v>
      </c>
      <c r="AD131" s="105"/>
      <c r="AE131" s="105"/>
      <c r="AF131" s="105"/>
      <c r="AG131" s="105"/>
      <c r="AH131" s="115" t="s">
        <v>1093</v>
      </c>
      <c r="AI131" s="115"/>
      <c r="AJ131" s="115"/>
      <c r="AK131" s="105"/>
      <c r="AL131" s="115"/>
      <c r="AM131" s="115"/>
      <c r="AN131" s="115"/>
      <c r="AO131" s="260"/>
      <c r="AP131" s="310"/>
      <c r="AQ131" s="311"/>
      <c r="AR131" s="115"/>
      <c r="AS131" s="115"/>
      <c r="AT131" s="311"/>
      <c r="AU131" s="115"/>
      <c r="AV131" s="311"/>
      <c r="AW131" s="115"/>
      <c r="AX131" s="311"/>
      <c r="AY131" s="115"/>
      <c r="AZ131" s="311"/>
      <c r="BA131" s="115"/>
      <c r="BB131" s="311"/>
      <c r="BC131" s="115"/>
      <c r="BD131" s="311"/>
      <c r="BE131" s="115"/>
      <c r="BF131" s="311"/>
      <c r="BG131" s="115"/>
      <c r="BH131" s="311"/>
      <c r="BI131" s="115"/>
      <c r="BJ131" s="115"/>
      <c r="BK131" s="264"/>
      <c r="BL131" s="105"/>
      <c r="BM131" s="106">
        <v>20</v>
      </c>
      <c r="BN131" s="106"/>
      <c r="BO131" s="106"/>
      <c r="BP131" s="106"/>
      <c r="BQ131" s="106"/>
      <c r="BR131" s="106"/>
      <c r="BS131" s="106"/>
      <c r="BT131" s="108">
        <f>SUM(Tabelle4[[#This Row],[Projektverantwortung
(Lenkungsausschuss) ]:[Kommunikation ]])</f>
        <v>20</v>
      </c>
      <c r="BU131" s="105"/>
      <c r="BV131" s="106">
        <v>8</v>
      </c>
      <c r="BW131" s="106"/>
      <c r="BX131" s="106"/>
      <c r="BY131" s="106"/>
      <c r="BZ131" s="106"/>
      <c r="CA131" s="106"/>
      <c r="CB131" s="106"/>
      <c r="CC131" s="108">
        <f>SUM(Tabelle4[[#This Row],[Projektverantwortung
(Lenkungsausschuss)   ]:[Kommunikation   ]])</f>
        <v>8</v>
      </c>
      <c r="CD131" s="105"/>
      <c r="CE131" s="106">
        <v>8</v>
      </c>
      <c r="CF131" s="106"/>
      <c r="CG131" s="106"/>
      <c r="CH131" s="106"/>
      <c r="CI131" s="106"/>
      <c r="CJ131" s="106"/>
      <c r="CK131" s="106"/>
      <c r="CL131" s="108">
        <f>SUM(Tabelle4[[#This Row],[Projektverantwortung
(Lenkungsausschuss).]:[Kommunikation    ]])</f>
        <v>8</v>
      </c>
      <c r="CM131" s="105"/>
      <c r="CN131" s="106">
        <v>20</v>
      </c>
      <c r="CO131" s="106"/>
      <c r="CP131" s="106"/>
      <c r="CQ131" s="106"/>
      <c r="CR131" s="106"/>
      <c r="CS131" s="106"/>
      <c r="CT131" s="106"/>
      <c r="CU131" s="108">
        <f>SUM(Tabelle4[[#This Row],[Projektverantwortung
(Lenkungsausschuss)    ]:[Kommunikation     ]])</f>
        <v>20</v>
      </c>
      <c r="CV131" s="107">
        <f>SUM(Tabelle4[[#This Row],[Total Aufwand
1. Quartal 2018]],Tabelle4[[#This Row],[Total Aufwand
2. Quartal 2018]],Tabelle4[[#This Row],[Total Aufwand
3. Quartal 2018]],Tabelle4[[#This Row],[Total Aufwand
4. Quartal 2018]])</f>
        <v>56</v>
      </c>
      <c r="CW131" s="105"/>
      <c r="CX131" s="105"/>
      <c r="CY131" s="105"/>
      <c r="CZ131" s="105"/>
      <c r="DA131" s="105"/>
      <c r="DB131" s="105"/>
      <c r="DC131" s="105"/>
      <c r="DD131" s="105"/>
      <c r="DE131" s="107">
        <f>SUM(Tabelle4[[#This Row],[Aufwand ]],Tabelle4[[#This Row],[Aufwand 2]],Tabelle4[[#This Row],[Aufwand 3]],Tabelle4[[#This Row],[Aufwand 4]])</f>
        <v>0</v>
      </c>
      <c r="DF131" s="105"/>
      <c r="DG131" s="105"/>
      <c r="DH131" s="105"/>
      <c r="DI131" s="105"/>
      <c r="DJ131" s="105"/>
      <c r="DK131" s="105"/>
      <c r="DL131" s="105"/>
      <c r="DM131" s="105"/>
      <c r="DN131" s="107">
        <f>SUM(Tabelle4[[#This Row],[Aufwand  ]],Tabelle4[[#This Row],[Aufwand  2]],Tabelle4[[#This Row],[Aufwand  3]],Tabelle4[[#This Row],[Aufwand  4]])</f>
        <v>0</v>
      </c>
      <c r="DO131" s="105"/>
      <c r="DP131" s="105"/>
      <c r="DQ131" s="105"/>
      <c r="DR131" s="105"/>
      <c r="DS131" s="105"/>
      <c r="DT131" s="105"/>
      <c r="DU131" s="105"/>
      <c r="DV131" s="105"/>
      <c r="DW131" s="107">
        <f>SUM(Tabelle4[[#This Row],[Aufwand   ]],Tabelle4[[#This Row],[Aufwand   2]],Tabelle4[[#This Row],[Aufwand   3]],Tabelle4[[#This Row],[Aufwand   4]])</f>
        <v>0</v>
      </c>
      <c r="DX131" s="105"/>
      <c r="DY131" s="105"/>
      <c r="DZ131" s="105"/>
      <c r="EA131" s="105"/>
      <c r="EB131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56</v>
      </c>
      <c r="EC131" s="122">
        <f>Tabelle4[[#This Row],[Gesamaufwand]]/2000</f>
        <v>2.8000000000000001E-2</v>
      </c>
      <c r="ED131" s="47"/>
      <c r="EE131" s="47"/>
      <c r="EF131" s="47"/>
      <c r="EG131" s="47"/>
      <c r="EH131" s="47"/>
      <c r="EI131" s="47"/>
      <c r="EJ131" s="47"/>
      <c r="EK131" s="47"/>
      <c r="EL131" s="47"/>
    </row>
    <row r="132" spans="1:142">
      <c r="A132" s="255" t="s">
        <v>361</v>
      </c>
      <c r="B132" s="251" t="s">
        <v>694</v>
      </c>
      <c r="C132" s="254" t="s">
        <v>67</v>
      </c>
      <c r="D132" s="251" t="s">
        <v>780</v>
      </c>
      <c r="E132" s="251" t="s">
        <v>778</v>
      </c>
      <c r="F132" s="253">
        <v>2</v>
      </c>
      <c r="G132" s="253">
        <v>1</v>
      </c>
      <c r="H132" s="253"/>
      <c r="I132" s="254" t="s">
        <v>95</v>
      </c>
      <c r="J132" s="254"/>
      <c r="K132" s="105"/>
      <c r="L132" s="105"/>
      <c r="M132" s="48"/>
      <c r="N132" s="105"/>
      <c r="O132" s="255" t="s">
        <v>362</v>
      </c>
      <c r="P132" s="261">
        <v>1</v>
      </c>
      <c r="Q132" s="261">
        <v>0</v>
      </c>
      <c r="R132" s="261">
        <v>0</v>
      </c>
      <c r="S132" s="262" t="s">
        <v>363</v>
      </c>
      <c r="T132" s="263" t="s">
        <v>674</v>
      </c>
      <c r="U132" s="105"/>
      <c r="V132" s="259" t="s">
        <v>12</v>
      </c>
      <c r="W132" s="105" t="s">
        <v>6</v>
      </c>
      <c r="X132" s="105" t="s">
        <v>86</v>
      </c>
      <c r="Y132" s="105" t="s">
        <v>690</v>
      </c>
      <c r="Z132" s="105" t="s">
        <v>81</v>
      </c>
      <c r="AA132" s="105" t="s">
        <v>690</v>
      </c>
      <c r="AB132" s="105" t="s">
        <v>690</v>
      </c>
      <c r="AC132" s="105" t="s">
        <v>690</v>
      </c>
      <c r="AD132" s="105"/>
      <c r="AE132" s="105"/>
      <c r="AF132" s="105"/>
      <c r="AG132" s="105"/>
      <c r="AH132" s="115" t="s">
        <v>802</v>
      </c>
      <c r="AI132" s="115" t="s">
        <v>73</v>
      </c>
      <c r="AJ132" s="115" t="s">
        <v>74</v>
      </c>
      <c r="AK132" s="105"/>
      <c r="AL132" s="115">
        <v>175000</v>
      </c>
      <c r="AM132" s="115"/>
      <c r="AN132" s="115">
        <v>156835.29999999999</v>
      </c>
      <c r="AO132" s="260">
        <f>Tabelle4[[#This Row],[Kredit-  / Budgetsumme
(RADAR: Gesamtkosten S)]]-Tabelle4[[#This Row],[Netto-Ausgaben Vorjahre ]]</f>
        <v>18164.700000000012</v>
      </c>
      <c r="AP132" s="310"/>
      <c r="AQ132" s="311"/>
      <c r="AR132" s="115">
        <f>Tabelle4[[#This Row],[Kreditrest per 1.1. aktuelles Jahr]]-Tabelle4[[#This Row],[Prognose 2018
(RADAR: Kosten 2018 S)]]</f>
        <v>18164.700000000012</v>
      </c>
      <c r="AS132" s="115"/>
      <c r="AT132" s="311"/>
      <c r="AU132" s="115"/>
      <c r="AV132" s="311"/>
      <c r="AW132" s="115"/>
      <c r="AX132" s="311"/>
      <c r="AY132" s="115"/>
      <c r="AZ132" s="311"/>
      <c r="BA132" s="115"/>
      <c r="BB132" s="311"/>
      <c r="BC132" s="115"/>
      <c r="BD132" s="311"/>
      <c r="BE132" s="115"/>
      <c r="BF132" s="311"/>
      <c r="BG132" s="115"/>
      <c r="BH132" s="311"/>
      <c r="BI132" s="115"/>
      <c r="BJ132" s="115"/>
      <c r="BK132" s="264"/>
      <c r="BL132" s="105"/>
      <c r="BM132" s="106"/>
      <c r="BN132" s="106"/>
      <c r="BO132" s="106">
        <v>8</v>
      </c>
      <c r="BP132" s="106"/>
      <c r="BQ132" s="106"/>
      <c r="BR132" s="106"/>
      <c r="BS132" s="106"/>
      <c r="BT132" s="108">
        <f>SUM(Tabelle4[[#This Row],[Projektverantwortung
(Lenkungsausschuss) ]:[Kommunikation ]])</f>
        <v>8</v>
      </c>
      <c r="BU132" s="105"/>
      <c r="BV132" s="106"/>
      <c r="BW132" s="106"/>
      <c r="BX132" s="106"/>
      <c r="BY132" s="106"/>
      <c r="BZ132" s="106"/>
      <c r="CA132" s="106"/>
      <c r="CB132" s="106"/>
      <c r="CC132" s="108">
        <f>SUM(Tabelle4[[#This Row],[Projektverantwortung
(Lenkungsausschuss)   ]:[Kommunikation   ]])</f>
        <v>0</v>
      </c>
      <c r="CD132" s="105"/>
      <c r="CE132" s="106"/>
      <c r="CF132" s="106"/>
      <c r="CG132" s="106"/>
      <c r="CH132" s="106"/>
      <c r="CI132" s="106"/>
      <c r="CJ132" s="106"/>
      <c r="CK132" s="106"/>
      <c r="CL132" s="108">
        <f>SUM(Tabelle4[[#This Row],[Projektverantwortung
(Lenkungsausschuss).]:[Kommunikation    ]])</f>
        <v>0</v>
      </c>
      <c r="CM132" s="105"/>
      <c r="CN132" s="106"/>
      <c r="CO132" s="106"/>
      <c r="CP132" s="106"/>
      <c r="CQ132" s="106"/>
      <c r="CR132" s="106"/>
      <c r="CS132" s="106"/>
      <c r="CT132" s="106"/>
      <c r="CU132" s="108">
        <f>SUM(Tabelle4[[#This Row],[Projektverantwortung
(Lenkungsausschuss)    ]:[Kommunikation     ]])</f>
        <v>0</v>
      </c>
      <c r="CV132" s="107">
        <f>SUM(Tabelle4[[#This Row],[Total Aufwand
1. Quartal 2018]],Tabelle4[[#This Row],[Total Aufwand
2. Quartal 2018]],Tabelle4[[#This Row],[Total Aufwand
3. Quartal 2018]],Tabelle4[[#This Row],[Total Aufwand
4. Quartal 2018]])</f>
        <v>8</v>
      </c>
      <c r="CW132" s="105"/>
      <c r="CX132" s="105"/>
      <c r="CY132" s="105"/>
      <c r="CZ132" s="105"/>
      <c r="DA132" s="105"/>
      <c r="DB132" s="105"/>
      <c r="DC132" s="105"/>
      <c r="DD132" s="105"/>
      <c r="DE132" s="107">
        <f>SUM(Tabelle4[[#This Row],[Aufwand ]],Tabelle4[[#This Row],[Aufwand 2]],Tabelle4[[#This Row],[Aufwand 3]],Tabelle4[[#This Row],[Aufwand 4]])</f>
        <v>0</v>
      </c>
      <c r="DF132" s="105"/>
      <c r="DG132" s="105"/>
      <c r="DH132" s="105"/>
      <c r="DI132" s="105"/>
      <c r="DJ132" s="105"/>
      <c r="DK132" s="105"/>
      <c r="DL132" s="105"/>
      <c r="DM132" s="105"/>
      <c r="DN132" s="107">
        <f>SUM(Tabelle4[[#This Row],[Aufwand  ]],Tabelle4[[#This Row],[Aufwand  2]],Tabelle4[[#This Row],[Aufwand  3]],Tabelle4[[#This Row],[Aufwand  4]])</f>
        <v>0</v>
      </c>
      <c r="DO132" s="105"/>
      <c r="DP132" s="105"/>
      <c r="DQ132" s="105"/>
      <c r="DR132" s="105"/>
      <c r="DS132" s="105"/>
      <c r="DT132" s="105"/>
      <c r="DU132" s="105"/>
      <c r="DV132" s="105"/>
      <c r="DW132" s="107">
        <f>SUM(Tabelle4[[#This Row],[Aufwand   ]],Tabelle4[[#This Row],[Aufwand   2]],Tabelle4[[#This Row],[Aufwand   3]],Tabelle4[[#This Row],[Aufwand   4]])</f>
        <v>0</v>
      </c>
      <c r="DX132" s="105"/>
      <c r="DY132" s="105"/>
      <c r="DZ132" s="105"/>
      <c r="EA132" s="105"/>
      <c r="EB132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8</v>
      </c>
      <c r="EC132" s="122">
        <f>Tabelle4[[#This Row],[Gesamaufwand]]/2000</f>
        <v>4.0000000000000001E-3</v>
      </c>
      <c r="ED132" s="47"/>
      <c r="EE132" s="47"/>
      <c r="EF132" s="47"/>
      <c r="EG132" s="47"/>
      <c r="EH132" s="47"/>
      <c r="EI132" s="47"/>
      <c r="EJ132" s="47"/>
      <c r="EK132" s="47"/>
      <c r="EL132" s="47"/>
    </row>
    <row r="133" spans="1:142">
      <c r="A133" s="255" t="s">
        <v>509</v>
      </c>
      <c r="B133" s="251" t="s">
        <v>105</v>
      </c>
      <c r="C133" s="254" t="s">
        <v>68</v>
      </c>
      <c r="D133" s="251" t="s">
        <v>913</v>
      </c>
      <c r="E133" s="251" t="s">
        <v>695</v>
      </c>
      <c r="F133" s="253">
        <v>3</v>
      </c>
      <c r="G133" s="253">
        <v>3</v>
      </c>
      <c r="H133" s="253"/>
      <c r="I133" s="254" t="s">
        <v>95</v>
      </c>
      <c r="J133" s="254"/>
      <c r="K133" s="105"/>
      <c r="L133" s="105"/>
      <c r="M133" s="48"/>
      <c r="N133" s="105"/>
      <c r="O133" s="255" t="s">
        <v>510</v>
      </c>
      <c r="P133" s="261">
        <v>2</v>
      </c>
      <c r="Q133" s="261">
        <v>0</v>
      </c>
      <c r="R133" s="261">
        <v>0</v>
      </c>
      <c r="S133" s="262" t="s">
        <v>355</v>
      </c>
      <c r="T133" s="263" t="s">
        <v>672</v>
      </c>
      <c r="U133" s="105"/>
      <c r="V133" s="259" t="s">
        <v>607</v>
      </c>
      <c r="W133" s="105" t="s">
        <v>6</v>
      </c>
      <c r="X133" s="105" t="s">
        <v>86</v>
      </c>
      <c r="Y133" s="105" t="s">
        <v>690</v>
      </c>
      <c r="Z133" s="105" t="s">
        <v>81</v>
      </c>
      <c r="AA133" s="105" t="s">
        <v>639</v>
      </c>
      <c r="AB133" s="105" t="s">
        <v>639</v>
      </c>
      <c r="AC133" s="105" t="s">
        <v>639</v>
      </c>
      <c r="AD133" s="105"/>
      <c r="AE133" s="105"/>
      <c r="AF133" s="105"/>
      <c r="AG133" s="105"/>
      <c r="AH133" s="115" t="s">
        <v>621</v>
      </c>
      <c r="AI133" s="115"/>
      <c r="AJ133" s="115"/>
      <c r="AK133" s="105"/>
      <c r="AL133" s="115"/>
      <c r="AM133" s="115"/>
      <c r="AN133" s="115"/>
      <c r="AO133" s="260">
        <f>Tabelle4[[#This Row],[Kredit-  / Budgetsumme
(RADAR: Gesamtkosten S)]]-Tabelle4[[#This Row],[Netto-Ausgaben Vorjahre ]]</f>
        <v>0</v>
      </c>
      <c r="AP133" s="310"/>
      <c r="AQ133" s="311"/>
      <c r="AR133" s="115">
        <f>Tabelle4[[#This Row],[Kreditrest per 1.1. aktuelles Jahr]]-Tabelle4[[#This Row],[Prognose 2018
(RADAR: Kosten 2018 S)]]</f>
        <v>0</v>
      </c>
      <c r="AS133" s="115"/>
      <c r="AT133" s="311"/>
      <c r="AU133" s="115"/>
      <c r="AV133" s="311"/>
      <c r="AW133" s="115"/>
      <c r="AX133" s="311"/>
      <c r="AY133" s="115"/>
      <c r="AZ133" s="311"/>
      <c r="BA133" s="115"/>
      <c r="BB133" s="311"/>
      <c r="BC133" s="115"/>
      <c r="BD133" s="311"/>
      <c r="BE133" s="115"/>
      <c r="BF133" s="311"/>
      <c r="BG133" s="115"/>
      <c r="BH133" s="311"/>
      <c r="BI133" s="115"/>
      <c r="BJ133" s="115"/>
      <c r="BK133" s="264"/>
      <c r="BL133" s="105"/>
      <c r="BM133" s="106"/>
      <c r="BN133" s="106"/>
      <c r="BO133" s="106">
        <v>8</v>
      </c>
      <c r="BP133" s="106"/>
      <c r="BQ133" s="106"/>
      <c r="BR133" s="106"/>
      <c r="BS133" s="106"/>
      <c r="BT133" s="108">
        <f>SUM(Tabelle4[[#This Row],[Projektverantwortung
(Lenkungsausschuss) ]:[Kommunikation ]])</f>
        <v>8</v>
      </c>
      <c r="BU133" s="105"/>
      <c r="BV133" s="106"/>
      <c r="BW133" s="106"/>
      <c r="BX133" s="106">
        <v>8</v>
      </c>
      <c r="BY133" s="106"/>
      <c r="BZ133" s="106"/>
      <c r="CA133" s="106"/>
      <c r="CB133" s="106"/>
      <c r="CC133" s="108">
        <f>SUM(Tabelle4[[#This Row],[Projektverantwortung
(Lenkungsausschuss)   ]:[Kommunikation   ]])</f>
        <v>8</v>
      </c>
      <c r="CD133" s="105"/>
      <c r="CE133" s="106"/>
      <c r="CF133" s="106"/>
      <c r="CG133" s="106">
        <v>8</v>
      </c>
      <c r="CH133" s="106"/>
      <c r="CI133" s="106"/>
      <c r="CJ133" s="106"/>
      <c r="CK133" s="106"/>
      <c r="CL133" s="108">
        <f>SUM(Tabelle4[[#This Row],[Projektverantwortung
(Lenkungsausschuss).]:[Kommunikation    ]])</f>
        <v>8</v>
      </c>
      <c r="CM133" s="105"/>
      <c r="CN133" s="106"/>
      <c r="CO133" s="106"/>
      <c r="CP133" s="106">
        <v>8</v>
      </c>
      <c r="CQ133" s="106"/>
      <c r="CR133" s="106"/>
      <c r="CS133" s="106"/>
      <c r="CT133" s="106"/>
      <c r="CU133" s="108">
        <f>SUM(Tabelle4[[#This Row],[Projektverantwortung
(Lenkungsausschuss)    ]:[Kommunikation     ]])</f>
        <v>8</v>
      </c>
      <c r="CV133" s="107">
        <f>SUM(Tabelle4[[#This Row],[Total Aufwand
1. Quartal 2018]],Tabelle4[[#This Row],[Total Aufwand
2. Quartal 2018]],Tabelle4[[#This Row],[Total Aufwand
3. Quartal 2018]],Tabelle4[[#This Row],[Total Aufwand
4. Quartal 2018]])</f>
        <v>32</v>
      </c>
      <c r="CW133" s="105"/>
      <c r="CX133" s="105"/>
      <c r="CY133" s="105"/>
      <c r="CZ133" s="105"/>
      <c r="DA133" s="105"/>
      <c r="DB133" s="105"/>
      <c r="DC133" s="105"/>
      <c r="DD133" s="105"/>
      <c r="DE133" s="107">
        <f>SUM(Tabelle4[[#This Row],[Aufwand ]],Tabelle4[[#This Row],[Aufwand 2]],Tabelle4[[#This Row],[Aufwand 3]],Tabelle4[[#This Row],[Aufwand 4]])</f>
        <v>0</v>
      </c>
      <c r="DF133" s="105"/>
      <c r="DG133" s="105"/>
      <c r="DH133" s="105"/>
      <c r="DI133" s="105"/>
      <c r="DJ133" s="105"/>
      <c r="DK133" s="105"/>
      <c r="DL133" s="105"/>
      <c r="DM133" s="105"/>
      <c r="DN133" s="107">
        <f>SUM(Tabelle4[[#This Row],[Aufwand  ]],Tabelle4[[#This Row],[Aufwand  2]],Tabelle4[[#This Row],[Aufwand  3]],Tabelle4[[#This Row],[Aufwand  4]])</f>
        <v>0</v>
      </c>
      <c r="DO133" s="105"/>
      <c r="DP133" s="105"/>
      <c r="DQ133" s="105"/>
      <c r="DR133" s="105"/>
      <c r="DS133" s="105"/>
      <c r="DT133" s="105"/>
      <c r="DU133" s="105"/>
      <c r="DV133" s="105"/>
      <c r="DW133" s="107">
        <f>SUM(Tabelle4[[#This Row],[Aufwand   ]],Tabelle4[[#This Row],[Aufwand   2]],Tabelle4[[#This Row],[Aufwand   3]],Tabelle4[[#This Row],[Aufwand   4]])</f>
        <v>0</v>
      </c>
      <c r="DX133" s="105"/>
      <c r="DY133" s="105"/>
      <c r="DZ133" s="105"/>
      <c r="EA133" s="105"/>
      <c r="EB133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32</v>
      </c>
      <c r="EC133" s="122">
        <f>Tabelle4[[#This Row],[Gesamaufwand]]/2000</f>
        <v>1.6E-2</v>
      </c>
      <c r="ED133" s="47"/>
      <c r="EE133" s="47"/>
      <c r="EF133" s="47"/>
      <c r="EG133" s="47"/>
      <c r="EH133" s="47"/>
      <c r="EI133" s="47"/>
      <c r="EJ133" s="47"/>
      <c r="EK133" s="47"/>
      <c r="EL133" s="47"/>
    </row>
    <row r="134" spans="1:142">
      <c r="A134" s="255" t="s">
        <v>909</v>
      </c>
      <c r="B134" s="251" t="s">
        <v>105</v>
      </c>
      <c r="C134" s="254" t="s">
        <v>68</v>
      </c>
      <c r="D134" s="251" t="s">
        <v>913</v>
      </c>
      <c r="E134" s="251" t="s">
        <v>695</v>
      </c>
      <c r="F134" s="253">
        <v>3</v>
      </c>
      <c r="G134" s="253">
        <v>3</v>
      </c>
      <c r="H134" s="253"/>
      <c r="I134" s="254" t="s">
        <v>95</v>
      </c>
      <c r="J134" s="254"/>
      <c r="K134" s="105"/>
      <c r="L134" s="105"/>
      <c r="M134" s="48"/>
      <c r="N134" s="105"/>
      <c r="O134" s="255" t="s">
        <v>511</v>
      </c>
      <c r="P134" s="261">
        <v>2</v>
      </c>
      <c r="Q134" s="261">
        <v>0</v>
      </c>
      <c r="R134" s="261">
        <v>0</v>
      </c>
      <c r="S134" s="262" t="s">
        <v>512</v>
      </c>
      <c r="T134" s="263" t="s">
        <v>75</v>
      </c>
      <c r="U134" s="105"/>
      <c r="V134" s="259" t="s">
        <v>607</v>
      </c>
      <c r="W134" s="105" t="s">
        <v>7</v>
      </c>
      <c r="X134" s="105" t="s">
        <v>9</v>
      </c>
      <c r="Y134" s="105" t="s">
        <v>690</v>
      </c>
      <c r="Z134" s="105" t="s">
        <v>9</v>
      </c>
      <c r="AA134" s="105" t="s">
        <v>639</v>
      </c>
      <c r="AB134" s="105" t="s">
        <v>639</v>
      </c>
      <c r="AC134" s="105" t="s">
        <v>639</v>
      </c>
      <c r="AD134" s="105"/>
      <c r="AE134" s="105"/>
      <c r="AF134" s="105"/>
      <c r="AG134" s="105"/>
      <c r="AH134" s="115" t="s">
        <v>621</v>
      </c>
      <c r="AI134" s="115"/>
      <c r="AJ134" s="115"/>
      <c r="AK134" s="105"/>
      <c r="AL134" s="115"/>
      <c r="AM134" s="115"/>
      <c r="AN134" s="115"/>
      <c r="AO134" s="260">
        <f>Tabelle4[[#This Row],[Kredit-  / Budgetsumme
(RADAR: Gesamtkosten S)]]-Tabelle4[[#This Row],[Netto-Ausgaben Vorjahre ]]</f>
        <v>0</v>
      </c>
      <c r="AP134" s="310"/>
      <c r="AQ134" s="311"/>
      <c r="AR134" s="115">
        <f>Tabelle4[[#This Row],[Kreditrest per 1.1. aktuelles Jahr]]-Tabelle4[[#This Row],[Prognose 2018
(RADAR: Kosten 2018 S)]]</f>
        <v>0</v>
      </c>
      <c r="AS134" s="115"/>
      <c r="AT134" s="311"/>
      <c r="AU134" s="115"/>
      <c r="AV134" s="311"/>
      <c r="AW134" s="115"/>
      <c r="AX134" s="311"/>
      <c r="AY134" s="115"/>
      <c r="AZ134" s="311"/>
      <c r="BA134" s="115"/>
      <c r="BB134" s="311"/>
      <c r="BC134" s="115"/>
      <c r="BD134" s="311"/>
      <c r="BE134" s="115"/>
      <c r="BF134" s="311"/>
      <c r="BG134" s="115"/>
      <c r="BH134" s="311"/>
      <c r="BI134" s="115"/>
      <c r="BJ134" s="115"/>
      <c r="BK134" s="264"/>
      <c r="BL134" s="105"/>
      <c r="BM134" s="106"/>
      <c r="BN134" s="106"/>
      <c r="BO134" s="106"/>
      <c r="BP134" s="106"/>
      <c r="BQ134" s="106"/>
      <c r="BR134" s="106"/>
      <c r="BS134" s="106"/>
      <c r="BT134" s="108">
        <f>SUM(Tabelle4[[#This Row],[Projektverantwortung
(Lenkungsausschuss) ]:[Kommunikation ]])</f>
        <v>0</v>
      </c>
      <c r="BU134" s="105"/>
      <c r="BV134" s="106"/>
      <c r="BW134" s="106"/>
      <c r="BX134" s="106">
        <v>8</v>
      </c>
      <c r="BY134" s="106"/>
      <c r="BZ134" s="106"/>
      <c r="CA134" s="106"/>
      <c r="CB134" s="106"/>
      <c r="CC134" s="108">
        <f>SUM(Tabelle4[[#This Row],[Projektverantwortung
(Lenkungsausschuss)   ]:[Kommunikation   ]])</f>
        <v>8</v>
      </c>
      <c r="CD134" s="105"/>
      <c r="CE134" s="106"/>
      <c r="CF134" s="106"/>
      <c r="CG134" s="106"/>
      <c r="CH134" s="106"/>
      <c r="CI134" s="106"/>
      <c r="CJ134" s="106"/>
      <c r="CK134" s="106"/>
      <c r="CL134" s="108">
        <f>SUM(Tabelle4[[#This Row],[Projektverantwortung
(Lenkungsausschuss).]:[Kommunikation    ]])</f>
        <v>0</v>
      </c>
      <c r="CM134" s="105"/>
      <c r="CN134" s="106"/>
      <c r="CO134" s="106"/>
      <c r="CP134" s="106"/>
      <c r="CQ134" s="106"/>
      <c r="CR134" s="106"/>
      <c r="CS134" s="106"/>
      <c r="CT134" s="106"/>
      <c r="CU134" s="108">
        <f>SUM(Tabelle4[[#This Row],[Projektverantwortung
(Lenkungsausschuss)    ]:[Kommunikation     ]])</f>
        <v>0</v>
      </c>
      <c r="CV134" s="107">
        <f>SUM(Tabelle4[[#This Row],[Total Aufwand
1. Quartal 2018]],Tabelle4[[#This Row],[Total Aufwand
2. Quartal 2018]],Tabelle4[[#This Row],[Total Aufwand
3. Quartal 2018]],Tabelle4[[#This Row],[Total Aufwand
4. Quartal 2018]])</f>
        <v>8</v>
      </c>
      <c r="CW134" s="105"/>
      <c r="CX134" s="105"/>
      <c r="CY134" s="105"/>
      <c r="CZ134" s="105"/>
      <c r="DA134" s="105"/>
      <c r="DB134" s="105"/>
      <c r="DC134" s="105"/>
      <c r="DD134" s="105"/>
      <c r="DE134" s="107">
        <f>SUM(Tabelle4[[#This Row],[Aufwand ]],Tabelle4[[#This Row],[Aufwand 2]],Tabelle4[[#This Row],[Aufwand 3]],Tabelle4[[#This Row],[Aufwand 4]])</f>
        <v>0</v>
      </c>
      <c r="DF134" s="105"/>
      <c r="DG134" s="105"/>
      <c r="DH134" s="105"/>
      <c r="DI134" s="105"/>
      <c r="DJ134" s="105"/>
      <c r="DK134" s="105"/>
      <c r="DL134" s="105"/>
      <c r="DM134" s="105"/>
      <c r="DN134" s="107">
        <f>SUM(Tabelle4[[#This Row],[Aufwand  ]],Tabelle4[[#This Row],[Aufwand  2]],Tabelle4[[#This Row],[Aufwand  3]],Tabelle4[[#This Row],[Aufwand  4]])</f>
        <v>0</v>
      </c>
      <c r="DO134" s="105"/>
      <c r="DP134" s="105"/>
      <c r="DQ134" s="105"/>
      <c r="DR134" s="105"/>
      <c r="DS134" s="105"/>
      <c r="DT134" s="105"/>
      <c r="DU134" s="105"/>
      <c r="DV134" s="105"/>
      <c r="DW134" s="107">
        <f>SUM(Tabelle4[[#This Row],[Aufwand   ]],Tabelle4[[#This Row],[Aufwand   2]],Tabelle4[[#This Row],[Aufwand   3]],Tabelle4[[#This Row],[Aufwand   4]])</f>
        <v>0</v>
      </c>
      <c r="DX134" s="105"/>
      <c r="DY134" s="105"/>
      <c r="DZ134" s="105"/>
      <c r="EA134" s="105"/>
      <c r="EB134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8</v>
      </c>
      <c r="EC134" s="122">
        <f>Tabelle4[[#This Row],[Gesamaufwand]]/2000</f>
        <v>4.0000000000000001E-3</v>
      </c>
      <c r="ED134" s="47"/>
      <c r="EE134" s="47"/>
      <c r="EF134" s="47"/>
      <c r="EG134" s="47"/>
      <c r="EH134" s="47"/>
      <c r="EI134" s="47"/>
      <c r="EJ134" s="47"/>
      <c r="EK134" s="47"/>
      <c r="EL134" s="47"/>
    </row>
    <row r="135" spans="1:142">
      <c r="A135" s="255" t="s">
        <v>513</v>
      </c>
      <c r="B135" s="251" t="s">
        <v>106</v>
      </c>
      <c r="C135" s="254" t="s">
        <v>68</v>
      </c>
      <c r="D135" s="251" t="s">
        <v>913</v>
      </c>
      <c r="E135" s="251" t="s">
        <v>97</v>
      </c>
      <c r="F135" s="253">
        <v>4</v>
      </c>
      <c r="G135" s="253">
        <v>4</v>
      </c>
      <c r="H135" s="253"/>
      <c r="I135" s="254" t="s">
        <v>96</v>
      </c>
      <c r="J135" s="254"/>
      <c r="K135" s="105"/>
      <c r="L135" s="105"/>
      <c r="M135" s="48"/>
      <c r="N135" s="105"/>
      <c r="O135" s="255" t="s">
        <v>514</v>
      </c>
      <c r="P135" s="261">
        <v>2</v>
      </c>
      <c r="Q135" s="261">
        <v>0</v>
      </c>
      <c r="R135" s="261">
        <v>0</v>
      </c>
      <c r="S135" s="262" t="s">
        <v>515</v>
      </c>
      <c r="T135" s="263" t="s">
        <v>661</v>
      </c>
      <c r="U135" s="105"/>
      <c r="V135" s="259" t="s">
        <v>610</v>
      </c>
      <c r="W135" s="105" t="s">
        <v>6</v>
      </c>
      <c r="X135" s="105" t="s">
        <v>86</v>
      </c>
      <c r="Y135" s="105" t="s">
        <v>690</v>
      </c>
      <c r="Z135" s="105" t="s">
        <v>86</v>
      </c>
      <c r="AA135" s="105" t="s">
        <v>639</v>
      </c>
      <c r="AB135" s="105" t="s">
        <v>639</v>
      </c>
      <c r="AC135" s="105" t="s">
        <v>639</v>
      </c>
      <c r="AD135" s="105"/>
      <c r="AE135" s="105"/>
      <c r="AF135" s="105"/>
      <c r="AG135" s="105"/>
      <c r="AH135" s="115" t="s">
        <v>621</v>
      </c>
      <c r="AI135" s="115"/>
      <c r="AJ135" s="115"/>
      <c r="AK135" s="105"/>
      <c r="AL135" s="115"/>
      <c r="AM135" s="115"/>
      <c r="AN135" s="115"/>
      <c r="AO135" s="260">
        <f>Tabelle4[[#This Row],[Kredit-  / Budgetsumme
(RADAR: Gesamtkosten S)]]-Tabelle4[[#This Row],[Netto-Ausgaben Vorjahre ]]</f>
        <v>0</v>
      </c>
      <c r="AP135" s="310"/>
      <c r="AQ135" s="311"/>
      <c r="AR135" s="115">
        <f>Tabelle4[[#This Row],[Kreditrest per 1.1. aktuelles Jahr]]-Tabelle4[[#This Row],[Prognose 2018
(RADAR: Kosten 2018 S)]]</f>
        <v>0</v>
      </c>
      <c r="AS135" s="115"/>
      <c r="AT135" s="311"/>
      <c r="AU135" s="115"/>
      <c r="AV135" s="311"/>
      <c r="AW135" s="115"/>
      <c r="AX135" s="311"/>
      <c r="AY135" s="115"/>
      <c r="AZ135" s="311"/>
      <c r="BA135" s="115"/>
      <c r="BB135" s="311"/>
      <c r="BC135" s="115"/>
      <c r="BD135" s="311"/>
      <c r="BE135" s="115"/>
      <c r="BF135" s="311"/>
      <c r="BG135" s="115"/>
      <c r="BH135" s="311"/>
      <c r="BI135" s="115"/>
      <c r="BJ135" s="115"/>
      <c r="BK135" s="264"/>
      <c r="BL135" s="105"/>
      <c r="BM135" s="106"/>
      <c r="BN135" s="106"/>
      <c r="BO135" s="106">
        <v>0</v>
      </c>
      <c r="BP135" s="106"/>
      <c r="BQ135" s="106"/>
      <c r="BR135" s="106"/>
      <c r="BS135" s="106"/>
      <c r="BT135" s="108">
        <f>SUM(Tabelle4[[#This Row],[Projektverantwortung
(Lenkungsausschuss) ]:[Kommunikation ]])</f>
        <v>0</v>
      </c>
      <c r="BU135" s="105"/>
      <c r="BV135" s="106"/>
      <c r="BW135" s="106"/>
      <c r="BX135" s="106"/>
      <c r="BY135" s="106"/>
      <c r="BZ135" s="106"/>
      <c r="CA135" s="106"/>
      <c r="CB135" s="106"/>
      <c r="CC135" s="108">
        <f>SUM(Tabelle4[[#This Row],[Projektverantwortung
(Lenkungsausschuss)   ]:[Kommunikation   ]])</f>
        <v>0</v>
      </c>
      <c r="CD135" s="105"/>
      <c r="CE135" s="106"/>
      <c r="CF135" s="106"/>
      <c r="CG135" s="106"/>
      <c r="CH135" s="106"/>
      <c r="CI135" s="106"/>
      <c r="CJ135" s="106"/>
      <c r="CK135" s="106"/>
      <c r="CL135" s="108">
        <f>SUM(Tabelle4[[#This Row],[Projektverantwortung
(Lenkungsausschuss).]:[Kommunikation    ]])</f>
        <v>0</v>
      </c>
      <c r="CM135" s="105"/>
      <c r="CN135" s="106"/>
      <c r="CO135" s="106"/>
      <c r="CP135" s="106"/>
      <c r="CQ135" s="106"/>
      <c r="CR135" s="106"/>
      <c r="CS135" s="106"/>
      <c r="CT135" s="106"/>
      <c r="CU135" s="108">
        <f>SUM(Tabelle4[[#This Row],[Projektverantwortung
(Lenkungsausschuss)    ]:[Kommunikation     ]])</f>
        <v>0</v>
      </c>
      <c r="CV135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135" s="105"/>
      <c r="CX135" s="105"/>
      <c r="CY135" s="105"/>
      <c r="CZ135" s="105"/>
      <c r="DA135" s="105"/>
      <c r="DB135" s="105"/>
      <c r="DC135" s="105"/>
      <c r="DD135" s="105"/>
      <c r="DE135" s="107">
        <f>SUM(Tabelle4[[#This Row],[Aufwand ]],Tabelle4[[#This Row],[Aufwand 2]],Tabelle4[[#This Row],[Aufwand 3]],Tabelle4[[#This Row],[Aufwand 4]])</f>
        <v>0</v>
      </c>
      <c r="DF135" s="105"/>
      <c r="DG135" s="105"/>
      <c r="DH135" s="105"/>
      <c r="DI135" s="105"/>
      <c r="DJ135" s="105"/>
      <c r="DK135" s="105"/>
      <c r="DL135" s="105"/>
      <c r="DM135" s="105"/>
      <c r="DN135" s="107">
        <f>SUM(Tabelle4[[#This Row],[Aufwand  ]],Tabelle4[[#This Row],[Aufwand  2]],Tabelle4[[#This Row],[Aufwand  3]],Tabelle4[[#This Row],[Aufwand  4]])</f>
        <v>0</v>
      </c>
      <c r="DO135" s="105"/>
      <c r="DP135" s="105"/>
      <c r="DQ135" s="105"/>
      <c r="DR135" s="105"/>
      <c r="DS135" s="105"/>
      <c r="DT135" s="105"/>
      <c r="DU135" s="105"/>
      <c r="DV135" s="105"/>
      <c r="DW135" s="107">
        <f>SUM(Tabelle4[[#This Row],[Aufwand   ]],Tabelle4[[#This Row],[Aufwand   2]],Tabelle4[[#This Row],[Aufwand   3]],Tabelle4[[#This Row],[Aufwand   4]])</f>
        <v>0</v>
      </c>
      <c r="DX135" s="105"/>
      <c r="DY135" s="105"/>
      <c r="DZ135" s="105"/>
      <c r="EA135" s="105"/>
      <c r="EB135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135" s="122">
        <f>Tabelle4[[#This Row],[Gesamaufwand]]/2000</f>
        <v>0</v>
      </c>
      <c r="ED135" s="47"/>
      <c r="EE135" s="47"/>
      <c r="EF135" s="47"/>
      <c r="EG135" s="47"/>
      <c r="EH135" s="47"/>
      <c r="EI135" s="47"/>
      <c r="EJ135" s="47"/>
      <c r="EK135" s="47"/>
      <c r="EL135" s="47"/>
    </row>
    <row r="136" spans="1:142">
      <c r="A136" s="255" t="s">
        <v>516</v>
      </c>
      <c r="B136" s="251" t="s">
        <v>105</v>
      </c>
      <c r="C136" s="254" t="s">
        <v>68</v>
      </c>
      <c r="D136" s="251" t="s">
        <v>913</v>
      </c>
      <c r="E136" s="251" t="s">
        <v>635</v>
      </c>
      <c r="F136" s="253">
        <v>1</v>
      </c>
      <c r="G136" s="253">
        <v>1</v>
      </c>
      <c r="H136" s="253"/>
      <c r="I136" s="254" t="s">
        <v>94</v>
      </c>
      <c r="J136" s="254"/>
      <c r="K136" s="105"/>
      <c r="L136" s="105"/>
      <c r="M136" s="48"/>
      <c r="N136" s="105"/>
      <c r="O136" s="255" t="s">
        <v>517</v>
      </c>
      <c r="P136" s="261">
        <v>2</v>
      </c>
      <c r="Q136" s="261">
        <v>0</v>
      </c>
      <c r="R136" s="261">
        <v>0</v>
      </c>
      <c r="S136" s="262" t="s">
        <v>359</v>
      </c>
      <c r="T136" s="263" t="s">
        <v>659</v>
      </c>
      <c r="U136" s="105"/>
      <c r="V136" s="259" t="s">
        <v>607</v>
      </c>
      <c r="W136" s="105" t="s">
        <v>6</v>
      </c>
      <c r="X136" s="105" t="s">
        <v>75</v>
      </c>
      <c r="Y136" s="105" t="s">
        <v>86</v>
      </c>
      <c r="Z136" s="105" t="s">
        <v>862</v>
      </c>
      <c r="AA136" s="105" t="s">
        <v>639</v>
      </c>
      <c r="AB136" s="105" t="s">
        <v>639</v>
      </c>
      <c r="AC136" s="105" t="s">
        <v>639</v>
      </c>
      <c r="AD136" s="105"/>
      <c r="AE136" s="105"/>
      <c r="AF136" s="105"/>
      <c r="AG136" s="105"/>
      <c r="AH136" s="115" t="s">
        <v>621</v>
      </c>
      <c r="AI136" s="115"/>
      <c r="AJ136" s="115"/>
      <c r="AK136" s="105"/>
      <c r="AL136" s="115"/>
      <c r="AM136" s="115"/>
      <c r="AN136" s="115"/>
      <c r="AO136" s="260">
        <f>Tabelle4[[#This Row],[Kredit-  / Budgetsumme
(RADAR: Gesamtkosten S)]]-Tabelle4[[#This Row],[Netto-Ausgaben Vorjahre ]]</f>
        <v>0</v>
      </c>
      <c r="AP136" s="310"/>
      <c r="AQ136" s="311"/>
      <c r="AR136" s="115">
        <f>Tabelle4[[#This Row],[Kreditrest per 1.1. aktuelles Jahr]]-Tabelle4[[#This Row],[Prognose 2018
(RADAR: Kosten 2018 S)]]</f>
        <v>0</v>
      </c>
      <c r="AS136" s="115"/>
      <c r="AT136" s="311"/>
      <c r="AU136" s="115"/>
      <c r="AV136" s="311"/>
      <c r="AW136" s="115"/>
      <c r="AX136" s="311"/>
      <c r="AY136" s="115"/>
      <c r="AZ136" s="311"/>
      <c r="BA136" s="115"/>
      <c r="BB136" s="311"/>
      <c r="BC136" s="115"/>
      <c r="BD136" s="311"/>
      <c r="BE136" s="115"/>
      <c r="BF136" s="311"/>
      <c r="BG136" s="115"/>
      <c r="BH136" s="311"/>
      <c r="BI136" s="115"/>
      <c r="BJ136" s="115"/>
      <c r="BK136" s="264"/>
      <c r="BL136" s="105"/>
      <c r="BM136" s="106"/>
      <c r="BN136" s="106"/>
      <c r="BO136" s="106" t="s">
        <v>75</v>
      </c>
      <c r="BP136" s="106"/>
      <c r="BQ136" s="106"/>
      <c r="BR136" s="106"/>
      <c r="BS136" s="106"/>
      <c r="BT136" s="108">
        <f>SUM(Tabelle4[[#This Row],[Projektverantwortung
(Lenkungsausschuss) ]:[Kommunikation ]])</f>
        <v>0</v>
      </c>
      <c r="BU136" s="105"/>
      <c r="BV136" s="106"/>
      <c r="BW136" s="106"/>
      <c r="BX136" s="106"/>
      <c r="BY136" s="106"/>
      <c r="BZ136" s="106"/>
      <c r="CA136" s="106"/>
      <c r="CB136" s="106"/>
      <c r="CC136" s="108">
        <f>SUM(Tabelle4[[#This Row],[Projektverantwortung
(Lenkungsausschuss)   ]:[Kommunikation   ]])</f>
        <v>0</v>
      </c>
      <c r="CD136" s="105"/>
      <c r="CE136" s="106"/>
      <c r="CF136" s="106"/>
      <c r="CG136" s="106"/>
      <c r="CH136" s="106"/>
      <c r="CI136" s="106"/>
      <c r="CJ136" s="106"/>
      <c r="CK136" s="106"/>
      <c r="CL136" s="108">
        <f>SUM(Tabelle4[[#This Row],[Projektverantwortung
(Lenkungsausschuss).]:[Kommunikation    ]])</f>
        <v>0</v>
      </c>
      <c r="CM136" s="105"/>
      <c r="CN136" s="106"/>
      <c r="CO136" s="106"/>
      <c r="CP136" s="106"/>
      <c r="CQ136" s="106"/>
      <c r="CR136" s="106"/>
      <c r="CS136" s="106"/>
      <c r="CT136" s="106"/>
      <c r="CU136" s="108">
        <f>SUM(Tabelle4[[#This Row],[Projektverantwortung
(Lenkungsausschuss)    ]:[Kommunikation     ]])</f>
        <v>0</v>
      </c>
      <c r="CV136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136" s="105"/>
      <c r="CX136" s="105"/>
      <c r="CY136" s="105"/>
      <c r="CZ136" s="105"/>
      <c r="DA136" s="105"/>
      <c r="DB136" s="105"/>
      <c r="DC136" s="105"/>
      <c r="DD136" s="105"/>
      <c r="DE136" s="107">
        <f>SUM(Tabelle4[[#This Row],[Aufwand ]],Tabelle4[[#This Row],[Aufwand 2]],Tabelle4[[#This Row],[Aufwand 3]],Tabelle4[[#This Row],[Aufwand 4]])</f>
        <v>0</v>
      </c>
      <c r="DF136" s="105"/>
      <c r="DG136" s="105"/>
      <c r="DH136" s="105"/>
      <c r="DI136" s="105"/>
      <c r="DJ136" s="105"/>
      <c r="DK136" s="105"/>
      <c r="DL136" s="105"/>
      <c r="DM136" s="105"/>
      <c r="DN136" s="107">
        <f>SUM(Tabelle4[[#This Row],[Aufwand  ]],Tabelle4[[#This Row],[Aufwand  2]],Tabelle4[[#This Row],[Aufwand  3]],Tabelle4[[#This Row],[Aufwand  4]])</f>
        <v>0</v>
      </c>
      <c r="DO136" s="105"/>
      <c r="DP136" s="105"/>
      <c r="DQ136" s="105"/>
      <c r="DR136" s="105"/>
      <c r="DS136" s="105"/>
      <c r="DT136" s="105"/>
      <c r="DU136" s="105"/>
      <c r="DV136" s="105"/>
      <c r="DW136" s="107">
        <f>SUM(Tabelle4[[#This Row],[Aufwand   ]],Tabelle4[[#This Row],[Aufwand   2]],Tabelle4[[#This Row],[Aufwand   3]],Tabelle4[[#This Row],[Aufwand   4]])</f>
        <v>0</v>
      </c>
      <c r="DX136" s="105"/>
      <c r="DY136" s="105"/>
      <c r="DZ136" s="105"/>
      <c r="EA136" s="105"/>
      <c r="EB136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136" s="122">
        <f>Tabelle4[[#This Row],[Gesamaufwand]]/2000</f>
        <v>0</v>
      </c>
      <c r="ED136" s="47"/>
      <c r="EE136" s="47"/>
      <c r="EF136" s="47"/>
      <c r="EG136" s="47"/>
      <c r="EH136" s="47"/>
      <c r="EI136" s="47"/>
      <c r="EJ136" s="47"/>
      <c r="EK136" s="47"/>
      <c r="EL136" s="47"/>
    </row>
    <row r="137" spans="1:142">
      <c r="A137" s="255" t="s">
        <v>518</v>
      </c>
      <c r="B137" s="251" t="s">
        <v>105</v>
      </c>
      <c r="C137" s="254" t="s">
        <v>68</v>
      </c>
      <c r="D137" s="251" t="s">
        <v>913</v>
      </c>
      <c r="E137" s="251" t="s">
        <v>695</v>
      </c>
      <c r="F137" s="253">
        <v>1</v>
      </c>
      <c r="G137" s="253">
        <v>1</v>
      </c>
      <c r="H137" s="253"/>
      <c r="I137" s="254" t="s">
        <v>94</v>
      </c>
      <c r="J137" s="254"/>
      <c r="K137" s="105"/>
      <c r="L137" s="105"/>
      <c r="M137" s="48"/>
      <c r="N137" s="105"/>
      <c r="O137" s="255" t="s">
        <v>519</v>
      </c>
      <c r="P137" s="261">
        <v>2</v>
      </c>
      <c r="Q137" s="261">
        <v>0</v>
      </c>
      <c r="R137" s="261">
        <v>0</v>
      </c>
      <c r="S137" s="262" t="s">
        <v>403</v>
      </c>
      <c r="T137" s="263" t="s">
        <v>75</v>
      </c>
      <c r="U137" s="105"/>
      <c r="V137" s="259" t="s">
        <v>607</v>
      </c>
      <c r="W137" s="105" t="s">
        <v>7</v>
      </c>
      <c r="X137" s="105" t="s">
        <v>75</v>
      </c>
      <c r="Y137" s="105" t="s">
        <v>75</v>
      </c>
      <c r="Z137" s="105" t="s">
        <v>9</v>
      </c>
      <c r="AA137" s="105" t="s">
        <v>639</v>
      </c>
      <c r="AB137" s="105" t="s">
        <v>639</v>
      </c>
      <c r="AC137" s="105" t="s">
        <v>639</v>
      </c>
      <c r="AD137" s="105"/>
      <c r="AE137" s="105"/>
      <c r="AF137" s="105"/>
      <c r="AG137" s="105"/>
      <c r="AH137" s="115" t="s">
        <v>621</v>
      </c>
      <c r="AI137" s="115"/>
      <c r="AJ137" s="115"/>
      <c r="AK137" s="105"/>
      <c r="AL137" s="115"/>
      <c r="AM137" s="115"/>
      <c r="AN137" s="115"/>
      <c r="AO137" s="260">
        <f>Tabelle4[[#This Row],[Kredit-  / Budgetsumme
(RADAR: Gesamtkosten S)]]-Tabelle4[[#This Row],[Netto-Ausgaben Vorjahre ]]</f>
        <v>0</v>
      </c>
      <c r="AP137" s="310"/>
      <c r="AQ137" s="311"/>
      <c r="AR137" s="115">
        <f>Tabelle4[[#This Row],[Kreditrest per 1.1. aktuelles Jahr]]-Tabelle4[[#This Row],[Prognose 2018
(RADAR: Kosten 2018 S)]]</f>
        <v>0</v>
      </c>
      <c r="AS137" s="115"/>
      <c r="AT137" s="311"/>
      <c r="AU137" s="115"/>
      <c r="AV137" s="311"/>
      <c r="AW137" s="115"/>
      <c r="AX137" s="311"/>
      <c r="AY137" s="115"/>
      <c r="AZ137" s="311"/>
      <c r="BA137" s="115"/>
      <c r="BB137" s="311"/>
      <c r="BC137" s="115"/>
      <c r="BD137" s="311"/>
      <c r="BE137" s="115"/>
      <c r="BF137" s="311"/>
      <c r="BG137" s="115"/>
      <c r="BH137" s="311"/>
      <c r="BI137" s="115"/>
      <c r="BJ137" s="115"/>
      <c r="BK137" s="264"/>
      <c r="BL137" s="105" t="s">
        <v>672</v>
      </c>
      <c r="BM137" s="106"/>
      <c r="BN137" s="106"/>
      <c r="BO137" s="106">
        <v>0</v>
      </c>
      <c r="BP137" s="106"/>
      <c r="BQ137" s="106"/>
      <c r="BR137" s="106"/>
      <c r="BS137" s="106"/>
      <c r="BT137" s="108">
        <f>SUM(Tabelle4[[#This Row],[Projektverantwortung
(Lenkungsausschuss) ]:[Kommunikation ]])</f>
        <v>0</v>
      </c>
      <c r="BU137" s="105"/>
      <c r="BV137" s="106"/>
      <c r="BW137" s="106"/>
      <c r="BX137" s="106">
        <v>0</v>
      </c>
      <c r="BY137" s="106"/>
      <c r="BZ137" s="106"/>
      <c r="CA137" s="106"/>
      <c r="CB137" s="106"/>
      <c r="CC137" s="108">
        <f>SUM(Tabelle4[[#This Row],[Projektverantwortung
(Lenkungsausschuss)   ]:[Kommunikation   ]])</f>
        <v>0</v>
      </c>
      <c r="CD137" s="105"/>
      <c r="CE137" s="106"/>
      <c r="CF137" s="106"/>
      <c r="CG137" s="106"/>
      <c r="CH137" s="106"/>
      <c r="CI137" s="106"/>
      <c r="CJ137" s="106"/>
      <c r="CK137" s="106"/>
      <c r="CL137" s="108">
        <f>SUM(Tabelle4[[#This Row],[Projektverantwortung
(Lenkungsausschuss).]:[Kommunikation    ]])</f>
        <v>0</v>
      </c>
      <c r="CM137" s="105"/>
      <c r="CN137" s="106"/>
      <c r="CO137" s="106"/>
      <c r="CP137" s="106"/>
      <c r="CQ137" s="106"/>
      <c r="CR137" s="106"/>
      <c r="CS137" s="106"/>
      <c r="CT137" s="106"/>
      <c r="CU137" s="108">
        <f>SUM(Tabelle4[[#This Row],[Projektverantwortung
(Lenkungsausschuss)    ]:[Kommunikation     ]])</f>
        <v>0</v>
      </c>
      <c r="CV137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137" s="105"/>
      <c r="CX137" s="105"/>
      <c r="CY137" s="105"/>
      <c r="CZ137" s="105"/>
      <c r="DA137" s="105"/>
      <c r="DB137" s="105"/>
      <c r="DC137" s="105"/>
      <c r="DD137" s="105"/>
      <c r="DE137" s="107">
        <f>SUM(Tabelle4[[#This Row],[Aufwand ]],Tabelle4[[#This Row],[Aufwand 2]],Tabelle4[[#This Row],[Aufwand 3]],Tabelle4[[#This Row],[Aufwand 4]])</f>
        <v>0</v>
      </c>
      <c r="DF137" s="105"/>
      <c r="DG137" s="105"/>
      <c r="DH137" s="105"/>
      <c r="DI137" s="105"/>
      <c r="DJ137" s="105"/>
      <c r="DK137" s="105"/>
      <c r="DL137" s="105"/>
      <c r="DM137" s="105"/>
      <c r="DN137" s="107">
        <f>SUM(Tabelle4[[#This Row],[Aufwand  ]],Tabelle4[[#This Row],[Aufwand  2]],Tabelle4[[#This Row],[Aufwand  3]],Tabelle4[[#This Row],[Aufwand  4]])</f>
        <v>0</v>
      </c>
      <c r="DO137" s="105"/>
      <c r="DP137" s="105"/>
      <c r="DQ137" s="105"/>
      <c r="DR137" s="105"/>
      <c r="DS137" s="105"/>
      <c r="DT137" s="105"/>
      <c r="DU137" s="105"/>
      <c r="DV137" s="105"/>
      <c r="DW137" s="107">
        <f>SUM(Tabelle4[[#This Row],[Aufwand   ]],Tabelle4[[#This Row],[Aufwand   2]],Tabelle4[[#This Row],[Aufwand   3]],Tabelle4[[#This Row],[Aufwand   4]])</f>
        <v>0</v>
      </c>
      <c r="DX137" s="105"/>
      <c r="DY137" s="105"/>
      <c r="DZ137" s="105"/>
      <c r="EA137" s="105"/>
      <c r="EB137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137" s="122">
        <f>Tabelle4[[#This Row],[Gesamaufwand]]/2000</f>
        <v>0</v>
      </c>
      <c r="ED137" s="47"/>
      <c r="EE137" s="47"/>
      <c r="EF137" s="47"/>
      <c r="EG137" s="47"/>
      <c r="EH137" s="47"/>
      <c r="EI137" s="47"/>
      <c r="EJ137" s="47"/>
      <c r="EK137" s="47"/>
      <c r="EL137" s="47"/>
    </row>
    <row r="138" spans="1:142">
      <c r="A138" s="255" t="s">
        <v>153</v>
      </c>
      <c r="B138" s="251" t="s">
        <v>1331</v>
      </c>
      <c r="C138" s="254" t="s">
        <v>690</v>
      </c>
      <c r="D138" s="251"/>
      <c r="E138" s="251"/>
      <c r="F138" s="253"/>
      <c r="G138" s="253"/>
      <c r="H138" s="253"/>
      <c r="I138" s="254"/>
      <c r="J138" s="254"/>
      <c r="K138" s="105"/>
      <c r="L138" s="105"/>
      <c r="M138" s="48"/>
      <c r="N138" s="105"/>
      <c r="O138" s="255" t="s">
        <v>154</v>
      </c>
      <c r="P138" s="261">
        <v>6</v>
      </c>
      <c r="Q138" s="261">
        <v>0</v>
      </c>
      <c r="R138" s="261">
        <v>0</v>
      </c>
      <c r="S138" s="262" t="s">
        <v>138</v>
      </c>
      <c r="T138" s="263" t="s">
        <v>673</v>
      </c>
      <c r="U138" s="105"/>
      <c r="V138" s="259" t="s">
        <v>12</v>
      </c>
      <c r="W138" s="105" t="s">
        <v>656</v>
      </c>
      <c r="X138" s="105" t="s">
        <v>22</v>
      </c>
      <c r="Y138" s="105" t="s">
        <v>75</v>
      </c>
      <c r="Z138" s="105" t="s">
        <v>75</v>
      </c>
      <c r="AA138" s="105" t="s">
        <v>75</v>
      </c>
      <c r="AB138" s="105" t="s">
        <v>75</v>
      </c>
      <c r="AC138" s="105" t="s">
        <v>75</v>
      </c>
      <c r="AD138" s="105"/>
      <c r="AE138" s="105"/>
      <c r="AF138" s="105"/>
      <c r="AG138" s="105"/>
      <c r="AH138" s="115" t="s">
        <v>690</v>
      </c>
      <c r="AI138" s="115"/>
      <c r="AJ138" s="115"/>
      <c r="AK138" s="105"/>
      <c r="AL138" s="115"/>
      <c r="AM138" s="115"/>
      <c r="AN138" s="115"/>
      <c r="AO138" s="260">
        <f>Tabelle4[[#This Row],[Kredit-  / Budgetsumme
(RADAR: Gesamtkosten S)]]-Tabelle4[[#This Row],[Netto-Ausgaben Vorjahre ]]</f>
        <v>0</v>
      </c>
      <c r="AP138" s="310"/>
      <c r="AQ138" s="311"/>
      <c r="AR138" s="115">
        <f>Tabelle4[[#This Row],[Kreditrest per 1.1. aktuelles Jahr]]-Tabelle4[[#This Row],[Prognose 2018
(RADAR: Kosten 2018 S)]]</f>
        <v>0</v>
      </c>
      <c r="AS138" s="115"/>
      <c r="AT138" s="311"/>
      <c r="AU138" s="115"/>
      <c r="AV138" s="311"/>
      <c r="AW138" s="115"/>
      <c r="AX138" s="311"/>
      <c r="AY138" s="115"/>
      <c r="AZ138" s="311"/>
      <c r="BA138" s="115"/>
      <c r="BB138" s="311"/>
      <c r="BC138" s="115"/>
      <c r="BD138" s="311"/>
      <c r="BE138" s="115"/>
      <c r="BF138" s="311"/>
      <c r="BG138" s="115"/>
      <c r="BH138" s="311"/>
      <c r="BI138" s="115"/>
      <c r="BJ138" s="115"/>
      <c r="BK138" s="264"/>
      <c r="BL138" s="105"/>
      <c r="BM138" s="106"/>
      <c r="BN138" s="106"/>
      <c r="BO138" s="106"/>
      <c r="BP138" s="106"/>
      <c r="BQ138" s="106"/>
      <c r="BR138" s="106"/>
      <c r="BS138" s="106"/>
      <c r="BT138" s="108">
        <f>SUM(Tabelle4[[#This Row],[Projektverantwortung
(Lenkungsausschuss) ]:[Kommunikation ]])</f>
        <v>0</v>
      </c>
      <c r="BU138" s="105"/>
      <c r="BV138" s="106"/>
      <c r="BW138" s="106"/>
      <c r="BX138" s="106"/>
      <c r="BY138" s="106"/>
      <c r="BZ138" s="106"/>
      <c r="CA138" s="106"/>
      <c r="CB138" s="106"/>
      <c r="CC138" s="108">
        <f>SUM(Tabelle4[[#This Row],[Projektverantwortung
(Lenkungsausschuss)   ]:[Kommunikation   ]])</f>
        <v>0</v>
      </c>
      <c r="CD138" s="105"/>
      <c r="CE138" s="106"/>
      <c r="CF138" s="106"/>
      <c r="CG138" s="106"/>
      <c r="CH138" s="106"/>
      <c r="CI138" s="106"/>
      <c r="CJ138" s="106"/>
      <c r="CK138" s="106"/>
      <c r="CL138" s="108">
        <f>SUM(Tabelle4[[#This Row],[Projektverantwortung
(Lenkungsausschuss).]:[Kommunikation    ]])</f>
        <v>0</v>
      </c>
      <c r="CM138" s="105"/>
      <c r="CN138" s="106"/>
      <c r="CO138" s="106"/>
      <c r="CP138" s="106"/>
      <c r="CQ138" s="106"/>
      <c r="CR138" s="106"/>
      <c r="CS138" s="106"/>
      <c r="CT138" s="106"/>
      <c r="CU138" s="108">
        <f>SUM(Tabelle4[[#This Row],[Projektverantwortung
(Lenkungsausschuss)    ]:[Kommunikation     ]])</f>
        <v>0</v>
      </c>
      <c r="CV138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138" s="105"/>
      <c r="CX138" s="105"/>
      <c r="CY138" s="105"/>
      <c r="CZ138" s="105"/>
      <c r="DA138" s="105"/>
      <c r="DB138" s="105"/>
      <c r="DC138" s="105"/>
      <c r="DD138" s="105"/>
      <c r="DE138" s="107">
        <f>SUM(Tabelle4[[#This Row],[Aufwand ]],Tabelle4[[#This Row],[Aufwand 2]],Tabelle4[[#This Row],[Aufwand 3]],Tabelle4[[#This Row],[Aufwand 4]])</f>
        <v>0</v>
      </c>
      <c r="DF138" s="105"/>
      <c r="DG138" s="105"/>
      <c r="DH138" s="105"/>
      <c r="DI138" s="105"/>
      <c r="DJ138" s="105"/>
      <c r="DK138" s="105"/>
      <c r="DL138" s="105"/>
      <c r="DM138" s="105"/>
      <c r="DN138" s="107">
        <f>SUM(Tabelle4[[#This Row],[Aufwand  ]],Tabelle4[[#This Row],[Aufwand  2]],Tabelle4[[#This Row],[Aufwand  3]],Tabelle4[[#This Row],[Aufwand  4]])</f>
        <v>0</v>
      </c>
      <c r="DO138" s="105"/>
      <c r="DP138" s="105"/>
      <c r="DQ138" s="105"/>
      <c r="DR138" s="105"/>
      <c r="DS138" s="105"/>
      <c r="DT138" s="105"/>
      <c r="DU138" s="105"/>
      <c r="DV138" s="105"/>
      <c r="DW138" s="107">
        <f>SUM(Tabelle4[[#This Row],[Aufwand   ]],Tabelle4[[#This Row],[Aufwand   2]],Tabelle4[[#This Row],[Aufwand   3]],Tabelle4[[#This Row],[Aufwand   4]])</f>
        <v>0</v>
      </c>
      <c r="DX138" s="105"/>
      <c r="DY138" s="105"/>
      <c r="DZ138" s="105"/>
      <c r="EA138" s="105"/>
      <c r="EB138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138" s="122">
        <f>Tabelle4[[#This Row],[Gesamaufwand]]/2000</f>
        <v>0</v>
      </c>
      <c r="ED138" s="47"/>
      <c r="EE138" s="47"/>
      <c r="EF138" s="47"/>
      <c r="EG138" s="47"/>
      <c r="EH138" s="47"/>
      <c r="EI138" s="47"/>
      <c r="EJ138" s="47"/>
      <c r="EK138" s="47"/>
      <c r="EL138" s="47"/>
    </row>
    <row r="139" spans="1:142">
      <c r="A139" s="255" t="s">
        <v>321</v>
      </c>
      <c r="B139" s="251" t="s">
        <v>105</v>
      </c>
      <c r="C139" s="254" t="s">
        <v>67</v>
      </c>
      <c r="D139" s="251" t="s">
        <v>914</v>
      </c>
      <c r="E139" s="251" t="s">
        <v>97</v>
      </c>
      <c r="F139" s="253">
        <v>2</v>
      </c>
      <c r="G139" s="253">
        <v>1</v>
      </c>
      <c r="H139" s="253"/>
      <c r="I139" s="254" t="s">
        <v>95</v>
      </c>
      <c r="J139" s="254"/>
      <c r="K139" s="105"/>
      <c r="L139" s="105"/>
      <c r="M139" s="48"/>
      <c r="N139" s="105"/>
      <c r="O139" s="255" t="s">
        <v>322</v>
      </c>
      <c r="P139" s="261">
        <v>1</v>
      </c>
      <c r="Q139" s="261">
        <v>0</v>
      </c>
      <c r="R139" s="261">
        <v>0</v>
      </c>
      <c r="S139" s="262" t="s">
        <v>323</v>
      </c>
      <c r="T139" s="263" t="s">
        <v>662</v>
      </c>
      <c r="U139" s="105"/>
      <c r="V139" s="259" t="s">
        <v>12</v>
      </c>
      <c r="W139" s="105" t="s">
        <v>7</v>
      </c>
      <c r="X139" s="105" t="s">
        <v>9</v>
      </c>
      <c r="Y139" s="105" t="s">
        <v>690</v>
      </c>
      <c r="Z139" s="105" t="s">
        <v>79</v>
      </c>
      <c r="AA139" s="105" t="s">
        <v>618</v>
      </c>
      <c r="AB139" s="105" t="s">
        <v>618</v>
      </c>
      <c r="AC139" s="105" t="s">
        <v>634</v>
      </c>
      <c r="AD139" s="105"/>
      <c r="AE139" s="105"/>
      <c r="AF139" s="105"/>
      <c r="AG139" s="105"/>
      <c r="AH139" s="115" t="s">
        <v>858</v>
      </c>
      <c r="AI139" s="115" t="s">
        <v>73</v>
      </c>
      <c r="AJ139" s="115" t="s">
        <v>74</v>
      </c>
      <c r="AK139" s="105"/>
      <c r="AL139" s="115">
        <v>294000</v>
      </c>
      <c r="AM139" s="115"/>
      <c r="AN139" s="115"/>
      <c r="AO139" s="260">
        <f>Tabelle4[[#This Row],[Kredit-  / Budgetsumme
(RADAR: Gesamtkosten S)]]-Tabelle4[[#This Row],[Netto-Ausgaben Vorjahre ]]</f>
        <v>294000</v>
      </c>
      <c r="AP139" s="310"/>
      <c r="AQ139" s="311">
        <v>294000</v>
      </c>
      <c r="AR139" s="115">
        <f>Tabelle4[[#This Row],[Kreditrest per 1.1. aktuelles Jahr]]-Tabelle4[[#This Row],[Prognose 2018
(RADAR: Kosten 2018 S)]]</f>
        <v>0</v>
      </c>
      <c r="AS139" s="115"/>
      <c r="AT139" s="311"/>
      <c r="AU139" s="115"/>
      <c r="AV139" s="311"/>
      <c r="AW139" s="115"/>
      <c r="AX139" s="311"/>
      <c r="AY139" s="115"/>
      <c r="AZ139" s="311"/>
      <c r="BA139" s="115"/>
      <c r="BB139" s="311"/>
      <c r="BC139" s="115"/>
      <c r="BD139" s="311"/>
      <c r="BE139" s="115"/>
      <c r="BF139" s="311"/>
      <c r="BG139" s="115"/>
      <c r="BH139" s="311"/>
      <c r="BI139" s="115"/>
      <c r="BJ139" s="115"/>
      <c r="BK139" s="264"/>
      <c r="BL139" s="105"/>
      <c r="BM139" s="106">
        <v>8</v>
      </c>
      <c r="BN139" s="106"/>
      <c r="BO139" s="106">
        <v>8</v>
      </c>
      <c r="BP139" s="106"/>
      <c r="BQ139" s="106">
        <v>40</v>
      </c>
      <c r="BR139" s="106">
        <v>40</v>
      </c>
      <c r="BS139" s="106"/>
      <c r="BT139" s="108">
        <f>SUM(Tabelle4[[#This Row],[Projektverantwortung
(Lenkungsausschuss) ]:[Kommunikation ]])</f>
        <v>96</v>
      </c>
      <c r="BU139" s="105"/>
      <c r="BV139" s="106"/>
      <c r="BW139" s="106"/>
      <c r="BX139" s="106">
        <v>20</v>
      </c>
      <c r="BY139" s="106"/>
      <c r="BZ139" s="106">
        <v>40</v>
      </c>
      <c r="CA139" s="106">
        <v>80</v>
      </c>
      <c r="CB139" s="106"/>
      <c r="CC139" s="108">
        <f>SUM(Tabelle4[[#This Row],[Projektverantwortung
(Lenkungsausschuss)   ]:[Kommunikation   ]])</f>
        <v>140</v>
      </c>
      <c r="CD139" s="105"/>
      <c r="CE139" s="106"/>
      <c r="CF139" s="106">
        <v>8</v>
      </c>
      <c r="CG139" s="106"/>
      <c r="CH139" s="106">
        <v>8</v>
      </c>
      <c r="CI139" s="106">
        <v>80</v>
      </c>
      <c r="CJ139" s="106"/>
      <c r="CK139" s="106"/>
      <c r="CL139" s="108">
        <f>SUM(Tabelle4[[#This Row],[Projektverantwortung
(Lenkungsausschuss).]:[Kommunikation    ]])</f>
        <v>96</v>
      </c>
      <c r="CM139" s="105"/>
      <c r="CN139" s="106"/>
      <c r="CO139" s="106"/>
      <c r="CP139" s="106">
        <v>8</v>
      </c>
      <c r="CQ139" s="106"/>
      <c r="CR139" s="106">
        <v>40</v>
      </c>
      <c r="CS139" s="106">
        <v>40</v>
      </c>
      <c r="CT139" s="106"/>
      <c r="CU139" s="108">
        <f>SUM(Tabelle4[[#This Row],[Projektverantwortung
(Lenkungsausschuss)    ]:[Kommunikation     ]])</f>
        <v>88</v>
      </c>
      <c r="CV139" s="107">
        <f>SUM(Tabelle4[[#This Row],[Total Aufwand
1. Quartal 2018]],Tabelle4[[#This Row],[Total Aufwand
2. Quartal 2018]],Tabelle4[[#This Row],[Total Aufwand
3. Quartal 2018]],Tabelle4[[#This Row],[Total Aufwand
4. Quartal 2018]])</f>
        <v>420</v>
      </c>
      <c r="CW139" s="105"/>
      <c r="CX139" s="105"/>
      <c r="CY139" s="105"/>
      <c r="CZ139" s="105"/>
      <c r="DA139" s="105"/>
      <c r="DB139" s="105"/>
      <c r="DC139" s="105"/>
      <c r="DD139" s="105"/>
      <c r="DE139" s="107">
        <f>SUM(Tabelle4[[#This Row],[Aufwand ]],Tabelle4[[#This Row],[Aufwand 2]],Tabelle4[[#This Row],[Aufwand 3]],Tabelle4[[#This Row],[Aufwand 4]])</f>
        <v>0</v>
      </c>
      <c r="DF139" s="105"/>
      <c r="DG139" s="105"/>
      <c r="DH139" s="105"/>
      <c r="DI139" s="105"/>
      <c r="DJ139" s="105"/>
      <c r="DK139" s="105"/>
      <c r="DL139" s="105"/>
      <c r="DM139" s="105"/>
      <c r="DN139" s="107">
        <f>SUM(Tabelle4[[#This Row],[Aufwand  ]],Tabelle4[[#This Row],[Aufwand  2]],Tabelle4[[#This Row],[Aufwand  3]],Tabelle4[[#This Row],[Aufwand  4]])</f>
        <v>0</v>
      </c>
      <c r="DO139" s="105"/>
      <c r="DP139" s="105"/>
      <c r="DQ139" s="105"/>
      <c r="DR139" s="105"/>
      <c r="DS139" s="105"/>
      <c r="DT139" s="105"/>
      <c r="DU139" s="105"/>
      <c r="DV139" s="105"/>
      <c r="DW139" s="107">
        <f>SUM(Tabelle4[[#This Row],[Aufwand   ]],Tabelle4[[#This Row],[Aufwand   2]],Tabelle4[[#This Row],[Aufwand   3]],Tabelle4[[#This Row],[Aufwand   4]])</f>
        <v>0</v>
      </c>
      <c r="DX139" s="105"/>
      <c r="DY139" s="105"/>
      <c r="DZ139" s="105"/>
      <c r="EA139" s="105"/>
      <c r="EB139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420</v>
      </c>
      <c r="EC139" s="122">
        <f>Tabelle4[[#This Row],[Gesamaufwand]]/2000</f>
        <v>0.21</v>
      </c>
      <c r="ED139" s="47"/>
      <c r="EE139" s="47"/>
      <c r="EF139" s="47"/>
      <c r="EG139" s="47"/>
      <c r="EH139" s="47"/>
      <c r="EI139" s="47"/>
      <c r="EJ139" s="47"/>
      <c r="EK139" s="47"/>
      <c r="EL139" s="47"/>
    </row>
    <row r="140" spans="1:142">
      <c r="A140" s="255" t="s">
        <v>294</v>
      </c>
      <c r="B140" s="251" t="s">
        <v>105</v>
      </c>
      <c r="C140" s="254" t="s">
        <v>67</v>
      </c>
      <c r="D140" s="251" t="s">
        <v>914</v>
      </c>
      <c r="E140" s="251" t="s">
        <v>112</v>
      </c>
      <c r="F140" s="253">
        <v>2</v>
      </c>
      <c r="G140" s="253">
        <v>2</v>
      </c>
      <c r="H140" s="253"/>
      <c r="I140" s="254" t="s">
        <v>95</v>
      </c>
      <c r="J140" s="254"/>
      <c r="K140" s="105"/>
      <c r="L140" s="105"/>
      <c r="M140" s="48"/>
      <c r="N140" s="105" t="s">
        <v>3</v>
      </c>
      <c r="O140" s="255" t="s">
        <v>295</v>
      </c>
      <c r="P140" s="261">
        <v>1</v>
      </c>
      <c r="Q140" s="261">
        <v>0</v>
      </c>
      <c r="R140" s="261">
        <v>0</v>
      </c>
      <c r="S140" s="262" t="s">
        <v>296</v>
      </c>
      <c r="T140" s="263" t="s">
        <v>659</v>
      </c>
      <c r="U140" s="105"/>
      <c r="V140" s="259" t="s">
        <v>12</v>
      </c>
      <c r="W140" s="105" t="s">
        <v>6</v>
      </c>
      <c r="X140" s="105" t="s">
        <v>86</v>
      </c>
      <c r="Y140" s="105" t="s">
        <v>690</v>
      </c>
      <c r="Z140" s="105" t="s">
        <v>81</v>
      </c>
      <c r="AA140" s="105" t="s">
        <v>80</v>
      </c>
      <c r="AB140" s="105" t="s">
        <v>13</v>
      </c>
      <c r="AC140" s="105" t="s">
        <v>83</v>
      </c>
      <c r="AD140" s="105"/>
      <c r="AE140" s="105"/>
      <c r="AF140" s="105"/>
      <c r="AG140" s="105"/>
      <c r="AH140" s="115" t="s">
        <v>802</v>
      </c>
      <c r="AI140" s="115" t="s">
        <v>73</v>
      </c>
      <c r="AJ140" s="115" t="s">
        <v>620</v>
      </c>
      <c r="AK140" s="105"/>
      <c r="AL140" s="115">
        <v>2000000</v>
      </c>
      <c r="AM140" s="115"/>
      <c r="AN140" s="115"/>
      <c r="AO140" s="260">
        <f>Tabelle4[[#This Row],[Kredit-  / Budgetsumme
(RADAR: Gesamtkosten S)]]-Tabelle4[[#This Row],[Netto-Ausgaben Vorjahre ]]</f>
        <v>2000000</v>
      </c>
      <c r="AP140" s="310"/>
      <c r="AQ140" s="311">
        <v>50000</v>
      </c>
      <c r="AR140" s="115">
        <f>Tabelle4[[#This Row],[Kreditrest per 1.1. aktuelles Jahr]]-Tabelle4[[#This Row],[Prognose 2018
(RADAR: Kosten 2018 S)]]</f>
        <v>1950000</v>
      </c>
      <c r="AS140" s="115"/>
      <c r="AT140" s="311">
        <v>1200000</v>
      </c>
      <c r="AU140" s="115"/>
      <c r="AV140" s="311">
        <v>750000</v>
      </c>
      <c r="AW140" s="115"/>
      <c r="AX140" s="311"/>
      <c r="AY140" s="115"/>
      <c r="AZ140" s="311"/>
      <c r="BA140" s="115"/>
      <c r="BB140" s="311"/>
      <c r="BC140" s="115"/>
      <c r="BD140" s="311"/>
      <c r="BE140" s="115"/>
      <c r="BF140" s="311"/>
      <c r="BG140" s="115"/>
      <c r="BH140" s="311"/>
      <c r="BI140" s="115"/>
      <c r="BJ140" s="115"/>
      <c r="BK140" s="264"/>
      <c r="BL140" s="105"/>
      <c r="BM140" s="106">
        <v>20</v>
      </c>
      <c r="BN140" s="106"/>
      <c r="BO140" s="106">
        <v>40</v>
      </c>
      <c r="BP140" s="106">
        <v>20</v>
      </c>
      <c r="BQ140" s="106">
        <v>8</v>
      </c>
      <c r="BR140" s="106">
        <v>20</v>
      </c>
      <c r="BS140" s="106"/>
      <c r="BT140" s="108">
        <f>SUM(Tabelle4[[#This Row],[Projektverantwortung
(Lenkungsausschuss) ]:[Kommunikation ]])</f>
        <v>108</v>
      </c>
      <c r="BU140" s="105"/>
      <c r="BV140" s="106"/>
      <c r="BW140" s="106"/>
      <c r="BX140" s="106">
        <v>20</v>
      </c>
      <c r="BY140" s="106"/>
      <c r="BZ140" s="106"/>
      <c r="CA140" s="106"/>
      <c r="CB140" s="106"/>
      <c r="CC140" s="108">
        <f>SUM(Tabelle4[[#This Row],[Projektverantwortung
(Lenkungsausschuss)   ]:[Kommunikation   ]])</f>
        <v>20</v>
      </c>
      <c r="CD140" s="105"/>
      <c r="CE140" s="106"/>
      <c r="CF140" s="106"/>
      <c r="CG140" s="106">
        <v>40</v>
      </c>
      <c r="CH140" s="106"/>
      <c r="CI140" s="106"/>
      <c r="CJ140" s="106"/>
      <c r="CK140" s="106"/>
      <c r="CL140" s="108">
        <f>SUM(Tabelle4[[#This Row],[Projektverantwortung
(Lenkungsausschuss).]:[Kommunikation    ]])</f>
        <v>40</v>
      </c>
      <c r="CM140" s="105"/>
      <c r="CN140" s="106">
        <v>8</v>
      </c>
      <c r="CO140" s="106"/>
      <c r="CP140" s="106">
        <v>40</v>
      </c>
      <c r="CQ140" s="106"/>
      <c r="CR140" s="106"/>
      <c r="CS140" s="106"/>
      <c r="CT140" s="106"/>
      <c r="CU140" s="108">
        <f>SUM(Tabelle4[[#This Row],[Projektverantwortung
(Lenkungsausschuss)    ]:[Kommunikation     ]])</f>
        <v>48</v>
      </c>
      <c r="CV140" s="107">
        <f>SUM(Tabelle4[[#This Row],[Total Aufwand
1. Quartal 2018]],Tabelle4[[#This Row],[Total Aufwand
2. Quartal 2018]],Tabelle4[[#This Row],[Total Aufwand
3. Quartal 2018]],Tabelle4[[#This Row],[Total Aufwand
4. Quartal 2018]])</f>
        <v>216</v>
      </c>
      <c r="CW140" s="105"/>
      <c r="CX140" s="105"/>
      <c r="CY140" s="105"/>
      <c r="CZ140" s="105"/>
      <c r="DA140" s="105"/>
      <c r="DB140" s="105"/>
      <c r="DC140" s="105"/>
      <c r="DD140" s="105"/>
      <c r="DE140" s="107">
        <f>SUM(Tabelle4[[#This Row],[Aufwand ]],Tabelle4[[#This Row],[Aufwand 2]],Tabelle4[[#This Row],[Aufwand 3]],Tabelle4[[#This Row],[Aufwand 4]])</f>
        <v>0</v>
      </c>
      <c r="DF140" s="105"/>
      <c r="DG140" s="105"/>
      <c r="DH140" s="105"/>
      <c r="DI140" s="105"/>
      <c r="DJ140" s="105"/>
      <c r="DK140" s="105"/>
      <c r="DL140" s="105"/>
      <c r="DM140" s="105"/>
      <c r="DN140" s="107">
        <f>SUM(Tabelle4[[#This Row],[Aufwand  ]],Tabelle4[[#This Row],[Aufwand  2]],Tabelle4[[#This Row],[Aufwand  3]],Tabelle4[[#This Row],[Aufwand  4]])</f>
        <v>0</v>
      </c>
      <c r="DO140" s="105"/>
      <c r="DP140" s="105"/>
      <c r="DQ140" s="105"/>
      <c r="DR140" s="105"/>
      <c r="DS140" s="105"/>
      <c r="DT140" s="105"/>
      <c r="DU140" s="105"/>
      <c r="DV140" s="105"/>
      <c r="DW140" s="107">
        <f>SUM(Tabelle4[[#This Row],[Aufwand   ]],Tabelle4[[#This Row],[Aufwand   2]],Tabelle4[[#This Row],[Aufwand   3]],Tabelle4[[#This Row],[Aufwand   4]])</f>
        <v>0</v>
      </c>
      <c r="DX140" s="105"/>
      <c r="DY140" s="105"/>
      <c r="DZ140" s="105"/>
      <c r="EA140" s="105"/>
      <c r="EB140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216</v>
      </c>
      <c r="EC140" s="122">
        <f>Tabelle4[[#This Row],[Gesamaufwand]]/2000</f>
        <v>0.108</v>
      </c>
      <c r="ED140" s="48"/>
      <c r="EE140" s="48"/>
      <c r="EF140" s="48"/>
      <c r="EG140" s="48"/>
      <c r="EH140" s="48"/>
      <c r="EI140" s="47"/>
      <c r="EJ140" s="47"/>
      <c r="EK140" s="47"/>
      <c r="EL140" s="47"/>
    </row>
    <row r="141" spans="1:142">
      <c r="A141" s="255" t="s">
        <v>520</v>
      </c>
      <c r="B141" s="251" t="s">
        <v>105</v>
      </c>
      <c r="C141" s="254" t="s">
        <v>68</v>
      </c>
      <c r="D141" s="251" t="s">
        <v>913</v>
      </c>
      <c r="E141" s="251" t="s">
        <v>97</v>
      </c>
      <c r="F141" s="253">
        <v>2</v>
      </c>
      <c r="G141" s="253">
        <v>2</v>
      </c>
      <c r="H141" s="253"/>
      <c r="I141" s="254" t="s">
        <v>95</v>
      </c>
      <c r="J141" s="254"/>
      <c r="K141" s="105"/>
      <c r="L141" s="105"/>
      <c r="M141" s="48"/>
      <c r="N141" s="105"/>
      <c r="O141" s="255" t="s">
        <v>521</v>
      </c>
      <c r="P141" s="261">
        <v>2</v>
      </c>
      <c r="Q141" s="261">
        <v>0</v>
      </c>
      <c r="R141" s="261">
        <v>0</v>
      </c>
      <c r="S141" s="262" t="s">
        <v>363</v>
      </c>
      <c r="T141" s="263" t="s">
        <v>662</v>
      </c>
      <c r="U141" s="105"/>
      <c r="V141" s="259" t="s">
        <v>610</v>
      </c>
      <c r="W141" s="105" t="s">
        <v>6</v>
      </c>
      <c r="X141" s="105" t="s">
        <v>86</v>
      </c>
      <c r="Y141" s="105" t="s">
        <v>690</v>
      </c>
      <c r="Z141" s="105" t="s">
        <v>81</v>
      </c>
      <c r="AA141" s="105" t="s">
        <v>639</v>
      </c>
      <c r="AB141" s="105" t="s">
        <v>639</v>
      </c>
      <c r="AC141" s="105" t="s">
        <v>639</v>
      </c>
      <c r="AD141" s="105"/>
      <c r="AE141" s="105"/>
      <c r="AF141" s="105"/>
      <c r="AG141" s="105"/>
      <c r="AH141" s="115" t="s">
        <v>621</v>
      </c>
      <c r="AI141" s="115"/>
      <c r="AJ141" s="115"/>
      <c r="AK141" s="105"/>
      <c r="AL141" s="115"/>
      <c r="AM141" s="115"/>
      <c r="AN141" s="115"/>
      <c r="AO141" s="260">
        <f>Tabelle4[[#This Row],[Kredit-  / Budgetsumme
(RADAR: Gesamtkosten S)]]-Tabelle4[[#This Row],[Netto-Ausgaben Vorjahre ]]</f>
        <v>0</v>
      </c>
      <c r="AP141" s="310"/>
      <c r="AQ141" s="311"/>
      <c r="AR141" s="115">
        <f>Tabelle4[[#This Row],[Kreditrest per 1.1. aktuelles Jahr]]-Tabelle4[[#This Row],[Prognose 2018
(RADAR: Kosten 2018 S)]]</f>
        <v>0</v>
      </c>
      <c r="AS141" s="115"/>
      <c r="AT141" s="311"/>
      <c r="AU141" s="115"/>
      <c r="AV141" s="311"/>
      <c r="AW141" s="115"/>
      <c r="AX141" s="311"/>
      <c r="AY141" s="115"/>
      <c r="AZ141" s="311"/>
      <c r="BA141" s="115"/>
      <c r="BB141" s="311"/>
      <c r="BC141" s="115"/>
      <c r="BD141" s="311"/>
      <c r="BE141" s="115"/>
      <c r="BF141" s="311"/>
      <c r="BG141" s="115"/>
      <c r="BH141" s="311"/>
      <c r="BI141" s="115"/>
      <c r="BJ141" s="115"/>
      <c r="BK141" s="264"/>
      <c r="BL141" s="105"/>
      <c r="BM141" s="106"/>
      <c r="BN141" s="106"/>
      <c r="BO141" s="106">
        <v>20</v>
      </c>
      <c r="BP141" s="106"/>
      <c r="BQ141" s="106"/>
      <c r="BR141" s="106"/>
      <c r="BS141" s="106"/>
      <c r="BT141" s="108">
        <f>SUM(Tabelle4[[#This Row],[Projektverantwortung
(Lenkungsausschuss) ]:[Kommunikation ]])</f>
        <v>20</v>
      </c>
      <c r="BU141" s="105"/>
      <c r="BV141" s="106"/>
      <c r="BW141" s="106"/>
      <c r="BX141" s="106">
        <v>20</v>
      </c>
      <c r="BY141" s="106"/>
      <c r="BZ141" s="106"/>
      <c r="CA141" s="106"/>
      <c r="CB141" s="106"/>
      <c r="CC141" s="108">
        <f>SUM(Tabelle4[[#This Row],[Projektverantwortung
(Lenkungsausschuss)   ]:[Kommunikation   ]])</f>
        <v>20</v>
      </c>
      <c r="CD141" s="105"/>
      <c r="CE141" s="106"/>
      <c r="CF141" s="106"/>
      <c r="CG141" s="106">
        <v>20</v>
      </c>
      <c r="CH141" s="106"/>
      <c r="CI141" s="106"/>
      <c r="CJ141" s="106"/>
      <c r="CK141" s="106"/>
      <c r="CL141" s="108">
        <f>SUM(Tabelle4[[#This Row],[Projektverantwortung
(Lenkungsausschuss).]:[Kommunikation    ]])</f>
        <v>20</v>
      </c>
      <c r="CM141" s="105"/>
      <c r="CN141" s="106"/>
      <c r="CO141" s="106"/>
      <c r="CP141" s="106">
        <v>8</v>
      </c>
      <c r="CQ141" s="106"/>
      <c r="CR141" s="106"/>
      <c r="CS141" s="106"/>
      <c r="CT141" s="106"/>
      <c r="CU141" s="108">
        <f>SUM(Tabelle4[[#This Row],[Projektverantwortung
(Lenkungsausschuss)    ]:[Kommunikation     ]])</f>
        <v>8</v>
      </c>
      <c r="CV141" s="107">
        <f>SUM(Tabelle4[[#This Row],[Total Aufwand
1. Quartal 2018]],Tabelle4[[#This Row],[Total Aufwand
2. Quartal 2018]],Tabelle4[[#This Row],[Total Aufwand
3. Quartal 2018]],Tabelle4[[#This Row],[Total Aufwand
4. Quartal 2018]])</f>
        <v>68</v>
      </c>
      <c r="CW141" s="105"/>
      <c r="CX141" s="105"/>
      <c r="CY141" s="105"/>
      <c r="CZ141" s="105"/>
      <c r="DA141" s="105"/>
      <c r="DB141" s="105"/>
      <c r="DC141" s="105"/>
      <c r="DD141" s="105"/>
      <c r="DE141" s="107">
        <f>SUM(Tabelle4[[#This Row],[Aufwand ]],Tabelle4[[#This Row],[Aufwand 2]],Tabelle4[[#This Row],[Aufwand 3]],Tabelle4[[#This Row],[Aufwand 4]])</f>
        <v>0</v>
      </c>
      <c r="DF141" s="105"/>
      <c r="DG141" s="105"/>
      <c r="DH141" s="105"/>
      <c r="DI141" s="105"/>
      <c r="DJ141" s="105"/>
      <c r="DK141" s="105"/>
      <c r="DL141" s="105"/>
      <c r="DM141" s="105"/>
      <c r="DN141" s="107">
        <f>SUM(Tabelle4[[#This Row],[Aufwand  ]],Tabelle4[[#This Row],[Aufwand  2]],Tabelle4[[#This Row],[Aufwand  3]],Tabelle4[[#This Row],[Aufwand  4]])</f>
        <v>0</v>
      </c>
      <c r="DO141" s="105"/>
      <c r="DP141" s="105"/>
      <c r="DQ141" s="105"/>
      <c r="DR141" s="105"/>
      <c r="DS141" s="105"/>
      <c r="DT141" s="105"/>
      <c r="DU141" s="105"/>
      <c r="DV141" s="105"/>
      <c r="DW141" s="107">
        <f>SUM(Tabelle4[[#This Row],[Aufwand   ]],Tabelle4[[#This Row],[Aufwand   2]],Tabelle4[[#This Row],[Aufwand   3]],Tabelle4[[#This Row],[Aufwand   4]])</f>
        <v>0</v>
      </c>
      <c r="DX141" s="105"/>
      <c r="DY141" s="105"/>
      <c r="DZ141" s="105"/>
      <c r="EA141" s="105"/>
      <c r="EB141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68</v>
      </c>
      <c r="EC141" s="122">
        <f>Tabelle4[[#This Row],[Gesamaufwand]]/2000</f>
        <v>3.4000000000000002E-2</v>
      </c>
      <c r="ED141" s="48"/>
      <c r="EE141" s="48"/>
      <c r="EF141" s="48"/>
      <c r="EG141" s="48"/>
      <c r="EH141" s="48"/>
      <c r="EI141" s="47"/>
      <c r="EJ141" s="47"/>
      <c r="EK141" s="47"/>
      <c r="EL141" s="47"/>
    </row>
    <row r="142" spans="1:142">
      <c r="A142" s="288" t="s">
        <v>1218</v>
      </c>
      <c r="B142" s="289"/>
      <c r="C142" s="290"/>
      <c r="D142" s="289"/>
      <c r="E142" s="289"/>
      <c r="F142" s="291"/>
      <c r="G142" s="291"/>
      <c r="H142" s="291"/>
      <c r="I142" s="290"/>
      <c r="J142" s="290"/>
      <c r="K142" s="217"/>
      <c r="L142" s="217"/>
      <c r="M142" s="318"/>
      <c r="N142" s="217"/>
      <c r="O142" s="288"/>
      <c r="P142" s="292"/>
      <c r="Q142" s="292"/>
      <c r="R142" s="292"/>
      <c r="S142" s="293"/>
      <c r="T142" s="294"/>
      <c r="U142" s="217"/>
      <c r="V142" s="295"/>
      <c r="W142" s="217"/>
      <c r="X142" s="217"/>
      <c r="Y142" s="217"/>
      <c r="Z142" s="217"/>
      <c r="AA142" s="217"/>
      <c r="AB142" s="217"/>
      <c r="AC142" s="217"/>
      <c r="AD142" s="217"/>
      <c r="AE142" s="217"/>
      <c r="AF142" s="217"/>
      <c r="AG142" s="217"/>
      <c r="AH142" s="296" t="s">
        <v>1087</v>
      </c>
      <c r="AI142" s="296"/>
      <c r="AJ142" s="296"/>
      <c r="AK142" s="217"/>
      <c r="AL142" s="296"/>
      <c r="AM142" s="296"/>
      <c r="AN142" s="296"/>
      <c r="AO142" s="296"/>
      <c r="AP142" s="314"/>
      <c r="AQ142" s="314">
        <v>15000</v>
      </c>
      <c r="AR142" s="296"/>
      <c r="AS142" s="296"/>
      <c r="AT142" s="314"/>
      <c r="AU142" s="296"/>
      <c r="AV142" s="314"/>
      <c r="AW142" s="296"/>
      <c r="AX142" s="314"/>
      <c r="AY142" s="296"/>
      <c r="AZ142" s="314"/>
      <c r="BA142" s="296"/>
      <c r="BB142" s="314"/>
      <c r="BC142" s="296"/>
      <c r="BD142" s="314"/>
      <c r="BE142" s="296"/>
      <c r="BF142" s="314"/>
      <c r="BG142" s="296"/>
      <c r="BH142" s="314"/>
      <c r="BI142" s="296"/>
      <c r="BJ142" s="296"/>
      <c r="BK142" s="296"/>
      <c r="BL142" s="217"/>
      <c r="BM142" s="218"/>
      <c r="BN142" s="218"/>
      <c r="BO142" s="218"/>
      <c r="BP142" s="218"/>
      <c r="BQ142" s="218"/>
      <c r="BR142" s="218"/>
      <c r="BS142" s="218"/>
      <c r="BT142" s="219">
        <f>SUM(Tabelle4[[#This Row],[Projektverantwortung
(Lenkungsausschuss) ]:[Kommunikation ]])</f>
        <v>0</v>
      </c>
      <c r="BU142" s="219"/>
      <c r="BV142" s="220"/>
      <c r="BW142" s="220"/>
      <c r="BX142" s="220"/>
      <c r="BY142" s="220"/>
      <c r="BZ142" s="220"/>
      <c r="CA142" s="220"/>
      <c r="CB142" s="220"/>
      <c r="CC142" s="219">
        <f>SUM(Tabelle4[[#This Row],[Projektverantwortung
(Lenkungsausschuss)   ]:[Kommunikation   ]])</f>
        <v>0</v>
      </c>
      <c r="CD142" s="219"/>
      <c r="CE142" s="220"/>
      <c r="CF142" s="220"/>
      <c r="CG142" s="220"/>
      <c r="CH142" s="220"/>
      <c r="CI142" s="220"/>
      <c r="CJ142" s="220"/>
      <c r="CK142" s="220"/>
      <c r="CL142" s="219">
        <f>SUM(Tabelle4[[#This Row],[Projektverantwortung
(Lenkungsausschuss).]:[Kommunikation    ]])</f>
        <v>0</v>
      </c>
      <c r="CM142" s="219"/>
      <c r="CN142" s="220"/>
      <c r="CO142" s="220"/>
      <c r="CP142" s="220"/>
      <c r="CQ142" s="220"/>
      <c r="CR142" s="220"/>
      <c r="CS142" s="220"/>
      <c r="CT142" s="220"/>
      <c r="CU142" s="219">
        <f>SUM(Tabelle4[[#This Row],[Projektverantwortung
(Lenkungsausschuss)    ]:[Kommunikation     ]])</f>
        <v>0</v>
      </c>
      <c r="CV142" s="221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142" s="217"/>
      <c r="CX142" s="217"/>
      <c r="CY142" s="222"/>
      <c r="CZ142" s="217"/>
      <c r="DA142" s="222"/>
      <c r="DB142" s="217"/>
      <c r="DC142" s="222"/>
      <c r="DD142" s="217"/>
      <c r="DE142" s="221">
        <f>SUM(Tabelle4[[#This Row],[Aufwand ]],Tabelle4[[#This Row],[Aufwand 2]],Tabelle4[[#This Row],[Aufwand 3]],Tabelle4[[#This Row],[Aufwand 4]])</f>
        <v>0</v>
      </c>
      <c r="DF142" s="222"/>
      <c r="DG142" s="217"/>
      <c r="DH142" s="217"/>
      <c r="DI142" s="222"/>
      <c r="DJ142" s="217"/>
      <c r="DK142" s="222"/>
      <c r="DL142" s="217"/>
      <c r="DM142" s="222"/>
      <c r="DN142" s="221">
        <f>SUM(Tabelle4[[#This Row],[Aufwand  ]],Tabelle4[[#This Row],[Aufwand  2]],Tabelle4[[#This Row],[Aufwand  3]],Tabelle4[[#This Row],[Aufwand  4]])</f>
        <v>0</v>
      </c>
      <c r="DO142" s="222"/>
      <c r="DP142" s="222"/>
      <c r="DQ142" s="222"/>
      <c r="DR142" s="217"/>
      <c r="DS142" s="217"/>
      <c r="DT142" s="222"/>
      <c r="DU142" s="217"/>
      <c r="DV142" s="222"/>
      <c r="DW142" s="221" t="e">
        <f>#REF!</f>
        <v>#REF!</v>
      </c>
      <c r="DX142" s="222"/>
      <c r="DY142" s="223"/>
      <c r="DZ142" s="217"/>
      <c r="EA142" s="224"/>
      <c r="EB142" s="225" t="e">
        <f>#REF!</f>
        <v>#REF!</v>
      </c>
      <c r="EC142" s="226"/>
      <c r="ED142" s="47"/>
      <c r="EE142" s="47"/>
      <c r="EF142" s="47"/>
      <c r="EG142" s="47"/>
      <c r="EH142" s="47"/>
      <c r="EI142" s="47"/>
      <c r="EJ142" s="47"/>
      <c r="EK142" s="47"/>
      <c r="EL142" s="47"/>
    </row>
    <row r="143" spans="1:142">
      <c r="A143" s="255" t="s">
        <v>522</v>
      </c>
      <c r="B143" s="251" t="s">
        <v>105</v>
      </c>
      <c r="C143" s="254" t="s">
        <v>68</v>
      </c>
      <c r="D143" s="251" t="s">
        <v>913</v>
      </c>
      <c r="E143" s="251" t="s">
        <v>635</v>
      </c>
      <c r="F143" s="253">
        <v>3</v>
      </c>
      <c r="G143" s="253">
        <v>3</v>
      </c>
      <c r="H143" s="253"/>
      <c r="I143" s="254" t="s">
        <v>95</v>
      </c>
      <c r="J143" s="254"/>
      <c r="K143" s="105"/>
      <c r="L143" s="105"/>
      <c r="M143" s="48"/>
      <c r="N143" s="105"/>
      <c r="O143" s="255" t="s">
        <v>523</v>
      </c>
      <c r="P143" s="261">
        <v>2</v>
      </c>
      <c r="Q143" s="261">
        <v>0</v>
      </c>
      <c r="R143" s="261">
        <v>0</v>
      </c>
      <c r="S143" s="262" t="s">
        <v>296</v>
      </c>
      <c r="T143" s="263" t="s">
        <v>672</v>
      </c>
      <c r="U143" s="105"/>
      <c r="V143" s="259" t="s">
        <v>615</v>
      </c>
      <c r="W143" s="105" t="s">
        <v>6</v>
      </c>
      <c r="X143" s="105" t="s">
        <v>86</v>
      </c>
      <c r="Y143" s="105" t="s">
        <v>690</v>
      </c>
      <c r="Z143" s="105" t="s">
        <v>81</v>
      </c>
      <c r="AA143" s="105" t="s">
        <v>639</v>
      </c>
      <c r="AB143" s="105" t="s">
        <v>639</v>
      </c>
      <c r="AC143" s="105" t="s">
        <v>639</v>
      </c>
      <c r="AD143" s="105"/>
      <c r="AE143" s="105"/>
      <c r="AF143" s="105"/>
      <c r="AG143" s="105"/>
      <c r="AH143" s="115" t="s">
        <v>621</v>
      </c>
      <c r="AI143" s="115"/>
      <c r="AJ143" s="115"/>
      <c r="AK143" s="105"/>
      <c r="AL143" s="115"/>
      <c r="AM143" s="115"/>
      <c r="AN143" s="115"/>
      <c r="AO143" s="260">
        <f>Tabelle4[[#This Row],[Kredit-  / Budgetsumme
(RADAR: Gesamtkosten S)]]-Tabelle4[[#This Row],[Netto-Ausgaben Vorjahre ]]</f>
        <v>0</v>
      </c>
      <c r="AP143" s="310"/>
      <c r="AQ143" s="311"/>
      <c r="AR143" s="115">
        <f>Tabelle4[[#This Row],[Kreditrest per 1.1. aktuelles Jahr]]-Tabelle4[[#This Row],[Prognose 2018
(RADAR: Kosten 2018 S)]]</f>
        <v>0</v>
      </c>
      <c r="AS143" s="115"/>
      <c r="AT143" s="311"/>
      <c r="AU143" s="115"/>
      <c r="AV143" s="311"/>
      <c r="AW143" s="115"/>
      <c r="AX143" s="311"/>
      <c r="AY143" s="115"/>
      <c r="AZ143" s="311"/>
      <c r="BA143" s="115"/>
      <c r="BB143" s="311"/>
      <c r="BC143" s="115"/>
      <c r="BD143" s="311"/>
      <c r="BE143" s="115"/>
      <c r="BF143" s="311"/>
      <c r="BG143" s="115"/>
      <c r="BH143" s="311"/>
      <c r="BI143" s="115"/>
      <c r="BJ143" s="115"/>
      <c r="BK143" s="264"/>
      <c r="BL143" s="105"/>
      <c r="BM143" s="106"/>
      <c r="BN143" s="106"/>
      <c r="BO143" s="106">
        <v>8</v>
      </c>
      <c r="BP143" s="106"/>
      <c r="BQ143" s="106"/>
      <c r="BR143" s="106"/>
      <c r="BS143" s="106"/>
      <c r="BT143" s="108">
        <f>SUM(Tabelle4[[#This Row],[Projektverantwortung
(Lenkungsausschuss) ]:[Kommunikation ]])</f>
        <v>8</v>
      </c>
      <c r="BU143" s="105"/>
      <c r="BV143" s="106"/>
      <c r="BW143" s="106"/>
      <c r="BX143" s="106">
        <v>8</v>
      </c>
      <c r="BY143" s="106"/>
      <c r="BZ143" s="106"/>
      <c r="CA143" s="106"/>
      <c r="CB143" s="106"/>
      <c r="CC143" s="108">
        <f>SUM(Tabelle4[[#This Row],[Projektverantwortung
(Lenkungsausschuss)   ]:[Kommunikation   ]])</f>
        <v>8</v>
      </c>
      <c r="CD143" s="105"/>
      <c r="CE143" s="106"/>
      <c r="CF143" s="106">
        <v>8</v>
      </c>
      <c r="CG143" s="106"/>
      <c r="CH143" s="106"/>
      <c r="CI143" s="106"/>
      <c r="CJ143" s="106"/>
      <c r="CK143" s="106"/>
      <c r="CL143" s="108">
        <f>SUM(Tabelle4[[#This Row],[Projektverantwortung
(Lenkungsausschuss).]:[Kommunikation    ]])</f>
        <v>8</v>
      </c>
      <c r="CM143" s="105"/>
      <c r="CN143" s="106"/>
      <c r="CO143" s="106"/>
      <c r="CP143" s="106">
        <v>8</v>
      </c>
      <c r="CQ143" s="106"/>
      <c r="CR143" s="106"/>
      <c r="CS143" s="106"/>
      <c r="CT143" s="106"/>
      <c r="CU143" s="108">
        <f>SUM(Tabelle4[[#This Row],[Projektverantwortung
(Lenkungsausschuss)    ]:[Kommunikation     ]])</f>
        <v>8</v>
      </c>
      <c r="CV143" s="107">
        <f>SUM(Tabelle4[[#This Row],[Total Aufwand
1. Quartal 2018]],Tabelle4[[#This Row],[Total Aufwand
2. Quartal 2018]],Tabelle4[[#This Row],[Total Aufwand
3. Quartal 2018]],Tabelle4[[#This Row],[Total Aufwand
4. Quartal 2018]])</f>
        <v>32</v>
      </c>
      <c r="CW143" s="105"/>
      <c r="CX143" s="105"/>
      <c r="CY143" s="105"/>
      <c r="CZ143" s="105"/>
      <c r="DA143" s="105"/>
      <c r="DB143" s="105"/>
      <c r="DC143" s="105"/>
      <c r="DD143" s="105"/>
      <c r="DE143" s="107">
        <f>SUM(Tabelle4[[#This Row],[Aufwand ]],Tabelle4[[#This Row],[Aufwand 2]],Tabelle4[[#This Row],[Aufwand 3]],Tabelle4[[#This Row],[Aufwand 4]])</f>
        <v>0</v>
      </c>
      <c r="DF143" s="105"/>
      <c r="DG143" s="105"/>
      <c r="DH143" s="105"/>
      <c r="DI143" s="105"/>
      <c r="DJ143" s="105"/>
      <c r="DK143" s="105"/>
      <c r="DL143" s="105"/>
      <c r="DM143" s="105"/>
      <c r="DN143" s="107">
        <f>SUM(Tabelle4[[#This Row],[Aufwand  ]],Tabelle4[[#This Row],[Aufwand  2]],Tabelle4[[#This Row],[Aufwand  3]],Tabelle4[[#This Row],[Aufwand  4]])</f>
        <v>0</v>
      </c>
      <c r="DO143" s="105"/>
      <c r="DP143" s="105"/>
      <c r="DQ143" s="105"/>
      <c r="DR143" s="105"/>
      <c r="DS143" s="105"/>
      <c r="DT143" s="105"/>
      <c r="DU143" s="105"/>
      <c r="DV143" s="105"/>
      <c r="DW143" s="107">
        <f>SUM(Tabelle4[[#This Row],[Aufwand   ]],Tabelle4[[#This Row],[Aufwand   2]],Tabelle4[[#This Row],[Aufwand   3]],Tabelle4[[#This Row],[Aufwand   4]])</f>
        <v>0</v>
      </c>
      <c r="DX143" s="105"/>
      <c r="DY143" s="105"/>
      <c r="DZ143" s="105"/>
      <c r="EA143" s="105"/>
      <c r="EB143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32</v>
      </c>
      <c r="EC143" s="122">
        <f>Tabelle4[[#This Row],[Gesamaufwand]]/2000</f>
        <v>1.6E-2</v>
      </c>
      <c r="ED143" s="47"/>
      <c r="EE143" s="47"/>
      <c r="EF143" s="47"/>
      <c r="EG143" s="47"/>
      <c r="EH143" s="47"/>
      <c r="EI143" s="47"/>
      <c r="EJ143" s="47"/>
      <c r="EK143" s="47"/>
      <c r="EL143" s="47"/>
    </row>
    <row r="144" spans="1:142">
      <c r="A144" s="255" t="s">
        <v>419</v>
      </c>
      <c r="B144" s="251" t="s">
        <v>105</v>
      </c>
      <c r="C144" s="254" t="s">
        <v>75</v>
      </c>
      <c r="D144" s="251" t="s">
        <v>780</v>
      </c>
      <c r="E144" s="251" t="s">
        <v>115</v>
      </c>
      <c r="F144" s="253">
        <v>3</v>
      </c>
      <c r="G144" s="253">
        <v>1</v>
      </c>
      <c r="H144" s="253"/>
      <c r="I144" s="254" t="s">
        <v>95</v>
      </c>
      <c r="J144" s="254"/>
      <c r="K144" s="105"/>
      <c r="L144" s="105"/>
      <c r="M144" s="48"/>
      <c r="N144" s="105"/>
      <c r="O144" s="255" t="s">
        <v>420</v>
      </c>
      <c r="P144" s="261">
        <v>1</v>
      </c>
      <c r="Q144" s="261">
        <v>0</v>
      </c>
      <c r="R144" s="261">
        <v>0</v>
      </c>
      <c r="S144" s="262" t="s">
        <v>421</v>
      </c>
      <c r="T144" s="263" t="s">
        <v>672</v>
      </c>
      <c r="U144" s="105"/>
      <c r="V144" s="259" t="s">
        <v>12</v>
      </c>
      <c r="W144" s="105" t="s">
        <v>7</v>
      </c>
      <c r="X144" s="105" t="s">
        <v>9</v>
      </c>
      <c r="Y144" s="105" t="s">
        <v>75</v>
      </c>
      <c r="Z144" s="105" t="s">
        <v>78</v>
      </c>
      <c r="AA144" s="105" t="s">
        <v>75</v>
      </c>
      <c r="AB144" s="105" t="s">
        <v>75</v>
      </c>
      <c r="AC144" s="105" t="s">
        <v>75</v>
      </c>
      <c r="AD144" s="105"/>
      <c r="AE144" s="105"/>
      <c r="AF144" s="105"/>
      <c r="AG144" s="105"/>
      <c r="AH144" s="115" t="s">
        <v>21</v>
      </c>
      <c r="AI144" s="115" t="s">
        <v>73</v>
      </c>
      <c r="AJ144" s="115" t="s">
        <v>74</v>
      </c>
      <c r="AK144" s="105" t="s">
        <v>831</v>
      </c>
      <c r="AL144" s="115">
        <v>232000</v>
      </c>
      <c r="AM144" s="115"/>
      <c r="AN144" s="115">
        <v>9628</v>
      </c>
      <c r="AO144" s="260">
        <v>222372</v>
      </c>
      <c r="AP144" s="310"/>
      <c r="AQ144" s="311">
        <v>222372</v>
      </c>
      <c r="AR144" s="115">
        <f>Tabelle4[[#This Row],[Kreditrest per 1.1. aktuelles Jahr]]-Tabelle4[[#This Row],[Prognose 2018
(RADAR: Kosten 2018 S)]]</f>
        <v>0</v>
      </c>
      <c r="AS144" s="115"/>
      <c r="AT144" s="311"/>
      <c r="AU144" s="115"/>
      <c r="AV144" s="311"/>
      <c r="AW144" s="115"/>
      <c r="AX144" s="311"/>
      <c r="AY144" s="115"/>
      <c r="AZ144" s="311"/>
      <c r="BA144" s="115"/>
      <c r="BB144" s="311"/>
      <c r="BC144" s="115"/>
      <c r="BD144" s="311"/>
      <c r="BE144" s="115"/>
      <c r="BF144" s="311"/>
      <c r="BG144" s="115"/>
      <c r="BH144" s="311"/>
      <c r="BI144" s="115"/>
      <c r="BJ144" s="115"/>
      <c r="BK144" s="264"/>
      <c r="BL144" s="105"/>
      <c r="BM144" s="106"/>
      <c r="BN144" s="106"/>
      <c r="BO144" s="106"/>
      <c r="BP144" s="106"/>
      <c r="BQ144" s="106"/>
      <c r="BR144" s="106"/>
      <c r="BS144" s="106"/>
      <c r="BT144" s="108">
        <f>SUM(Tabelle4[[#This Row],[Projektverantwortung
(Lenkungsausschuss) ]:[Kommunikation ]])</f>
        <v>0</v>
      </c>
      <c r="BU144" s="105"/>
      <c r="BV144" s="106"/>
      <c r="BW144" s="106"/>
      <c r="BX144" s="106"/>
      <c r="BY144" s="106"/>
      <c r="BZ144" s="106"/>
      <c r="CA144" s="106"/>
      <c r="CB144" s="106"/>
      <c r="CC144" s="108">
        <f>SUM(Tabelle4[[#This Row],[Projektverantwortung
(Lenkungsausschuss)   ]:[Kommunikation   ]])</f>
        <v>0</v>
      </c>
      <c r="CD144" s="105"/>
      <c r="CE144" s="106"/>
      <c r="CF144" s="106"/>
      <c r="CG144" s="106"/>
      <c r="CH144" s="106"/>
      <c r="CI144" s="106">
        <v>20</v>
      </c>
      <c r="CJ144" s="106"/>
      <c r="CK144" s="106"/>
      <c r="CL144" s="108">
        <f>SUM(Tabelle4[[#This Row],[Projektverantwortung
(Lenkungsausschuss).]:[Kommunikation    ]])</f>
        <v>20</v>
      </c>
      <c r="CM144" s="105"/>
      <c r="CN144" s="106"/>
      <c r="CO144" s="106"/>
      <c r="CP144" s="106"/>
      <c r="CQ144" s="106"/>
      <c r="CR144" s="106">
        <v>20</v>
      </c>
      <c r="CS144" s="106"/>
      <c r="CT144" s="106"/>
      <c r="CU144" s="108">
        <f>SUM(Tabelle4[[#This Row],[Projektverantwortung
(Lenkungsausschuss)    ]:[Kommunikation     ]])</f>
        <v>20</v>
      </c>
      <c r="CV144" s="107">
        <f>SUM(Tabelle4[[#This Row],[Total Aufwand
1. Quartal 2018]],Tabelle4[[#This Row],[Total Aufwand
2. Quartal 2018]],Tabelle4[[#This Row],[Total Aufwand
3. Quartal 2018]],Tabelle4[[#This Row],[Total Aufwand
4. Quartal 2018]])</f>
        <v>40</v>
      </c>
      <c r="CW144" s="105"/>
      <c r="CX144" s="105"/>
      <c r="CY144" s="105"/>
      <c r="CZ144" s="105"/>
      <c r="DA144" s="105"/>
      <c r="DB144" s="105"/>
      <c r="DC144" s="105"/>
      <c r="DD144" s="105"/>
      <c r="DE144" s="107">
        <f>SUM(Tabelle4[[#This Row],[Aufwand ]],Tabelle4[[#This Row],[Aufwand 2]],Tabelle4[[#This Row],[Aufwand 3]],Tabelle4[[#This Row],[Aufwand 4]])</f>
        <v>0</v>
      </c>
      <c r="DF144" s="105"/>
      <c r="DG144" s="105"/>
      <c r="DH144" s="105"/>
      <c r="DI144" s="105"/>
      <c r="DJ144" s="105"/>
      <c r="DK144" s="105"/>
      <c r="DL144" s="105"/>
      <c r="DM144" s="105"/>
      <c r="DN144" s="107">
        <f>SUM(Tabelle4[[#This Row],[Aufwand  ]],Tabelle4[[#This Row],[Aufwand  2]],Tabelle4[[#This Row],[Aufwand  3]],Tabelle4[[#This Row],[Aufwand  4]])</f>
        <v>0</v>
      </c>
      <c r="DO144" s="105"/>
      <c r="DP144" s="105"/>
      <c r="DQ144" s="105"/>
      <c r="DR144" s="105"/>
      <c r="DS144" s="105"/>
      <c r="DT144" s="105"/>
      <c r="DU144" s="105"/>
      <c r="DV144" s="105"/>
      <c r="DW144" s="107">
        <f>SUM(Tabelle4[[#This Row],[Aufwand   ]],Tabelle4[[#This Row],[Aufwand   2]],Tabelle4[[#This Row],[Aufwand   3]],Tabelle4[[#This Row],[Aufwand   4]])</f>
        <v>0</v>
      </c>
      <c r="DX144" s="105"/>
      <c r="DY144" s="105"/>
      <c r="DZ144" s="105"/>
      <c r="EA144" s="105"/>
      <c r="EB144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40</v>
      </c>
      <c r="EC144" s="122">
        <f>Tabelle4[[#This Row],[Gesamaufwand]]/2000</f>
        <v>0.02</v>
      </c>
      <c r="ED144" s="47"/>
      <c r="EE144" s="47"/>
      <c r="EF144" s="47"/>
      <c r="EG144" s="47"/>
      <c r="EH144" s="47"/>
      <c r="EI144" s="47"/>
      <c r="EJ144" s="47"/>
      <c r="EK144" s="47"/>
      <c r="EL144" s="47"/>
    </row>
    <row r="145" spans="1:142">
      <c r="A145" s="255" t="s">
        <v>208</v>
      </c>
      <c r="B145" s="251" t="s">
        <v>75</v>
      </c>
      <c r="C145" s="254" t="s">
        <v>75</v>
      </c>
      <c r="D145" s="251" t="s">
        <v>914</v>
      </c>
      <c r="E145" s="251" t="s">
        <v>859</v>
      </c>
      <c r="F145" s="253">
        <v>2</v>
      </c>
      <c r="G145" s="253">
        <v>1</v>
      </c>
      <c r="H145" s="253"/>
      <c r="I145" s="254" t="s">
        <v>95</v>
      </c>
      <c r="J145" s="254"/>
      <c r="K145" s="105"/>
      <c r="L145" s="105"/>
      <c r="M145" s="48"/>
      <c r="N145" s="105"/>
      <c r="O145" s="255" t="s">
        <v>209</v>
      </c>
      <c r="P145" s="261">
        <v>1</v>
      </c>
      <c r="Q145" s="261">
        <v>0</v>
      </c>
      <c r="R145" s="261">
        <v>0</v>
      </c>
      <c r="S145" s="262" t="s">
        <v>210</v>
      </c>
      <c r="T145" s="263" t="s">
        <v>673</v>
      </c>
      <c r="U145" s="105"/>
      <c r="V145" s="259" t="s">
        <v>12</v>
      </c>
      <c r="W145" s="105" t="s">
        <v>8</v>
      </c>
      <c r="X145" s="105" t="s">
        <v>10</v>
      </c>
      <c r="Y145" s="105" t="s">
        <v>690</v>
      </c>
      <c r="Z145" s="105" t="s">
        <v>10</v>
      </c>
      <c r="AA145" s="105" t="s">
        <v>75</v>
      </c>
      <c r="AB145" s="105" t="s">
        <v>75</v>
      </c>
      <c r="AC145" s="105" t="s">
        <v>75</v>
      </c>
      <c r="AD145" s="105"/>
      <c r="AE145" s="105"/>
      <c r="AF145" s="105"/>
      <c r="AG145" s="105"/>
      <c r="AH145" s="115" t="s">
        <v>1092</v>
      </c>
      <c r="AI145" s="115"/>
      <c r="AJ145" s="115"/>
      <c r="AK145" s="105"/>
      <c r="AL145" s="115"/>
      <c r="AM145" s="115"/>
      <c r="AN145" s="115"/>
      <c r="AO145" s="260"/>
      <c r="AP145" s="310"/>
      <c r="AQ145" s="311"/>
      <c r="AR145" s="115"/>
      <c r="AS145" s="115"/>
      <c r="AT145" s="311"/>
      <c r="AU145" s="115"/>
      <c r="AV145" s="311">
        <v>10000</v>
      </c>
      <c r="AW145" s="115"/>
      <c r="AX145" s="311">
        <v>10000</v>
      </c>
      <c r="AY145" s="115"/>
      <c r="AZ145" s="311">
        <v>10000</v>
      </c>
      <c r="BA145" s="115"/>
      <c r="BB145" s="311"/>
      <c r="BC145" s="115"/>
      <c r="BD145" s="311">
        <v>10000</v>
      </c>
      <c r="BE145" s="115"/>
      <c r="BF145" s="311">
        <v>10000</v>
      </c>
      <c r="BG145" s="115"/>
      <c r="BH145" s="311"/>
      <c r="BI145" s="115"/>
      <c r="BJ145" s="115"/>
      <c r="BK145" s="264"/>
      <c r="BL145" s="105"/>
      <c r="BM145" s="106"/>
      <c r="BN145" s="106"/>
      <c r="BO145" s="106"/>
      <c r="BP145" s="106"/>
      <c r="BQ145" s="106"/>
      <c r="BR145" s="106"/>
      <c r="BS145" s="106"/>
      <c r="BT145" s="108">
        <f>SUM(Tabelle4[[#This Row],[Projektverantwortung
(Lenkungsausschuss) ]:[Kommunikation ]])</f>
        <v>0</v>
      </c>
      <c r="BU145" s="105"/>
      <c r="BV145" s="106"/>
      <c r="BW145" s="106"/>
      <c r="BX145" s="106"/>
      <c r="BY145" s="106"/>
      <c r="BZ145" s="106"/>
      <c r="CA145" s="106"/>
      <c r="CB145" s="106"/>
      <c r="CC145" s="108">
        <f>SUM(Tabelle4[[#This Row],[Projektverantwortung
(Lenkungsausschuss)   ]:[Kommunikation   ]])</f>
        <v>0</v>
      </c>
      <c r="CD145" s="105"/>
      <c r="CE145" s="106"/>
      <c r="CF145" s="106"/>
      <c r="CG145" s="106"/>
      <c r="CH145" s="106"/>
      <c r="CI145" s="106"/>
      <c r="CJ145" s="106"/>
      <c r="CK145" s="106"/>
      <c r="CL145" s="108">
        <f>SUM(Tabelle4[[#This Row],[Projektverantwortung
(Lenkungsausschuss).]:[Kommunikation    ]])</f>
        <v>0</v>
      </c>
      <c r="CM145" s="105"/>
      <c r="CN145" s="106"/>
      <c r="CO145" s="106"/>
      <c r="CP145" s="106"/>
      <c r="CQ145" s="106"/>
      <c r="CR145" s="106"/>
      <c r="CS145" s="106"/>
      <c r="CT145" s="106"/>
      <c r="CU145" s="108">
        <f>SUM(Tabelle4[[#This Row],[Projektverantwortung
(Lenkungsausschuss)    ]:[Kommunikation     ]])</f>
        <v>0</v>
      </c>
      <c r="CV145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145" s="105"/>
      <c r="CX145" s="105"/>
      <c r="CY145" s="105"/>
      <c r="CZ145" s="105"/>
      <c r="DA145" s="105"/>
      <c r="DB145" s="105"/>
      <c r="DC145" s="105"/>
      <c r="DD145" s="105"/>
      <c r="DE145" s="107">
        <f>SUM(Tabelle4[[#This Row],[Aufwand ]],Tabelle4[[#This Row],[Aufwand 2]],Tabelle4[[#This Row],[Aufwand 3]],Tabelle4[[#This Row],[Aufwand 4]])</f>
        <v>0</v>
      </c>
      <c r="DF145" s="105"/>
      <c r="DG145" s="105"/>
      <c r="DH145" s="105"/>
      <c r="DI145" s="105"/>
      <c r="DJ145" s="105"/>
      <c r="DK145" s="105"/>
      <c r="DL145" s="105"/>
      <c r="DM145" s="105"/>
      <c r="DN145" s="107">
        <f>SUM(Tabelle4[[#This Row],[Aufwand  ]],Tabelle4[[#This Row],[Aufwand  2]],Tabelle4[[#This Row],[Aufwand  3]],Tabelle4[[#This Row],[Aufwand  4]])</f>
        <v>0</v>
      </c>
      <c r="DO145" s="105"/>
      <c r="DP145" s="105"/>
      <c r="DQ145" s="105"/>
      <c r="DR145" s="105"/>
      <c r="DS145" s="105"/>
      <c r="DT145" s="105"/>
      <c r="DU145" s="105"/>
      <c r="DV145" s="105"/>
      <c r="DW145" s="107">
        <f>SUM(Tabelle4[[#This Row],[Aufwand   ]],Tabelle4[[#This Row],[Aufwand   2]],Tabelle4[[#This Row],[Aufwand   3]],Tabelle4[[#This Row],[Aufwand   4]])</f>
        <v>0</v>
      </c>
      <c r="DX145" s="105"/>
      <c r="DY145" s="105"/>
      <c r="DZ145" s="105"/>
      <c r="EA145" s="105"/>
      <c r="EB145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145" s="122">
        <f>Tabelle4[[#This Row],[Gesamaufwand]]/2000</f>
        <v>0</v>
      </c>
      <c r="ED145" s="47"/>
      <c r="EE145" s="47"/>
      <c r="EF145" s="47"/>
      <c r="EG145" s="47"/>
      <c r="EH145" s="47"/>
      <c r="EI145" s="47"/>
      <c r="EJ145" s="47"/>
      <c r="EK145" s="47"/>
      <c r="EL145" s="47"/>
    </row>
    <row r="146" spans="1:142">
      <c r="A146" s="248" t="s">
        <v>851</v>
      </c>
      <c r="B146" s="249"/>
      <c r="C146" s="250"/>
      <c r="D146" s="249" t="s">
        <v>913</v>
      </c>
      <c r="E146" s="249" t="s">
        <v>859</v>
      </c>
      <c r="F146" s="252">
        <v>4</v>
      </c>
      <c r="G146" s="252">
        <v>1</v>
      </c>
      <c r="H146" s="252"/>
      <c r="I146" s="250" t="s">
        <v>95</v>
      </c>
      <c r="J146" s="250"/>
      <c r="K146" s="110"/>
      <c r="L146" s="110"/>
      <c r="M146" s="77"/>
      <c r="N146" s="110"/>
      <c r="O146" s="248"/>
      <c r="P146" s="256"/>
      <c r="Q146" s="256"/>
      <c r="R146" s="256"/>
      <c r="S146" s="257"/>
      <c r="T146" s="258"/>
      <c r="U146" s="110"/>
      <c r="V146" s="266"/>
      <c r="W146" s="105" t="s">
        <v>8</v>
      </c>
      <c r="X146" s="110" t="s">
        <v>10</v>
      </c>
      <c r="Y146" s="110"/>
      <c r="Z146" s="110" t="s">
        <v>10</v>
      </c>
      <c r="AA146" s="110"/>
      <c r="AB146" s="110"/>
      <c r="AC146" s="110"/>
      <c r="AD146" s="105"/>
      <c r="AE146" s="110"/>
      <c r="AF146" s="110"/>
      <c r="AG146" s="110"/>
      <c r="AH146" s="115" t="s">
        <v>1092</v>
      </c>
      <c r="AI146" s="260"/>
      <c r="AJ146" s="260"/>
      <c r="AK146" s="110"/>
      <c r="AL146" s="260"/>
      <c r="AM146" s="260"/>
      <c r="AN146" s="260"/>
      <c r="AO146" s="260"/>
      <c r="AP146" s="310"/>
      <c r="AQ146" s="310">
        <v>3000</v>
      </c>
      <c r="AR146" s="260"/>
      <c r="AS146" s="260"/>
      <c r="AT146" s="310">
        <v>3000</v>
      </c>
      <c r="AU146" s="260"/>
      <c r="AV146" s="310">
        <v>3000</v>
      </c>
      <c r="AW146" s="260"/>
      <c r="AX146" s="310">
        <v>3000</v>
      </c>
      <c r="AY146" s="260"/>
      <c r="AZ146" s="310">
        <v>3000</v>
      </c>
      <c r="BA146" s="260"/>
      <c r="BB146" s="310">
        <v>3000</v>
      </c>
      <c r="BC146" s="260"/>
      <c r="BD146" s="310">
        <v>3000</v>
      </c>
      <c r="BE146" s="260"/>
      <c r="BF146" s="310"/>
      <c r="BG146" s="260"/>
      <c r="BH146" s="310"/>
      <c r="BI146" s="260"/>
      <c r="BJ146" s="260"/>
      <c r="BK146" s="260"/>
      <c r="BL146" s="105"/>
      <c r="BM146" s="111"/>
      <c r="BN146" s="111"/>
      <c r="BO146" s="111"/>
      <c r="BP146" s="111"/>
      <c r="BQ146" s="111"/>
      <c r="BR146" s="111"/>
      <c r="BS146" s="111"/>
      <c r="BT146" s="113">
        <f>SUM(Tabelle4[[#This Row],[Projektverantwortung
(Lenkungsausschuss) ]:[Kommunikation ]])</f>
        <v>0</v>
      </c>
      <c r="BU146" s="113"/>
      <c r="BV146" s="106"/>
      <c r="BW146" s="106"/>
      <c r="BX146" s="106"/>
      <c r="BY146" s="106"/>
      <c r="BZ146" s="106"/>
      <c r="CA146" s="106"/>
      <c r="CB146" s="106"/>
      <c r="CC146" s="113">
        <f>SUM(Tabelle4[[#This Row],[Projektverantwortung
(Lenkungsausschuss)   ]:[Kommunikation   ]])</f>
        <v>0</v>
      </c>
      <c r="CD146" s="113"/>
      <c r="CE146" s="114"/>
      <c r="CF146" s="114"/>
      <c r="CG146" s="114"/>
      <c r="CH146" s="114"/>
      <c r="CI146" s="114"/>
      <c r="CJ146" s="114"/>
      <c r="CK146" s="114"/>
      <c r="CL146" s="113">
        <f>SUM(Tabelle4[[#This Row],[Projektverantwortung
(Lenkungsausschuss).]:[Kommunikation    ]])</f>
        <v>0</v>
      </c>
      <c r="CM146" s="113"/>
      <c r="CN146" s="114"/>
      <c r="CO146" s="114"/>
      <c r="CP146" s="114"/>
      <c r="CQ146" s="114"/>
      <c r="CR146" s="114"/>
      <c r="CS146" s="114"/>
      <c r="CT146" s="114"/>
      <c r="CU146" s="113">
        <f>SUM(Tabelle4[[#This Row],[Projektverantwortung
(Lenkungsausschuss)    ]:[Kommunikation     ]])</f>
        <v>0</v>
      </c>
      <c r="CV146" s="112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146" s="105"/>
      <c r="CX146" s="105"/>
      <c r="CY146" s="105"/>
      <c r="CZ146" s="105"/>
      <c r="DA146" s="105"/>
      <c r="DB146" s="105"/>
      <c r="DC146" s="105"/>
      <c r="DD146" s="105"/>
      <c r="DE146" s="112">
        <f>SUM(Tabelle4[[#This Row],[Aufwand ]],Tabelle4[[#This Row],[Aufwand 2]],Tabelle4[[#This Row],[Aufwand 3]],Tabelle4[[#This Row],[Aufwand 4]])</f>
        <v>0</v>
      </c>
      <c r="DF146" s="142"/>
      <c r="DG146" s="110"/>
      <c r="DH146" s="110"/>
      <c r="DI146" s="142"/>
      <c r="DJ146" s="110"/>
      <c r="DK146" s="142"/>
      <c r="DL146" s="110"/>
      <c r="DM146" s="142"/>
      <c r="DN146" s="112">
        <f>SUM(Tabelle4[[#This Row],[Aufwand  ]],Tabelle4[[#This Row],[Aufwand  2]],Tabelle4[[#This Row],[Aufwand  3]],Tabelle4[[#This Row],[Aufwand  4]])</f>
        <v>0</v>
      </c>
      <c r="DO146" s="142"/>
      <c r="DP146" s="110"/>
      <c r="DQ146" s="110"/>
      <c r="DR146" s="142"/>
      <c r="DS146" s="110"/>
      <c r="DT146" s="142"/>
      <c r="DU146" s="110"/>
      <c r="DV146" s="142"/>
      <c r="DW146" s="107">
        <f>SUM(Tabelle4[[#This Row],[Aufwand   ]],Tabelle4[[#This Row],[Aufwand   2]],Tabelle4[[#This Row],[Aufwand   3]],Tabelle4[[#This Row],[Aufwand   4]])</f>
        <v>0</v>
      </c>
      <c r="DX146" s="142"/>
      <c r="DY146" s="143"/>
      <c r="DZ146" s="105"/>
      <c r="EA146" s="105"/>
      <c r="EB146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146" s="122">
        <f>Tabelle4[[#This Row],[Gesamaufwand]]/2000</f>
        <v>0</v>
      </c>
      <c r="ED146" s="47"/>
      <c r="EE146" s="47"/>
      <c r="EF146" s="47"/>
      <c r="EG146" s="47"/>
      <c r="EH146" s="47"/>
      <c r="EI146" s="47"/>
      <c r="EJ146" s="47"/>
      <c r="EK146" s="47"/>
      <c r="EL146" s="47"/>
    </row>
    <row r="147" spans="1:142">
      <c r="A147" s="255" t="s">
        <v>211</v>
      </c>
      <c r="B147" s="251" t="s">
        <v>75</v>
      </c>
      <c r="C147" s="254" t="s">
        <v>75</v>
      </c>
      <c r="D147" s="251" t="s">
        <v>914</v>
      </c>
      <c r="E147" s="251" t="s">
        <v>859</v>
      </c>
      <c r="F147" s="253">
        <v>4</v>
      </c>
      <c r="G147" s="253">
        <v>1</v>
      </c>
      <c r="H147" s="253"/>
      <c r="I147" s="254" t="s">
        <v>95</v>
      </c>
      <c r="J147" s="254"/>
      <c r="K147" s="105"/>
      <c r="L147" s="105"/>
      <c r="M147" s="48"/>
      <c r="N147" s="105"/>
      <c r="O147" s="255" t="s">
        <v>212</v>
      </c>
      <c r="P147" s="261">
        <v>5</v>
      </c>
      <c r="Q147" s="261">
        <v>0</v>
      </c>
      <c r="R147" s="261">
        <v>0</v>
      </c>
      <c r="S147" s="262" t="s">
        <v>159</v>
      </c>
      <c r="T147" s="263" t="s">
        <v>673</v>
      </c>
      <c r="U147" s="105"/>
      <c r="V147" s="259" t="s">
        <v>75</v>
      </c>
      <c r="W147" s="105" t="s">
        <v>8</v>
      </c>
      <c r="X147" s="105" t="s">
        <v>10</v>
      </c>
      <c r="Y147" s="105" t="s">
        <v>690</v>
      </c>
      <c r="Z147" s="105" t="s">
        <v>84</v>
      </c>
      <c r="AA147" s="105" t="s">
        <v>75</v>
      </c>
      <c r="AB147" s="105" t="s">
        <v>75</v>
      </c>
      <c r="AC147" s="105" t="s">
        <v>75</v>
      </c>
      <c r="AD147" s="105"/>
      <c r="AE147" s="105"/>
      <c r="AF147" s="105"/>
      <c r="AG147" s="105"/>
      <c r="AH147" s="115" t="s">
        <v>621</v>
      </c>
      <c r="AI147" s="115"/>
      <c r="AJ147" s="115"/>
      <c r="AK147" s="105"/>
      <c r="AL147" s="115"/>
      <c r="AM147" s="115"/>
      <c r="AN147" s="115"/>
      <c r="AO147" s="260">
        <f>Tabelle4[[#This Row],[Kredit-  / Budgetsumme
(RADAR: Gesamtkosten S)]]-Tabelle4[[#This Row],[Netto-Ausgaben Vorjahre ]]</f>
        <v>0</v>
      </c>
      <c r="AP147" s="310"/>
      <c r="AQ147" s="311"/>
      <c r="AR147" s="115">
        <f>Tabelle4[[#This Row],[Kreditrest per 1.1. aktuelles Jahr]]-Tabelle4[[#This Row],[Prognose 2018
(RADAR: Kosten 2018 S)]]</f>
        <v>0</v>
      </c>
      <c r="AS147" s="115"/>
      <c r="AT147" s="311"/>
      <c r="AU147" s="115"/>
      <c r="AV147" s="311"/>
      <c r="AW147" s="115"/>
      <c r="AX147" s="311"/>
      <c r="AY147" s="115"/>
      <c r="AZ147" s="311"/>
      <c r="BA147" s="115"/>
      <c r="BB147" s="311"/>
      <c r="BC147" s="115"/>
      <c r="BD147" s="311"/>
      <c r="BE147" s="115"/>
      <c r="BF147" s="311"/>
      <c r="BG147" s="115"/>
      <c r="BH147" s="311"/>
      <c r="BI147" s="115"/>
      <c r="BJ147" s="115"/>
      <c r="BK147" s="264"/>
      <c r="BL147" s="105"/>
      <c r="BM147" s="106"/>
      <c r="BN147" s="106"/>
      <c r="BO147" s="106"/>
      <c r="BP147" s="106"/>
      <c r="BQ147" s="106"/>
      <c r="BR147" s="106"/>
      <c r="BS147" s="106"/>
      <c r="BT147" s="108">
        <f>SUM(Tabelle4[[#This Row],[Projektverantwortung
(Lenkungsausschuss) ]:[Kommunikation ]])</f>
        <v>0</v>
      </c>
      <c r="BU147" s="105"/>
      <c r="BV147" s="106"/>
      <c r="BW147" s="106"/>
      <c r="BX147" s="106"/>
      <c r="BY147" s="106"/>
      <c r="BZ147" s="106"/>
      <c r="CA147" s="106"/>
      <c r="CB147" s="106"/>
      <c r="CC147" s="108">
        <f>SUM(Tabelle4[[#This Row],[Projektverantwortung
(Lenkungsausschuss)   ]:[Kommunikation   ]])</f>
        <v>0</v>
      </c>
      <c r="CD147" s="105"/>
      <c r="CE147" s="106"/>
      <c r="CF147" s="106"/>
      <c r="CG147" s="106"/>
      <c r="CH147" s="106"/>
      <c r="CI147" s="106"/>
      <c r="CJ147" s="106"/>
      <c r="CK147" s="106"/>
      <c r="CL147" s="108">
        <f>SUM(Tabelle4[[#This Row],[Projektverantwortung
(Lenkungsausschuss).]:[Kommunikation    ]])</f>
        <v>0</v>
      </c>
      <c r="CM147" s="105"/>
      <c r="CN147" s="106"/>
      <c r="CO147" s="106"/>
      <c r="CP147" s="106"/>
      <c r="CQ147" s="106"/>
      <c r="CR147" s="106"/>
      <c r="CS147" s="106"/>
      <c r="CT147" s="106"/>
      <c r="CU147" s="108">
        <f>SUM(Tabelle4[[#This Row],[Projektverantwortung
(Lenkungsausschuss)    ]:[Kommunikation     ]])</f>
        <v>0</v>
      </c>
      <c r="CV147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147" s="105"/>
      <c r="CX147" s="105"/>
      <c r="CY147" s="105"/>
      <c r="CZ147" s="105"/>
      <c r="DA147" s="105"/>
      <c r="DB147" s="105"/>
      <c r="DC147" s="105"/>
      <c r="DD147" s="105"/>
      <c r="DE147" s="107">
        <f>SUM(Tabelle4[[#This Row],[Aufwand ]],Tabelle4[[#This Row],[Aufwand 2]],Tabelle4[[#This Row],[Aufwand 3]],Tabelle4[[#This Row],[Aufwand 4]])</f>
        <v>0</v>
      </c>
      <c r="DF147" s="105"/>
      <c r="DG147" s="105"/>
      <c r="DH147" s="105"/>
      <c r="DI147" s="105"/>
      <c r="DJ147" s="105"/>
      <c r="DK147" s="105"/>
      <c r="DL147" s="105"/>
      <c r="DM147" s="105"/>
      <c r="DN147" s="107">
        <f>SUM(Tabelle4[[#This Row],[Aufwand  ]],Tabelle4[[#This Row],[Aufwand  2]],Tabelle4[[#This Row],[Aufwand  3]],Tabelle4[[#This Row],[Aufwand  4]])</f>
        <v>0</v>
      </c>
      <c r="DO147" s="105"/>
      <c r="DP147" s="105"/>
      <c r="DQ147" s="105"/>
      <c r="DR147" s="105"/>
      <c r="DS147" s="105"/>
      <c r="DT147" s="105"/>
      <c r="DU147" s="105"/>
      <c r="DV147" s="105"/>
      <c r="DW147" s="107">
        <f>SUM(Tabelle4[[#This Row],[Aufwand   ]],Tabelle4[[#This Row],[Aufwand   2]],Tabelle4[[#This Row],[Aufwand   3]],Tabelle4[[#This Row],[Aufwand   4]])</f>
        <v>0</v>
      </c>
      <c r="DX147" s="105"/>
      <c r="DY147" s="105"/>
      <c r="DZ147" s="105"/>
      <c r="EA147" s="105"/>
      <c r="EB147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147" s="122">
        <f>Tabelle4[[#This Row],[Gesamaufwand]]/2000</f>
        <v>0</v>
      </c>
      <c r="ED147" s="47"/>
      <c r="EE147" s="47"/>
      <c r="EF147" s="47"/>
      <c r="EG147" s="47"/>
      <c r="EH147" s="47"/>
      <c r="EI147" s="47"/>
      <c r="EJ147" s="47"/>
      <c r="EK147" s="47"/>
      <c r="EL147" s="47"/>
    </row>
    <row r="148" spans="1:142">
      <c r="A148" s="255" t="s">
        <v>213</v>
      </c>
      <c r="B148" s="251" t="s">
        <v>1331</v>
      </c>
      <c r="C148" s="254" t="s">
        <v>690</v>
      </c>
      <c r="D148" s="251" t="s">
        <v>914</v>
      </c>
      <c r="E148" s="251" t="s">
        <v>859</v>
      </c>
      <c r="F148" s="253">
        <v>3</v>
      </c>
      <c r="G148" s="253">
        <v>1</v>
      </c>
      <c r="H148" s="253"/>
      <c r="I148" s="254" t="s">
        <v>95</v>
      </c>
      <c r="J148" s="254"/>
      <c r="K148" s="105"/>
      <c r="L148" s="105"/>
      <c r="M148" s="48"/>
      <c r="N148" s="105"/>
      <c r="O148" s="255" t="s">
        <v>214</v>
      </c>
      <c r="P148" s="261">
        <v>5</v>
      </c>
      <c r="Q148" s="261">
        <v>0</v>
      </c>
      <c r="R148" s="261">
        <v>0</v>
      </c>
      <c r="S148" s="262" t="s">
        <v>215</v>
      </c>
      <c r="T148" s="263" t="s">
        <v>673</v>
      </c>
      <c r="U148" s="105"/>
      <c r="V148" s="259" t="s">
        <v>12</v>
      </c>
      <c r="W148" s="105" t="s">
        <v>8</v>
      </c>
      <c r="X148" s="105" t="s">
        <v>10</v>
      </c>
      <c r="Y148" s="105" t="s">
        <v>84</v>
      </c>
      <c r="Z148" s="105" t="s">
        <v>82</v>
      </c>
      <c r="AA148" s="105" t="s">
        <v>75</v>
      </c>
      <c r="AB148" s="105" t="s">
        <v>75</v>
      </c>
      <c r="AC148" s="105" t="s">
        <v>75</v>
      </c>
      <c r="AD148" s="105"/>
      <c r="AE148" s="105"/>
      <c r="AF148" s="105"/>
      <c r="AG148" s="105"/>
      <c r="AH148" s="115" t="s">
        <v>1092</v>
      </c>
      <c r="AI148" s="115"/>
      <c r="AJ148" s="115"/>
      <c r="AK148" s="105"/>
      <c r="AL148" s="115"/>
      <c r="AM148" s="115"/>
      <c r="AN148" s="115"/>
      <c r="AO148" s="260"/>
      <c r="AP148" s="310"/>
      <c r="AQ148" s="311">
        <v>15000</v>
      </c>
      <c r="AR148" s="115"/>
      <c r="AS148" s="115"/>
      <c r="AT148" s="311">
        <v>15000</v>
      </c>
      <c r="AU148" s="115"/>
      <c r="AV148" s="311">
        <v>15000</v>
      </c>
      <c r="AW148" s="115"/>
      <c r="AX148" s="311">
        <v>15000</v>
      </c>
      <c r="AY148" s="115"/>
      <c r="AZ148" s="311">
        <v>5000</v>
      </c>
      <c r="BA148" s="115"/>
      <c r="BB148" s="311">
        <v>5000</v>
      </c>
      <c r="BC148" s="115"/>
      <c r="BD148" s="311">
        <v>5000</v>
      </c>
      <c r="BE148" s="115"/>
      <c r="BF148" s="311">
        <v>5000</v>
      </c>
      <c r="BG148" s="115"/>
      <c r="BH148" s="311"/>
      <c r="BI148" s="115"/>
      <c r="BJ148" s="115"/>
      <c r="BK148" s="264"/>
      <c r="BL148" s="105"/>
      <c r="BM148" s="106"/>
      <c r="BN148" s="106"/>
      <c r="BO148" s="106"/>
      <c r="BP148" s="106"/>
      <c r="BQ148" s="106"/>
      <c r="BR148" s="106"/>
      <c r="BS148" s="106"/>
      <c r="BT148" s="108">
        <f>SUM(Tabelle4[[#This Row],[Projektverantwortung
(Lenkungsausschuss) ]:[Kommunikation ]])</f>
        <v>0</v>
      </c>
      <c r="BU148" s="105"/>
      <c r="BV148" s="106"/>
      <c r="BW148" s="106"/>
      <c r="BX148" s="106"/>
      <c r="BY148" s="106"/>
      <c r="BZ148" s="106"/>
      <c r="CA148" s="106"/>
      <c r="CB148" s="106"/>
      <c r="CC148" s="108">
        <f>SUM(Tabelle4[[#This Row],[Projektverantwortung
(Lenkungsausschuss)   ]:[Kommunikation   ]])</f>
        <v>0</v>
      </c>
      <c r="CD148" s="105"/>
      <c r="CE148" s="106"/>
      <c r="CF148" s="106"/>
      <c r="CG148" s="106"/>
      <c r="CH148" s="106"/>
      <c r="CI148" s="106"/>
      <c r="CJ148" s="106"/>
      <c r="CK148" s="106"/>
      <c r="CL148" s="108">
        <f>SUM(Tabelle4[[#This Row],[Projektverantwortung
(Lenkungsausschuss).]:[Kommunikation    ]])</f>
        <v>0</v>
      </c>
      <c r="CM148" s="105"/>
      <c r="CN148" s="106"/>
      <c r="CO148" s="106"/>
      <c r="CP148" s="106"/>
      <c r="CQ148" s="106"/>
      <c r="CR148" s="106"/>
      <c r="CS148" s="106"/>
      <c r="CT148" s="106"/>
      <c r="CU148" s="108">
        <f>SUM(Tabelle4[[#This Row],[Projektverantwortung
(Lenkungsausschuss)    ]:[Kommunikation     ]])</f>
        <v>0</v>
      </c>
      <c r="CV148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148" s="105"/>
      <c r="CX148" s="105"/>
      <c r="CY148" s="105"/>
      <c r="CZ148" s="105"/>
      <c r="DA148" s="105"/>
      <c r="DB148" s="105"/>
      <c r="DC148" s="105"/>
      <c r="DD148" s="105"/>
      <c r="DE148" s="107">
        <f>SUM(Tabelle4[[#This Row],[Aufwand ]],Tabelle4[[#This Row],[Aufwand 2]],Tabelle4[[#This Row],[Aufwand 3]],Tabelle4[[#This Row],[Aufwand 4]])</f>
        <v>0</v>
      </c>
      <c r="DF148" s="105"/>
      <c r="DG148" s="105"/>
      <c r="DH148" s="105"/>
      <c r="DI148" s="105"/>
      <c r="DJ148" s="105"/>
      <c r="DK148" s="105"/>
      <c r="DL148" s="105"/>
      <c r="DM148" s="105"/>
      <c r="DN148" s="107">
        <f>SUM(Tabelle4[[#This Row],[Aufwand  ]],Tabelle4[[#This Row],[Aufwand  2]],Tabelle4[[#This Row],[Aufwand  3]],Tabelle4[[#This Row],[Aufwand  4]])</f>
        <v>0</v>
      </c>
      <c r="DO148" s="105"/>
      <c r="DP148" s="105"/>
      <c r="DQ148" s="105"/>
      <c r="DR148" s="105"/>
      <c r="DS148" s="105"/>
      <c r="DT148" s="105"/>
      <c r="DU148" s="105"/>
      <c r="DV148" s="105"/>
      <c r="DW148" s="107">
        <f>SUM(Tabelle4[[#This Row],[Aufwand   ]],Tabelle4[[#This Row],[Aufwand   2]],Tabelle4[[#This Row],[Aufwand   3]],Tabelle4[[#This Row],[Aufwand   4]])</f>
        <v>0</v>
      </c>
      <c r="DX148" s="105"/>
      <c r="DY148" s="105"/>
      <c r="DZ148" s="105"/>
      <c r="EA148" s="105"/>
      <c r="EB148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148" s="122">
        <f>Tabelle4[[#This Row],[Gesamaufwand]]/2000</f>
        <v>0</v>
      </c>
      <c r="ED148" s="47"/>
      <c r="EE148" s="47"/>
      <c r="EF148" s="47"/>
      <c r="EG148" s="47"/>
      <c r="EH148" s="47"/>
      <c r="EI148" s="47"/>
      <c r="EJ148" s="47"/>
      <c r="EK148" s="47"/>
      <c r="EL148" s="47"/>
    </row>
    <row r="149" spans="1:142">
      <c r="A149" s="255" t="s">
        <v>182</v>
      </c>
      <c r="B149" s="251" t="s">
        <v>1331</v>
      </c>
      <c r="C149" s="254" t="s">
        <v>690</v>
      </c>
      <c r="D149" s="251" t="s">
        <v>914</v>
      </c>
      <c r="E149" s="251" t="s">
        <v>859</v>
      </c>
      <c r="F149" s="253">
        <v>3</v>
      </c>
      <c r="G149" s="253">
        <v>1</v>
      </c>
      <c r="H149" s="253"/>
      <c r="I149" s="254" t="s">
        <v>95</v>
      </c>
      <c r="J149" s="254"/>
      <c r="K149" s="105"/>
      <c r="L149" s="105"/>
      <c r="M149" s="48"/>
      <c r="N149" s="105"/>
      <c r="O149" s="255" t="s">
        <v>183</v>
      </c>
      <c r="P149" s="261">
        <v>4</v>
      </c>
      <c r="Q149" s="261">
        <v>0</v>
      </c>
      <c r="R149" s="261">
        <v>0</v>
      </c>
      <c r="S149" s="262" t="s">
        <v>184</v>
      </c>
      <c r="T149" s="263" t="s">
        <v>673</v>
      </c>
      <c r="U149" s="105"/>
      <c r="V149" s="259" t="s">
        <v>75</v>
      </c>
      <c r="W149" s="105" t="s">
        <v>8</v>
      </c>
      <c r="X149" s="105" t="s">
        <v>10</v>
      </c>
      <c r="Y149" s="105" t="s">
        <v>690</v>
      </c>
      <c r="Z149" s="105" t="s">
        <v>84</v>
      </c>
      <c r="AA149" s="105" t="s">
        <v>75</v>
      </c>
      <c r="AB149" s="105" t="s">
        <v>75</v>
      </c>
      <c r="AC149" s="105" t="s">
        <v>75</v>
      </c>
      <c r="AD149" s="105"/>
      <c r="AE149" s="105"/>
      <c r="AF149" s="105"/>
      <c r="AG149" s="105"/>
      <c r="AH149" s="115" t="s">
        <v>690</v>
      </c>
      <c r="AI149" s="115"/>
      <c r="AJ149" s="115"/>
      <c r="AK149" s="105"/>
      <c r="AL149" s="115"/>
      <c r="AM149" s="115"/>
      <c r="AN149" s="115"/>
      <c r="AO149" s="260">
        <f>Tabelle4[[#This Row],[Kredit-  / Budgetsumme
(RADAR: Gesamtkosten S)]]-Tabelle4[[#This Row],[Netto-Ausgaben Vorjahre ]]</f>
        <v>0</v>
      </c>
      <c r="AP149" s="310"/>
      <c r="AQ149" s="311"/>
      <c r="AR149" s="115">
        <f>Tabelle4[[#This Row],[Kreditrest per 1.1. aktuelles Jahr]]-Tabelle4[[#This Row],[Prognose 2018
(RADAR: Kosten 2018 S)]]</f>
        <v>0</v>
      </c>
      <c r="AS149" s="115"/>
      <c r="AT149" s="311"/>
      <c r="AU149" s="115"/>
      <c r="AV149" s="311"/>
      <c r="AW149" s="115"/>
      <c r="AX149" s="311"/>
      <c r="AY149" s="115"/>
      <c r="AZ149" s="311"/>
      <c r="BA149" s="115"/>
      <c r="BB149" s="311"/>
      <c r="BC149" s="115"/>
      <c r="BD149" s="311"/>
      <c r="BE149" s="115"/>
      <c r="BF149" s="311"/>
      <c r="BG149" s="115"/>
      <c r="BH149" s="311"/>
      <c r="BI149" s="115"/>
      <c r="BJ149" s="115"/>
      <c r="BK149" s="264"/>
      <c r="BL149" s="105"/>
      <c r="BM149" s="106"/>
      <c r="BN149" s="106"/>
      <c r="BO149" s="106"/>
      <c r="BP149" s="106"/>
      <c r="BQ149" s="106"/>
      <c r="BR149" s="106"/>
      <c r="BS149" s="106"/>
      <c r="BT149" s="108">
        <f>SUM(Tabelle4[[#This Row],[Projektverantwortung
(Lenkungsausschuss) ]:[Kommunikation ]])</f>
        <v>0</v>
      </c>
      <c r="BU149" s="105"/>
      <c r="BV149" s="106"/>
      <c r="BW149" s="106"/>
      <c r="BX149" s="106"/>
      <c r="BY149" s="106"/>
      <c r="BZ149" s="106"/>
      <c r="CA149" s="106"/>
      <c r="CB149" s="106"/>
      <c r="CC149" s="108">
        <f>SUM(Tabelle4[[#This Row],[Projektverantwortung
(Lenkungsausschuss)   ]:[Kommunikation   ]])</f>
        <v>0</v>
      </c>
      <c r="CD149" s="105"/>
      <c r="CE149" s="106"/>
      <c r="CF149" s="106"/>
      <c r="CG149" s="106"/>
      <c r="CH149" s="106"/>
      <c r="CI149" s="106"/>
      <c r="CJ149" s="106"/>
      <c r="CK149" s="106"/>
      <c r="CL149" s="108">
        <f>SUM(Tabelle4[[#This Row],[Projektverantwortung
(Lenkungsausschuss).]:[Kommunikation    ]])</f>
        <v>0</v>
      </c>
      <c r="CM149" s="105"/>
      <c r="CN149" s="106"/>
      <c r="CO149" s="106"/>
      <c r="CP149" s="106"/>
      <c r="CQ149" s="106"/>
      <c r="CR149" s="106"/>
      <c r="CS149" s="106"/>
      <c r="CT149" s="106"/>
      <c r="CU149" s="108">
        <f>SUM(Tabelle4[[#This Row],[Projektverantwortung
(Lenkungsausschuss)    ]:[Kommunikation     ]])</f>
        <v>0</v>
      </c>
      <c r="CV149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149" s="105"/>
      <c r="CX149" s="105"/>
      <c r="CY149" s="105"/>
      <c r="CZ149" s="105"/>
      <c r="DA149" s="105"/>
      <c r="DB149" s="105"/>
      <c r="DC149" s="105"/>
      <c r="DD149" s="105"/>
      <c r="DE149" s="107">
        <f>SUM(Tabelle4[[#This Row],[Aufwand ]],Tabelle4[[#This Row],[Aufwand 2]],Tabelle4[[#This Row],[Aufwand 3]],Tabelle4[[#This Row],[Aufwand 4]])</f>
        <v>0</v>
      </c>
      <c r="DF149" s="105"/>
      <c r="DG149" s="105"/>
      <c r="DH149" s="105"/>
      <c r="DI149" s="105"/>
      <c r="DJ149" s="105"/>
      <c r="DK149" s="105"/>
      <c r="DL149" s="105"/>
      <c r="DM149" s="105"/>
      <c r="DN149" s="107">
        <f>SUM(Tabelle4[[#This Row],[Aufwand  ]],Tabelle4[[#This Row],[Aufwand  2]],Tabelle4[[#This Row],[Aufwand  3]],Tabelle4[[#This Row],[Aufwand  4]])</f>
        <v>0</v>
      </c>
      <c r="DO149" s="105"/>
      <c r="DP149" s="105"/>
      <c r="DQ149" s="105"/>
      <c r="DR149" s="105"/>
      <c r="DS149" s="105"/>
      <c r="DT149" s="105"/>
      <c r="DU149" s="105"/>
      <c r="DV149" s="105"/>
      <c r="DW149" s="107">
        <f>SUM(Tabelle4[[#This Row],[Aufwand   ]],Tabelle4[[#This Row],[Aufwand   2]],Tabelle4[[#This Row],[Aufwand   3]],Tabelle4[[#This Row],[Aufwand   4]])</f>
        <v>0</v>
      </c>
      <c r="DX149" s="105"/>
      <c r="DY149" s="105"/>
      <c r="DZ149" s="105"/>
      <c r="EA149" s="105"/>
      <c r="EB149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149" s="122">
        <f>Tabelle4[[#This Row],[Gesamaufwand]]/2000</f>
        <v>0</v>
      </c>
      <c r="ED149" s="47"/>
      <c r="EE149" s="47"/>
      <c r="EF149" s="47"/>
      <c r="EG149" s="47"/>
      <c r="EH149" s="47"/>
      <c r="EI149" s="47"/>
      <c r="EJ149" s="47"/>
      <c r="EK149" s="47"/>
      <c r="EL149" s="47"/>
    </row>
    <row r="150" spans="1:142">
      <c r="A150" s="255" t="s">
        <v>185</v>
      </c>
      <c r="B150" s="251" t="s">
        <v>75</v>
      </c>
      <c r="C150" s="254" t="s">
        <v>75</v>
      </c>
      <c r="D150" s="251" t="s">
        <v>914</v>
      </c>
      <c r="E150" s="251" t="s">
        <v>859</v>
      </c>
      <c r="F150" s="253">
        <v>2</v>
      </c>
      <c r="G150" s="253">
        <v>1</v>
      </c>
      <c r="H150" s="253"/>
      <c r="I150" s="254" t="s">
        <v>95</v>
      </c>
      <c r="J150" s="254"/>
      <c r="K150" s="105"/>
      <c r="L150" s="105"/>
      <c r="M150" s="48"/>
      <c r="N150" s="105"/>
      <c r="O150" s="255" t="s">
        <v>186</v>
      </c>
      <c r="P150" s="261">
        <v>4</v>
      </c>
      <c r="Q150" s="261">
        <v>0</v>
      </c>
      <c r="R150" s="261">
        <v>0</v>
      </c>
      <c r="S150" s="262" t="s">
        <v>135</v>
      </c>
      <c r="T150" s="263" t="s">
        <v>673</v>
      </c>
      <c r="U150" s="105"/>
      <c r="V150" s="259" t="s">
        <v>12</v>
      </c>
      <c r="W150" s="105" t="s">
        <v>8</v>
      </c>
      <c r="X150" s="105" t="s">
        <v>10</v>
      </c>
      <c r="Y150" s="105" t="s">
        <v>75</v>
      </c>
      <c r="Z150" s="105" t="s">
        <v>675</v>
      </c>
      <c r="AA150" s="105" t="s">
        <v>75</v>
      </c>
      <c r="AB150" s="105" t="s">
        <v>75</v>
      </c>
      <c r="AC150" s="105" t="s">
        <v>75</v>
      </c>
      <c r="AD150" s="105"/>
      <c r="AE150" s="105"/>
      <c r="AF150" s="105"/>
      <c r="AG150" s="105"/>
      <c r="AH150" s="260" t="s">
        <v>690</v>
      </c>
      <c r="AI150" s="260"/>
      <c r="AJ150" s="260"/>
      <c r="AK150" s="260"/>
      <c r="AL150" s="260"/>
      <c r="AM150" s="260"/>
      <c r="AN150" s="260"/>
      <c r="AO150" s="260">
        <f>Tabelle4[[#This Row],[Kredit-  / Budgetsumme
(RADAR: Gesamtkosten S)]]-Tabelle4[[#This Row],[Netto-Ausgaben Vorjahre ]]</f>
        <v>0</v>
      </c>
      <c r="AP150" s="310"/>
      <c r="AQ150" s="310"/>
      <c r="AR150" s="260">
        <f>Tabelle4[[#This Row],[Kreditrest per 1.1. aktuelles Jahr]]-Tabelle4[[#This Row],[Prognose 2018
(RADAR: Kosten 2018 S)]]</f>
        <v>0</v>
      </c>
      <c r="AS150" s="260"/>
      <c r="AT150" s="310"/>
      <c r="AU150" s="260"/>
      <c r="AV150" s="310"/>
      <c r="AW150" s="260"/>
      <c r="AX150" s="310"/>
      <c r="AY150" s="260"/>
      <c r="AZ150" s="310"/>
      <c r="BA150" s="260"/>
      <c r="BB150" s="310"/>
      <c r="BC150" s="260"/>
      <c r="BD150" s="310"/>
      <c r="BE150" s="260"/>
      <c r="BF150" s="310"/>
      <c r="BG150" s="260"/>
      <c r="BH150" s="310"/>
      <c r="BI150" s="115"/>
      <c r="BJ150" s="115"/>
      <c r="BK150" s="264"/>
      <c r="BL150" s="105"/>
      <c r="BM150" s="106"/>
      <c r="BN150" s="106"/>
      <c r="BO150" s="106"/>
      <c r="BP150" s="106"/>
      <c r="BQ150" s="106"/>
      <c r="BR150" s="106"/>
      <c r="BS150" s="106"/>
      <c r="BT150" s="108">
        <f>SUM(Tabelle4[[#This Row],[Projektverantwortung
(Lenkungsausschuss) ]:[Kommunikation ]])</f>
        <v>0</v>
      </c>
      <c r="BU150" s="105"/>
      <c r="BV150" s="106"/>
      <c r="BW150" s="106"/>
      <c r="BX150" s="106"/>
      <c r="BY150" s="106"/>
      <c r="BZ150" s="106"/>
      <c r="CA150" s="106"/>
      <c r="CB150" s="106"/>
      <c r="CC150" s="108">
        <f>SUM(Tabelle4[[#This Row],[Projektverantwortung
(Lenkungsausschuss)   ]:[Kommunikation   ]])</f>
        <v>0</v>
      </c>
      <c r="CD150" s="105"/>
      <c r="CE150" s="106"/>
      <c r="CF150" s="106"/>
      <c r="CG150" s="106"/>
      <c r="CH150" s="106"/>
      <c r="CI150" s="106"/>
      <c r="CJ150" s="106"/>
      <c r="CK150" s="106"/>
      <c r="CL150" s="108">
        <f>SUM(Tabelle4[[#This Row],[Projektverantwortung
(Lenkungsausschuss).]:[Kommunikation    ]])</f>
        <v>0</v>
      </c>
      <c r="CM150" s="105"/>
      <c r="CN150" s="106"/>
      <c r="CO150" s="106"/>
      <c r="CP150" s="106"/>
      <c r="CQ150" s="106"/>
      <c r="CR150" s="106"/>
      <c r="CS150" s="106"/>
      <c r="CT150" s="106"/>
      <c r="CU150" s="108">
        <f>SUM(Tabelle4[[#This Row],[Projektverantwortung
(Lenkungsausschuss)    ]:[Kommunikation     ]])</f>
        <v>0</v>
      </c>
      <c r="CV150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150" s="105"/>
      <c r="CX150" s="105"/>
      <c r="CY150" s="105"/>
      <c r="CZ150" s="105"/>
      <c r="DA150" s="105"/>
      <c r="DB150" s="105"/>
      <c r="DC150" s="105"/>
      <c r="DD150" s="105"/>
      <c r="DE150" s="107">
        <f>SUM(Tabelle4[[#This Row],[Aufwand ]],Tabelle4[[#This Row],[Aufwand 2]],Tabelle4[[#This Row],[Aufwand 3]],Tabelle4[[#This Row],[Aufwand 4]])</f>
        <v>0</v>
      </c>
      <c r="DF150" s="105"/>
      <c r="DG150" s="105"/>
      <c r="DH150" s="105"/>
      <c r="DI150" s="105"/>
      <c r="DJ150" s="105"/>
      <c r="DK150" s="105"/>
      <c r="DL150" s="105"/>
      <c r="DM150" s="105"/>
      <c r="DN150" s="107">
        <f>SUM(Tabelle4[[#This Row],[Aufwand  ]],Tabelle4[[#This Row],[Aufwand  2]],Tabelle4[[#This Row],[Aufwand  3]],Tabelle4[[#This Row],[Aufwand  4]])</f>
        <v>0</v>
      </c>
      <c r="DO150" s="105"/>
      <c r="DP150" s="105"/>
      <c r="DQ150" s="105"/>
      <c r="DR150" s="105"/>
      <c r="DS150" s="105"/>
      <c r="DT150" s="105"/>
      <c r="DU150" s="105"/>
      <c r="DV150" s="105"/>
      <c r="DW150" s="107">
        <f>SUM(Tabelle4[[#This Row],[Aufwand   ]],Tabelle4[[#This Row],[Aufwand   2]],Tabelle4[[#This Row],[Aufwand   3]],Tabelle4[[#This Row],[Aufwand   4]])</f>
        <v>0</v>
      </c>
      <c r="DX150" s="105"/>
      <c r="DY150" s="105"/>
      <c r="DZ150" s="105"/>
      <c r="EA150" s="105"/>
      <c r="EB150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150" s="122">
        <f>Tabelle4[[#This Row],[Gesamaufwand]]/2000</f>
        <v>0</v>
      </c>
      <c r="ED150" s="47"/>
      <c r="EE150" s="47"/>
      <c r="EF150" s="47"/>
      <c r="EG150" s="47"/>
      <c r="EH150" s="47"/>
      <c r="EI150" s="47"/>
      <c r="EJ150" s="47"/>
      <c r="EK150" s="47"/>
      <c r="EL150" s="47"/>
    </row>
    <row r="151" spans="1:142">
      <c r="A151" s="255" t="s">
        <v>187</v>
      </c>
      <c r="B151" s="251" t="s">
        <v>75</v>
      </c>
      <c r="C151" s="254" t="s">
        <v>75</v>
      </c>
      <c r="D151" s="251" t="s">
        <v>914</v>
      </c>
      <c r="E151" s="251" t="s">
        <v>859</v>
      </c>
      <c r="F151" s="253">
        <v>2</v>
      </c>
      <c r="G151" s="253">
        <v>1</v>
      </c>
      <c r="H151" s="253"/>
      <c r="I151" s="254" t="s">
        <v>95</v>
      </c>
      <c r="J151" s="254"/>
      <c r="K151" s="105"/>
      <c r="L151" s="105"/>
      <c r="M151" s="48"/>
      <c r="N151" s="105"/>
      <c r="O151" s="255" t="s">
        <v>188</v>
      </c>
      <c r="P151" s="261">
        <v>3</v>
      </c>
      <c r="Q151" s="261">
        <v>0</v>
      </c>
      <c r="R151" s="261">
        <v>0</v>
      </c>
      <c r="S151" s="262" t="s">
        <v>184</v>
      </c>
      <c r="T151" s="263" t="s">
        <v>673</v>
      </c>
      <c r="U151" s="105"/>
      <c r="V151" s="259" t="s">
        <v>12</v>
      </c>
      <c r="W151" s="105" t="s">
        <v>8</v>
      </c>
      <c r="X151" s="105" t="s">
        <v>10</v>
      </c>
      <c r="Y151" s="105" t="s">
        <v>75</v>
      </c>
      <c r="Z151" s="105" t="s">
        <v>675</v>
      </c>
      <c r="AA151" s="105" t="s">
        <v>75</v>
      </c>
      <c r="AB151" s="105" t="s">
        <v>75</v>
      </c>
      <c r="AC151" s="105" t="s">
        <v>75</v>
      </c>
      <c r="AD151" s="105"/>
      <c r="AE151" s="105"/>
      <c r="AF151" s="105"/>
      <c r="AG151" s="105"/>
      <c r="AH151" s="115" t="s">
        <v>1092</v>
      </c>
      <c r="AI151" s="115"/>
      <c r="AJ151" s="115"/>
      <c r="AK151" s="105"/>
      <c r="AL151" s="115"/>
      <c r="AM151" s="115">
        <v>8000</v>
      </c>
      <c r="AN151" s="115"/>
      <c r="AO151" s="260"/>
      <c r="AP151" s="310"/>
      <c r="AQ151" s="311">
        <v>60000</v>
      </c>
      <c r="AR151" s="115"/>
      <c r="AS151" s="115"/>
      <c r="AT151" s="311">
        <v>60000</v>
      </c>
      <c r="AU151" s="115"/>
      <c r="AV151" s="311">
        <v>60000</v>
      </c>
      <c r="AW151" s="115"/>
      <c r="AX151" s="311">
        <v>60000</v>
      </c>
      <c r="AY151" s="115"/>
      <c r="AZ151" s="311">
        <v>60000</v>
      </c>
      <c r="BA151" s="115"/>
      <c r="BB151" s="311">
        <v>60000</v>
      </c>
      <c r="BC151" s="115"/>
      <c r="BD151" s="311">
        <v>60000</v>
      </c>
      <c r="BE151" s="115"/>
      <c r="BF151" s="311">
        <v>60000</v>
      </c>
      <c r="BG151" s="115"/>
      <c r="BH151" s="311">
        <v>60000</v>
      </c>
      <c r="BI151" s="115"/>
      <c r="BJ151" s="115"/>
      <c r="BK151" s="264"/>
      <c r="BL151" s="105"/>
      <c r="BM151" s="106"/>
      <c r="BN151" s="106"/>
      <c r="BO151" s="106"/>
      <c r="BP151" s="106"/>
      <c r="BQ151" s="106"/>
      <c r="BR151" s="106"/>
      <c r="BS151" s="106"/>
      <c r="BT151" s="108">
        <f>SUM(Tabelle4[[#This Row],[Projektverantwortung
(Lenkungsausschuss) ]:[Kommunikation ]])</f>
        <v>0</v>
      </c>
      <c r="BU151" s="105"/>
      <c r="BV151" s="106"/>
      <c r="BW151" s="106"/>
      <c r="BX151" s="106"/>
      <c r="BY151" s="106"/>
      <c r="BZ151" s="106"/>
      <c r="CA151" s="106"/>
      <c r="CB151" s="106"/>
      <c r="CC151" s="108">
        <f>SUM(Tabelle4[[#This Row],[Projektverantwortung
(Lenkungsausschuss)   ]:[Kommunikation   ]])</f>
        <v>0</v>
      </c>
      <c r="CD151" s="105"/>
      <c r="CE151" s="106"/>
      <c r="CF151" s="106"/>
      <c r="CG151" s="106"/>
      <c r="CH151" s="106"/>
      <c r="CI151" s="106"/>
      <c r="CJ151" s="106"/>
      <c r="CK151" s="106"/>
      <c r="CL151" s="108">
        <f>SUM(Tabelle4[[#This Row],[Projektverantwortung
(Lenkungsausschuss).]:[Kommunikation    ]])</f>
        <v>0</v>
      </c>
      <c r="CM151" s="105"/>
      <c r="CN151" s="106"/>
      <c r="CO151" s="106"/>
      <c r="CP151" s="106"/>
      <c r="CQ151" s="106"/>
      <c r="CR151" s="106"/>
      <c r="CS151" s="106"/>
      <c r="CT151" s="106"/>
      <c r="CU151" s="108">
        <f>SUM(Tabelle4[[#This Row],[Projektverantwortung
(Lenkungsausschuss)    ]:[Kommunikation     ]])</f>
        <v>0</v>
      </c>
      <c r="CV151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151" s="105"/>
      <c r="CX151" s="105"/>
      <c r="CY151" s="105"/>
      <c r="CZ151" s="105"/>
      <c r="DA151" s="105"/>
      <c r="DB151" s="105"/>
      <c r="DC151" s="105"/>
      <c r="DD151" s="105"/>
      <c r="DE151" s="107">
        <f>SUM(Tabelle4[[#This Row],[Aufwand ]],Tabelle4[[#This Row],[Aufwand 2]],Tabelle4[[#This Row],[Aufwand 3]],Tabelle4[[#This Row],[Aufwand 4]])</f>
        <v>0</v>
      </c>
      <c r="DF151" s="105"/>
      <c r="DG151" s="105"/>
      <c r="DH151" s="105"/>
      <c r="DI151" s="105"/>
      <c r="DJ151" s="105"/>
      <c r="DK151" s="105"/>
      <c r="DL151" s="105"/>
      <c r="DM151" s="105"/>
      <c r="DN151" s="107">
        <f>SUM(Tabelle4[[#This Row],[Aufwand  ]],Tabelle4[[#This Row],[Aufwand  2]],Tabelle4[[#This Row],[Aufwand  3]],Tabelle4[[#This Row],[Aufwand  4]])</f>
        <v>0</v>
      </c>
      <c r="DO151" s="105"/>
      <c r="DP151" s="105"/>
      <c r="DQ151" s="105"/>
      <c r="DR151" s="105"/>
      <c r="DS151" s="105"/>
      <c r="DT151" s="105"/>
      <c r="DU151" s="105"/>
      <c r="DV151" s="105"/>
      <c r="DW151" s="107">
        <f>SUM(Tabelle4[[#This Row],[Aufwand   ]],Tabelle4[[#This Row],[Aufwand   2]],Tabelle4[[#This Row],[Aufwand   3]],Tabelle4[[#This Row],[Aufwand   4]])</f>
        <v>0</v>
      </c>
      <c r="DX151" s="105"/>
      <c r="DY151" s="105"/>
      <c r="DZ151" s="105"/>
      <c r="EA151" s="105"/>
      <c r="EB151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151" s="122">
        <f>Tabelle4[[#This Row],[Gesamaufwand]]/2000</f>
        <v>0</v>
      </c>
      <c r="ED151" s="48"/>
      <c r="EE151" s="48"/>
      <c r="EF151" s="48"/>
      <c r="EG151" s="48"/>
      <c r="EH151" s="48"/>
      <c r="EI151" s="47"/>
      <c r="EJ151" s="47"/>
      <c r="EK151" s="47"/>
      <c r="EL151" s="47"/>
    </row>
    <row r="152" spans="1:142">
      <c r="A152" s="248" t="s">
        <v>847</v>
      </c>
      <c r="B152" s="249"/>
      <c r="C152" s="250"/>
      <c r="D152" s="251" t="s">
        <v>914</v>
      </c>
      <c r="E152" s="251" t="s">
        <v>859</v>
      </c>
      <c r="F152" s="252">
        <v>2</v>
      </c>
      <c r="G152" s="252">
        <v>1</v>
      </c>
      <c r="H152" s="252"/>
      <c r="I152" s="250" t="s">
        <v>95</v>
      </c>
      <c r="J152" s="250"/>
      <c r="K152" s="110"/>
      <c r="L152" s="110"/>
      <c r="M152" s="77"/>
      <c r="N152" s="110"/>
      <c r="O152" s="255" t="s">
        <v>188</v>
      </c>
      <c r="P152" s="261">
        <v>3</v>
      </c>
      <c r="Q152" s="261">
        <v>0</v>
      </c>
      <c r="R152" s="261">
        <v>0</v>
      </c>
      <c r="S152" s="262" t="s">
        <v>184</v>
      </c>
      <c r="T152" s="263" t="s">
        <v>673</v>
      </c>
      <c r="U152" s="110"/>
      <c r="V152" s="259" t="s">
        <v>12</v>
      </c>
      <c r="W152" s="105" t="s">
        <v>8</v>
      </c>
      <c r="X152" s="110" t="s">
        <v>10</v>
      </c>
      <c r="Y152" s="110" t="s">
        <v>690</v>
      </c>
      <c r="Z152" s="110" t="s">
        <v>675</v>
      </c>
      <c r="AA152" s="110" t="s">
        <v>690</v>
      </c>
      <c r="AB152" s="110" t="s">
        <v>690</v>
      </c>
      <c r="AC152" s="110" t="s">
        <v>690</v>
      </c>
      <c r="AD152" s="105"/>
      <c r="AE152" s="110"/>
      <c r="AF152" s="110"/>
      <c r="AG152" s="110"/>
      <c r="AH152" s="115" t="s">
        <v>1092</v>
      </c>
      <c r="AI152" s="260"/>
      <c r="AJ152" s="260"/>
      <c r="AK152" s="110"/>
      <c r="AL152" s="260"/>
      <c r="AM152" s="260"/>
      <c r="AN152" s="260"/>
      <c r="AO152" s="260"/>
      <c r="AP152" s="310"/>
      <c r="AQ152" s="310"/>
      <c r="AR152" s="260"/>
      <c r="AS152" s="260"/>
      <c r="AT152" s="310"/>
      <c r="AU152" s="260"/>
      <c r="AV152" s="310"/>
      <c r="AW152" s="260"/>
      <c r="AX152" s="310"/>
      <c r="AY152" s="260"/>
      <c r="AZ152" s="310"/>
      <c r="BA152" s="260"/>
      <c r="BB152" s="310"/>
      <c r="BC152" s="260"/>
      <c r="BD152" s="310"/>
      <c r="BE152" s="260"/>
      <c r="BF152" s="310"/>
      <c r="BG152" s="260"/>
      <c r="BH152" s="310"/>
      <c r="BI152" s="260"/>
      <c r="BJ152" s="260"/>
      <c r="BK152" s="260"/>
      <c r="BL152" s="105"/>
      <c r="BM152" s="111"/>
      <c r="BN152" s="111"/>
      <c r="BO152" s="111"/>
      <c r="BP152" s="111"/>
      <c r="BQ152" s="111"/>
      <c r="BR152" s="111"/>
      <c r="BS152" s="111"/>
      <c r="BT152" s="113">
        <f>SUM(Tabelle4[[#This Row],[Projektverantwortung
(Lenkungsausschuss) ]:[Kommunikation ]])</f>
        <v>0</v>
      </c>
      <c r="BU152" s="113"/>
      <c r="BV152" s="106"/>
      <c r="BW152" s="106"/>
      <c r="BX152" s="106"/>
      <c r="BY152" s="106"/>
      <c r="BZ152" s="106"/>
      <c r="CA152" s="106"/>
      <c r="CB152" s="106"/>
      <c r="CC152" s="113">
        <f>SUM(Tabelle4[[#This Row],[Projektverantwortung
(Lenkungsausschuss)   ]:[Kommunikation   ]])</f>
        <v>0</v>
      </c>
      <c r="CD152" s="113"/>
      <c r="CE152" s="114"/>
      <c r="CF152" s="114"/>
      <c r="CG152" s="114"/>
      <c r="CH152" s="114"/>
      <c r="CI152" s="114"/>
      <c r="CJ152" s="114"/>
      <c r="CK152" s="114"/>
      <c r="CL152" s="113">
        <f>SUM(Tabelle4[[#This Row],[Projektverantwortung
(Lenkungsausschuss).]:[Kommunikation    ]])</f>
        <v>0</v>
      </c>
      <c r="CM152" s="113"/>
      <c r="CN152" s="114"/>
      <c r="CO152" s="114"/>
      <c r="CP152" s="114"/>
      <c r="CQ152" s="114"/>
      <c r="CR152" s="114"/>
      <c r="CS152" s="114"/>
      <c r="CT152" s="114"/>
      <c r="CU152" s="113">
        <f>SUM(Tabelle4[[#This Row],[Projektverantwortung
(Lenkungsausschuss)    ]:[Kommunikation     ]])</f>
        <v>0</v>
      </c>
      <c r="CV152" s="112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152" s="105"/>
      <c r="CX152" s="105"/>
      <c r="CY152" s="105"/>
      <c r="CZ152" s="105"/>
      <c r="DA152" s="105"/>
      <c r="DB152" s="105"/>
      <c r="DC152" s="105"/>
      <c r="DD152" s="105"/>
      <c r="DE152" s="112">
        <f>SUM(Tabelle4[[#This Row],[Aufwand ]],Tabelle4[[#This Row],[Aufwand 2]],Tabelle4[[#This Row],[Aufwand 3]],Tabelle4[[#This Row],[Aufwand 4]])</f>
        <v>0</v>
      </c>
      <c r="DF152" s="142"/>
      <c r="DG152" s="110"/>
      <c r="DH152" s="110"/>
      <c r="DI152" s="142"/>
      <c r="DJ152" s="110"/>
      <c r="DK152" s="142"/>
      <c r="DL152" s="110"/>
      <c r="DM152" s="142"/>
      <c r="DN152" s="112">
        <f>SUM(Tabelle4[[#This Row],[Aufwand  ]],Tabelle4[[#This Row],[Aufwand  2]],Tabelle4[[#This Row],[Aufwand  3]],Tabelle4[[#This Row],[Aufwand  4]])</f>
        <v>0</v>
      </c>
      <c r="DO152" s="142"/>
      <c r="DP152" s="110"/>
      <c r="DQ152" s="110"/>
      <c r="DR152" s="142"/>
      <c r="DS152" s="110"/>
      <c r="DT152" s="142"/>
      <c r="DU152" s="110"/>
      <c r="DV152" s="142"/>
      <c r="DW152" s="107">
        <f>SUM(Tabelle4[[#This Row],[Aufwand   ]],Tabelle4[[#This Row],[Aufwand   2]],Tabelle4[[#This Row],[Aufwand   3]],Tabelle4[[#This Row],[Aufwand   4]])</f>
        <v>0</v>
      </c>
      <c r="DX152" s="142"/>
      <c r="DY152" s="143"/>
      <c r="DZ152" s="105"/>
      <c r="EA152" s="105"/>
      <c r="EB152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152" s="122">
        <f>Tabelle4[[#This Row],[Gesamaufwand]]/2000</f>
        <v>0</v>
      </c>
      <c r="ED152" s="47"/>
      <c r="EE152" s="47"/>
      <c r="EF152" s="47"/>
      <c r="EG152" s="47"/>
      <c r="EH152" s="47"/>
      <c r="EI152" s="47"/>
      <c r="EJ152" s="47"/>
      <c r="EK152" s="47"/>
      <c r="EL152" s="47"/>
    </row>
    <row r="153" spans="1:142">
      <c r="A153" s="255" t="s">
        <v>524</v>
      </c>
      <c r="B153" s="251" t="s">
        <v>105</v>
      </c>
      <c r="C153" s="254" t="s">
        <v>68</v>
      </c>
      <c r="D153" s="251" t="s">
        <v>913</v>
      </c>
      <c r="E153" s="251" t="s">
        <v>695</v>
      </c>
      <c r="F153" s="253">
        <v>4</v>
      </c>
      <c r="G153" s="253">
        <v>4</v>
      </c>
      <c r="H153" s="253"/>
      <c r="I153" s="254" t="s">
        <v>96</v>
      </c>
      <c r="J153" s="254"/>
      <c r="K153" s="105"/>
      <c r="L153" s="105"/>
      <c r="M153" s="48"/>
      <c r="N153" s="105"/>
      <c r="O153" s="255" t="s">
        <v>525</v>
      </c>
      <c r="P153" s="261">
        <v>2</v>
      </c>
      <c r="Q153" s="261">
        <v>0</v>
      </c>
      <c r="R153" s="261">
        <v>0</v>
      </c>
      <c r="S153" s="262" t="s">
        <v>526</v>
      </c>
      <c r="T153" s="263" t="s">
        <v>660</v>
      </c>
      <c r="U153" s="105"/>
      <c r="V153" s="259" t="s">
        <v>607</v>
      </c>
      <c r="W153" s="105" t="s">
        <v>6</v>
      </c>
      <c r="X153" s="105" t="s">
        <v>86</v>
      </c>
      <c r="Y153" s="105" t="s">
        <v>75</v>
      </c>
      <c r="Z153" s="105" t="s">
        <v>81</v>
      </c>
      <c r="AA153" s="105" t="s">
        <v>639</v>
      </c>
      <c r="AB153" s="105" t="s">
        <v>639</v>
      </c>
      <c r="AC153" s="105" t="s">
        <v>639</v>
      </c>
      <c r="AD153" s="105"/>
      <c r="AE153" s="105"/>
      <c r="AF153" s="105"/>
      <c r="AG153" s="105"/>
      <c r="AH153" s="115" t="s">
        <v>621</v>
      </c>
      <c r="AI153" s="115"/>
      <c r="AJ153" s="115"/>
      <c r="AK153" s="105"/>
      <c r="AL153" s="115"/>
      <c r="AM153" s="115"/>
      <c r="AN153" s="115"/>
      <c r="AO153" s="260">
        <f>Tabelle4[[#This Row],[Kredit-  / Budgetsumme
(RADAR: Gesamtkosten S)]]-Tabelle4[[#This Row],[Netto-Ausgaben Vorjahre ]]</f>
        <v>0</v>
      </c>
      <c r="AP153" s="310"/>
      <c r="AQ153" s="311"/>
      <c r="AR153" s="115">
        <f>Tabelle4[[#This Row],[Kreditrest per 1.1. aktuelles Jahr]]-Tabelle4[[#This Row],[Prognose 2018
(RADAR: Kosten 2018 S)]]</f>
        <v>0</v>
      </c>
      <c r="AS153" s="115"/>
      <c r="AT153" s="311" t="s">
        <v>804</v>
      </c>
      <c r="AU153" s="115"/>
      <c r="AV153" s="311"/>
      <c r="AW153" s="115"/>
      <c r="AX153" s="311"/>
      <c r="AY153" s="115"/>
      <c r="AZ153" s="311"/>
      <c r="BA153" s="115"/>
      <c r="BB153" s="311"/>
      <c r="BC153" s="115"/>
      <c r="BD153" s="311"/>
      <c r="BE153" s="115"/>
      <c r="BF153" s="311"/>
      <c r="BG153" s="115"/>
      <c r="BH153" s="311"/>
      <c r="BI153" s="115"/>
      <c r="BJ153" s="115"/>
      <c r="BK153" s="264"/>
      <c r="BL153" s="105"/>
      <c r="BM153" s="106"/>
      <c r="BN153" s="106"/>
      <c r="BO153" s="106">
        <v>20</v>
      </c>
      <c r="BP153" s="106"/>
      <c r="BQ153" s="106"/>
      <c r="BR153" s="106"/>
      <c r="BS153" s="106"/>
      <c r="BT153" s="108">
        <f>SUM(Tabelle4[[#This Row],[Projektverantwortung
(Lenkungsausschuss) ]:[Kommunikation ]])</f>
        <v>20</v>
      </c>
      <c r="BU153" s="105"/>
      <c r="BV153" s="106">
        <v>0</v>
      </c>
      <c r="BW153" s="106">
        <v>0</v>
      </c>
      <c r="BX153" s="106">
        <v>0</v>
      </c>
      <c r="BY153" s="106">
        <v>0</v>
      </c>
      <c r="BZ153" s="106">
        <v>0</v>
      </c>
      <c r="CA153" s="106">
        <v>0</v>
      </c>
      <c r="CB153" s="106">
        <v>0</v>
      </c>
      <c r="CC153" s="108">
        <f>SUM(Tabelle4[[#This Row],[Projektverantwortung
(Lenkungsausschuss)   ]:[Kommunikation   ]])</f>
        <v>0</v>
      </c>
      <c r="CD153" s="105"/>
      <c r="CE153" s="106">
        <v>0</v>
      </c>
      <c r="CF153" s="106">
        <v>0</v>
      </c>
      <c r="CG153" s="106">
        <v>0</v>
      </c>
      <c r="CH153" s="106">
        <v>0</v>
      </c>
      <c r="CI153" s="106">
        <v>0</v>
      </c>
      <c r="CJ153" s="106">
        <v>0</v>
      </c>
      <c r="CK153" s="106">
        <v>0</v>
      </c>
      <c r="CL153" s="108">
        <f>SUM(Tabelle4[[#This Row],[Projektverantwortung
(Lenkungsausschuss).]:[Kommunikation    ]])</f>
        <v>0</v>
      </c>
      <c r="CM153" s="105"/>
      <c r="CN153" s="106">
        <v>0</v>
      </c>
      <c r="CO153" s="106">
        <v>0</v>
      </c>
      <c r="CP153" s="106">
        <v>0</v>
      </c>
      <c r="CQ153" s="106">
        <v>0</v>
      </c>
      <c r="CR153" s="106">
        <v>0</v>
      </c>
      <c r="CS153" s="106">
        <v>0</v>
      </c>
      <c r="CT153" s="106">
        <v>0</v>
      </c>
      <c r="CU153" s="108">
        <f>SUM(Tabelle4[[#This Row],[Projektverantwortung
(Lenkungsausschuss)    ]:[Kommunikation     ]])</f>
        <v>0</v>
      </c>
      <c r="CV153" s="107">
        <f>SUM(Tabelle4[[#This Row],[Total Aufwand
1. Quartal 2018]],Tabelle4[[#This Row],[Total Aufwand
2. Quartal 2018]],Tabelle4[[#This Row],[Total Aufwand
3. Quartal 2018]],Tabelle4[[#This Row],[Total Aufwand
4. Quartal 2018]])</f>
        <v>20</v>
      </c>
      <c r="CW153" s="105"/>
      <c r="CX153" s="105"/>
      <c r="CY153" s="105"/>
      <c r="CZ153" s="105"/>
      <c r="DA153" s="105"/>
      <c r="DB153" s="105"/>
      <c r="DC153" s="105"/>
      <c r="DD153" s="105"/>
      <c r="DE153" s="107">
        <f>SUM(Tabelle4[[#This Row],[Aufwand ]],Tabelle4[[#This Row],[Aufwand 2]],Tabelle4[[#This Row],[Aufwand 3]],Tabelle4[[#This Row],[Aufwand 4]])</f>
        <v>0</v>
      </c>
      <c r="DF153" s="105"/>
      <c r="DG153" s="105"/>
      <c r="DH153" s="105"/>
      <c r="DI153" s="105"/>
      <c r="DJ153" s="105"/>
      <c r="DK153" s="105"/>
      <c r="DL153" s="105"/>
      <c r="DM153" s="105"/>
      <c r="DN153" s="107">
        <f>SUM(Tabelle4[[#This Row],[Aufwand  ]],Tabelle4[[#This Row],[Aufwand  2]],Tabelle4[[#This Row],[Aufwand  3]],Tabelle4[[#This Row],[Aufwand  4]])</f>
        <v>0</v>
      </c>
      <c r="DO153" s="105"/>
      <c r="DP153" s="105"/>
      <c r="DQ153" s="105"/>
      <c r="DR153" s="105"/>
      <c r="DS153" s="105"/>
      <c r="DT153" s="105"/>
      <c r="DU153" s="105"/>
      <c r="DV153" s="105"/>
      <c r="DW153" s="107">
        <f>SUM(Tabelle4[[#This Row],[Aufwand   ]],Tabelle4[[#This Row],[Aufwand   2]],Tabelle4[[#This Row],[Aufwand   3]],Tabelle4[[#This Row],[Aufwand   4]])</f>
        <v>0</v>
      </c>
      <c r="DX153" s="105"/>
      <c r="DY153" s="105"/>
      <c r="DZ153" s="105"/>
      <c r="EA153" s="105"/>
      <c r="EB153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20</v>
      </c>
      <c r="EC153" s="122">
        <f>Tabelle4[[#This Row],[Gesamaufwand]]/2000</f>
        <v>0.01</v>
      </c>
      <c r="ED153" s="47"/>
      <c r="EE153" s="47"/>
      <c r="EF153" s="47"/>
      <c r="EG153" s="47"/>
      <c r="EH153" s="47"/>
      <c r="EI153" s="47"/>
      <c r="EJ153" s="47"/>
      <c r="EK153" s="47"/>
      <c r="EL153" s="47"/>
    </row>
    <row r="154" spans="1:142">
      <c r="A154" s="255" t="s">
        <v>1216</v>
      </c>
      <c r="B154" s="289" t="s">
        <v>1331</v>
      </c>
      <c r="C154" s="290"/>
      <c r="D154" s="289"/>
      <c r="E154" s="289"/>
      <c r="F154" s="291"/>
      <c r="G154" s="291"/>
      <c r="H154" s="291"/>
      <c r="I154" s="290"/>
      <c r="J154" s="290"/>
      <c r="K154" s="217"/>
      <c r="L154" s="217"/>
      <c r="M154" s="318"/>
      <c r="N154" s="217"/>
      <c r="O154" s="288"/>
      <c r="P154" s="292"/>
      <c r="Q154" s="292"/>
      <c r="R154" s="292"/>
      <c r="S154" s="293"/>
      <c r="T154" s="294"/>
      <c r="U154" s="217"/>
      <c r="V154" s="295"/>
      <c r="W154" s="217"/>
      <c r="X154" s="217"/>
      <c r="Y154" s="217"/>
      <c r="Z154" s="217"/>
      <c r="AA154" s="217"/>
      <c r="AB154" s="217"/>
      <c r="AC154" s="217"/>
      <c r="AD154" s="217"/>
      <c r="AE154" s="217"/>
      <c r="AF154" s="217"/>
      <c r="AG154" s="217"/>
      <c r="AH154" s="296" t="s">
        <v>1089</v>
      </c>
      <c r="AI154" s="296"/>
      <c r="AJ154" s="296"/>
      <c r="AK154" s="217"/>
      <c r="AL154" s="296"/>
      <c r="AM154" s="296"/>
      <c r="AN154" s="296"/>
      <c r="AO154" s="296"/>
      <c r="AP154" s="314"/>
      <c r="AQ154" s="314">
        <v>20000</v>
      </c>
      <c r="AR154" s="296"/>
      <c r="AS154" s="296"/>
      <c r="AT154" s="314"/>
      <c r="AU154" s="296"/>
      <c r="AV154" s="314"/>
      <c r="AW154" s="296"/>
      <c r="AX154" s="314"/>
      <c r="AY154" s="296"/>
      <c r="AZ154" s="314"/>
      <c r="BA154" s="296"/>
      <c r="BB154" s="314"/>
      <c r="BC154" s="296"/>
      <c r="BD154" s="314"/>
      <c r="BE154" s="296"/>
      <c r="BF154" s="314"/>
      <c r="BG154" s="296"/>
      <c r="BH154" s="314"/>
      <c r="BI154" s="296"/>
      <c r="BJ154" s="296"/>
      <c r="BK154" s="296"/>
      <c r="BL154" s="217"/>
      <c r="BM154" s="218"/>
      <c r="BN154" s="218"/>
      <c r="BO154" s="218"/>
      <c r="BP154" s="218"/>
      <c r="BQ154" s="218"/>
      <c r="BR154" s="218"/>
      <c r="BS154" s="218"/>
      <c r="BT154" s="219">
        <f>SUM(Tabelle4[[#This Row],[Projektverantwortung
(Lenkungsausschuss) ]:[Kommunikation ]])</f>
        <v>0</v>
      </c>
      <c r="BU154" s="219"/>
      <c r="BV154" s="220"/>
      <c r="BW154" s="220"/>
      <c r="BX154" s="220"/>
      <c r="BY154" s="220"/>
      <c r="BZ154" s="220"/>
      <c r="CA154" s="220"/>
      <c r="CB154" s="220"/>
      <c r="CC154" s="219">
        <f>SUM(Tabelle4[[#This Row],[Projektverantwortung
(Lenkungsausschuss)   ]:[Kommunikation   ]])</f>
        <v>0</v>
      </c>
      <c r="CD154" s="219"/>
      <c r="CE154" s="220"/>
      <c r="CF154" s="220"/>
      <c r="CG154" s="220"/>
      <c r="CH154" s="220"/>
      <c r="CI154" s="220"/>
      <c r="CJ154" s="220"/>
      <c r="CK154" s="220"/>
      <c r="CL154" s="219">
        <f>SUM(Tabelle4[[#This Row],[Projektverantwortung
(Lenkungsausschuss).]:[Kommunikation    ]])</f>
        <v>0</v>
      </c>
      <c r="CM154" s="219"/>
      <c r="CN154" s="220"/>
      <c r="CO154" s="220"/>
      <c r="CP154" s="220"/>
      <c r="CQ154" s="220"/>
      <c r="CR154" s="220"/>
      <c r="CS154" s="220"/>
      <c r="CT154" s="220"/>
      <c r="CU154" s="219">
        <f>SUM(Tabelle4[[#This Row],[Projektverantwortung
(Lenkungsausschuss)    ]:[Kommunikation     ]])</f>
        <v>0</v>
      </c>
      <c r="CV154" s="221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154" s="217"/>
      <c r="CX154" s="217"/>
      <c r="CY154" s="222"/>
      <c r="CZ154" s="217"/>
      <c r="DA154" s="222"/>
      <c r="DB154" s="217"/>
      <c r="DC154" s="222"/>
      <c r="DD154" s="217"/>
      <c r="DE154" s="221">
        <f>SUM(Tabelle4[[#This Row],[Aufwand ]],Tabelle4[[#This Row],[Aufwand 2]],Tabelle4[[#This Row],[Aufwand 3]],Tabelle4[[#This Row],[Aufwand 4]])</f>
        <v>0</v>
      </c>
      <c r="DF154" s="222"/>
      <c r="DG154" s="217"/>
      <c r="DH154" s="217"/>
      <c r="DI154" s="222"/>
      <c r="DJ154" s="217"/>
      <c r="DK154" s="222"/>
      <c r="DL154" s="217"/>
      <c r="DM154" s="222"/>
      <c r="DN154" s="221">
        <f>SUM(Tabelle4[[#This Row],[Aufwand  ]],Tabelle4[[#This Row],[Aufwand  2]],Tabelle4[[#This Row],[Aufwand  3]],Tabelle4[[#This Row],[Aufwand  4]])</f>
        <v>0</v>
      </c>
      <c r="DO154" s="222"/>
      <c r="DP154" s="222"/>
      <c r="DQ154" s="222"/>
      <c r="DR154" s="217"/>
      <c r="DS154" s="217"/>
      <c r="DT154" s="222"/>
      <c r="DU154" s="217"/>
      <c r="DV154" s="222"/>
      <c r="DW154" s="221" t="e">
        <f>#REF!</f>
        <v>#REF!</v>
      </c>
      <c r="DX154" s="222"/>
      <c r="DY154" s="223"/>
      <c r="DZ154" s="217"/>
      <c r="EA154" s="224"/>
      <c r="EB154" s="225" t="e">
        <f>#REF!</f>
        <v>#REF!</v>
      </c>
      <c r="EC154" s="226"/>
      <c r="ED154" s="47"/>
      <c r="EE154" s="47"/>
      <c r="EF154" s="47"/>
      <c r="EG154" s="47"/>
      <c r="EH154" s="47"/>
      <c r="EI154" s="47"/>
      <c r="EJ154" s="47"/>
      <c r="EK154" s="47"/>
      <c r="EL154" s="47"/>
    </row>
    <row r="155" spans="1:142">
      <c r="A155" s="255" t="s">
        <v>325</v>
      </c>
      <c r="B155" s="251" t="s">
        <v>105</v>
      </c>
      <c r="C155" s="254" t="s">
        <v>75</v>
      </c>
      <c r="D155" s="251" t="s">
        <v>915</v>
      </c>
      <c r="E155" s="251" t="s">
        <v>118</v>
      </c>
      <c r="F155" s="253">
        <v>2</v>
      </c>
      <c r="G155" s="253">
        <v>1</v>
      </c>
      <c r="H155" s="253"/>
      <c r="I155" s="254" t="s">
        <v>95</v>
      </c>
      <c r="J155" s="254"/>
      <c r="K155" s="105"/>
      <c r="L155" s="105"/>
      <c r="M155" s="48"/>
      <c r="N155" s="105"/>
      <c r="O155" s="255" t="s">
        <v>326</v>
      </c>
      <c r="P155" s="261">
        <v>1</v>
      </c>
      <c r="Q155" s="261">
        <v>0</v>
      </c>
      <c r="R155" s="261">
        <v>0</v>
      </c>
      <c r="S155" s="262" t="s">
        <v>327</v>
      </c>
      <c r="T155" s="263" t="s">
        <v>673</v>
      </c>
      <c r="U155" s="105"/>
      <c r="V155" s="259" t="s">
        <v>12</v>
      </c>
      <c r="W155" s="105" t="s">
        <v>1080</v>
      </c>
      <c r="X155" s="105" t="s">
        <v>11</v>
      </c>
      <c r="Y155" s="105" t="s">
        <v>75</v>
      </c>
      <c r="Z155" s="105" t="s">
        <v>80</v>
      </c>
      <c r="AA155" s="105" t="s">
        <v>75</v>
      </c>
      <c r="AB155" s="105" t="s">
        <v>75</v>
      </c>
      <c r="AC155" s="105" t="s">
        <v>75</v>
      </c>
      <c r="AD155" s="105"/>
      <c r="AE155" s="105"/>
      <c r="AF155" s="105"/>
      <c r="AG155" s="105"/>
      <c r="AH155" s="115" t="s">
        <v>690</v>
      </c>
      <c r="AI155" s="115"/>
      <c r="AJ155" s="115"/>
      <c r="AK155" s="105"/>
      <c r="AL155" s="115"/>
      <c r="AM155" s="115"/>
      <c r="AN155" s="115"/>
      <c r="AO155" s="260">
        <f>Tabelle4[[#This Row],[Kredit-  / Budgetsumme
(RADAR: Gesamtkosten S)]]-Tabelle4[[#This Row],[Netto-Ausgaben Vorjahre ]]</f>
        <v>0</v>
      </c>
      <c r="AP155" s="310"/>
      <c r="AQ155" s="311"/>
      <c r="AR155" s="115">
        <f>Tabelle4[[#This Row],[Kreditrest per 1.1. aktuelles Jahr]]-Tabelle4[[#This Row],[Prognose 2018
(RADAR: Kosten 2018 S)]]</f>
        <v>0</v>
      </c>
      <c r="AS155" s="115"/>
      <c r="AT155" s="311"/>
      <c r="AU155" s="115"/>
      <c r="AV155" s="311"/>
      <c r="AW155" s="115"/>
      <c r="AX155" s="311"/>
      <c r="AY155" s="115"/>
      <c r="AZ155" s="311"/>
      <c r="BA155" s="115"/>
      <c r="BB155" s="311"/>
      <c r="BC155" s="115"/>
      <c r="BD155" s="311"/>
      <c r="BE155" s="115"/>
      <c r="BF155" s="311"/>
      <c r="BG155" s="115"/>
      <c r="BH155" s="311"/>
      <c r="BI155" s="115"/>
      <c r="BJ155" s="115"/>
      <c r="BK155" s="264"/>
      <c r="BL155" s="105"/>
      <c r="BM155" s="106">
        <v>0</v>
      </c>
      <c r="BN155" s="106">
        <v>0</v>
      </c>
      <c r="BO155" s="106">
        <v>0</v>
      </c>
      <c r="BP155" s="106">
        <v>0</v>
      </c>
      <c r="BQ155" s="106">
        <v>0</v>
      </c>
      <c r="BR155" s="106">
        <v>0</v>
      </c>
      <c r="BS155" s="106">
        <v>0</v>
      </c>
      <c r="BT155" s="108">
        <f>SUM(Tabelle4[[#This Row],[Projektverantwortung
(Lenkungsausschuss) ]:[Kommunikation ]])</f>
        <v>0</v>
      </c>
      <c r="BU155" s="105"/>
      <c r="BV155" s="106">
        <v>0</v>
      </c>
      <c r="BW155" s="106">
        <v>0</v>
      </c>
      <c r="BX155" s="106">
        <v>0</v>
      </c>
      <c r="BY155" s="106">
        <v>0</v>
      </c>
      <c r="BZ155" s="106">
        <v>0</v>
      </c>
      <c r="CA155" s="106">
        <v>0</v>
      </c>
      <c r="CB155" s="106">
        <v>0</v>
      </c>
      <c r="CC155" s="108">
        <f>SUM(Tabelle4[[#This Row],[Projektverantwortung
(Lenkungsausschuss)   ]:[Kommunikation   ]])</f>
        <v>0</v>
      </c>
      <c r="CD155" s="105"/>
      <c r="CE155" s="106">
        <v>0</v>
      </c>
      <c r="CF155" s="106">
        <v>0</v>
      </c>
      <c r="CG155" s="106">
        <v>0</v>
      </c>
      <c r="CH155" s="106">
        <v>0</v>
      </c>
      <c r="CI155" s="106">
        <v>0</v>
      </c>
      <c r="CJ155" s="106">
        <v>0</v>
      </c>
      <c r="CK155" s="106">
        <v>0</v>
      </c>
      <c r="CL155" s="108">
        <f>SUM(Tabelle4[[#This Row],[Projektverantwortung
(Lenkungsausschuss).]:[Kommunikation    ]])</f>
        <v>0</v>
      </c>
      <c r="CM155" s="105"/>
      <c r="CN155" s="106">
        <v>0</v>
      </c>
      <c r="CO155" s="106">
        <v>0</v>
      </c>
      <c r="CP155" s="106">
        <v>0</v>
      </c>
      <c r="CQ155" s="106">
        <v>0</v>
      </c>
      <c r="CR155" s="106">
        <v>0</v>
      </c>
      <c r="CS155" s="106">
        <v>0</v>
      </c>
      <c r="CT155" s="106">
        <v>0</v>
      </c>
      <c r="CU155" s="108">
        <f>SUM(Tabelle4[[#This Row],[Projektverantwortung
(Lenkungsausschuss)    ]:[Kommunikation     ]])</f>
        <v>0</v>
      </c>
      <c r="CV155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155" s="105"/>
      <c r="CX155" s="105"/>
      <c r="CY155" s="105"/>
      <c r="CZ155" s="105"/>
      <c r="DA155" s="105"/>
      <c r="DB155" s="105"/>
      <c r="DC155" s="105"/>
      <c r="DD155" s="105"/>
      <c r="DE155" s="107">
        <f>SUM(Tabelle4[[#This Row],[Aufwand ]],Tabelle4[[#This Row],[Aufwand 2]],Tabelle4[[#This Row],[Aufwand 3]],Tabelle4[[#This Row],[Aufwand 4]])</f>
        <v>0</v>
      </c>
      <c r="DF155" s="105"/>
      <c r="DG155" s="105"/>
      <c r="DH155" s="105"/>
      <c r="DI155" s="105"/>
      <c r="DJ155" s="105"/>
      <c r="DK155" s="105"/>
      <c r="DL155" s="105"/>
      <c r="DM155" s="105"/>
      <c r="DN155" s="107">
        <f>SUM(Tabelle4[[#This Row],[Aufwand  ]],Tabelle4[[#This Row],[Aufwand  2]],Tabelle4[[#This Row],[Aufwand  3]],Tabelle4[[#This Row],[Aufwand  4]])</f>
        <v>0</v>
      </c>
      <c r="DO155" s="105"/>
      <c r="DP155" s="105"/>
      <c r="DQ155" s="105"/>
      <c r="DR155" s="105"/>
      <c r="DS155" s="105"/>
      <c r="DT155" s="105"/>
      <c r="DU155" s="105"/>
      <c r="DV155" s="105"/>
      <c r="DW155" s="107">
        <f>SUM(Tabelle4[[#This Row],[Aufwand   ]],Tabelle4[[#This Row],[Aufwand   2]],Tabelle4[[#This Row],[Aufwand   3]],Tabelle4[[#This Row],[Aufwand   4]])</f>
        <v>0</v>
      </c>
      <c r="DX155" s="105"/>
      <c r="DY155" s="105"/>
      <c r="DZ155" s="105"/>
      <c r="EA155" s="105"/>
      <c r="EB155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155" s="122">
        <f>Tabelle4[[#This Row],[Gesamaufwand]]/2000</f>
        <v>0</v>
      </c>
      <c r="ED155" s="47"/>
      <c r="EE155" s="47"/>
      <c r="EF155" s="47"/>
      <c r="EG155" s="47"/>
      <c r="EH155" s="47"/>
      <c r="EI155" s="47"/>
      <c r="EJ155" s="47"/>
      <c r="EK155" s="47"/>
      <c r="EL155" s="47"/>
    </row>
    <row r="156" spans="1:142">
      <c r="A156" s="288" t="s">
        <v>1217</v>
      </c>
      <c r="B156" s="289"/>
      <c r="C156" s="290"/>
      <c r="D156" s="289"/>
      <c r="E156" s="289"/>
      <c r="F156" s="291"/>
      <c r="G156" s="291"/>
      <c r="H156" s="291"/>
      <c r="I156" s="290"/>
      <c r="J156" s="290"/>
      <c r="K156" s="217"/>
      <c r="L156" s="217"/>
      <c r="M156" s="318"/>
      <c r="N156" s="217"/>
      <c r="O156" s="288"/>
      <c r="P156" s="292"/>
      <c r="Q156" s="292"/>
      <c r="R156" s="292"/>
      <c r="S156" s="293"/>
      <c r="T156" s="294"/>
      <c r="U156" s="217"/>
      <c r="V156" s="295"/>
      <c r="W156" s="217"/>
      <c r="X156" s="217"/>
      <c r="Y156" s="217"/>
      <c r="Z156" s="217"/>
      <c r="AA156" s="217"/>
      <c r="AB156" s="217"/>
      <c r="AC156" s="217"/>
      <c r="AD156" s="217"/>
      <c r="AE156" s="217"/>
      <c r="AF156" s="217"/>
      <c r="AG156" s="217"/>
      <c r="AH156" s="115" t="s">
        <v>1089</v>
      </c>
      <c r="AI156" s="296"/>
      <c r="AJ156" s="296"/>
      <c r="AK156" s="217"/>
      <c r="AL156" s="296"/>
      <c r="AM156" s="296"/>
      <c r="AN156" s="296"/>
      <c r="AO156" s="296"/>
      <c r="AP156" s="314"/>
      <c r="AQ156" s="314">
        <v>8000</v>
      </c>
      <c r="AR156" s="296"/>
      <c r="AS156" s="296"/>
      <c r="AT156" s="314"/>
      <c r="AU156" s="296"/>
      <c r="AV156" s="314"/>
      <c r="AW156" s="296"/>
      <c r="AX156" s="314"/>
      <c r="AY156" s="296"/>
      <c r="AZ156" s="314"/>
      <c r="BA156" s="296"/>
      <c r="BB156" s="314"/>
      <c r="BC156" s="296"/>
      <c r="BD156" s="314"/>
      <c r="BE156" s="296"/>
      <c r="BF156" s="314"/>
      <c r="BG156" s="296"/>
      <c r="BH156" s="314"/>
      <c r="BI156" s="296"/>
      <c r="BJ156" s="296"/>
      <c r="BK156" s="296"/>
      <c r="BL156" s="217"/>
      <c r="BM156" s="218"/>
      <c r="BN156" s="218"/>
      <c r="BO156" s="218"/>
      <c r="BP156" s="218"/>
      <c r="BQ156" s="218"/>
      <c r="BR156" s="218"/>
      <c r="BS156" s="218"/>
      <c r="BT156" s="219">
        <f>SUM(Tabelle4[[#This Row],[Projektverantwortung
(Lenkungsausschuss) ]:[Kommunikation ]])</f>
        <v>0</v>
      </c>
      <c r="BU156" s="219"/>
      <c r="BV156" s="220"/>
      <c r="BW156" s="220"/>
      <c r="BX156" s="220"/>
      <c r="BY156" s="220"/>
      <c r="BZ156" s="220"/>
      <c r="CA156" s="220"/>
      <c r="CB156" s="220"/>
      <c r="CC156" s="219">
        <f>SUM(Tabelle4[[#This Row],[Projektverantwortung
(Lenkungsausschuss)   ]:[Kommunikation   ]])</f>
        <v>0</v>
      </c>
      <c r="CD156" s="219"/>
      <c r="CE156" s="220"/>
      <c r="CF156" s="220"/>
      <c r="CG156" s="220"/>
      <c r="CH156" s="220"/>
      <c r="CI156" s="220"/>
      <c r="CJ156" s="220"/>
      <c r="CK156" s="220"/>
      <c r="CL156" s="219">
        <f>SUM(Tabelle4[[#This Row],[Projektverantwortung
(Lenkungsausschuss).]:[Kommunikation    ]])</f>
        <v>0</v>
      </c>
      <c r="CM156" s="219"/>
      <c r="CN156" s="220"/>
      <c r="CO156" s="220"/>
      <c r="CP156" s="220"/>
      <c r="CQ156" s="220"/>
      <c r="CR156" s="220"/>
      <c r="CS156" s="220"/>
      <c r="CT156" s="220"/>
      <c r="CU156" s="219">
        <f>SUM(Tabelle4[[#This Row],[Projektverantwortung
(Lenkungsausschuss)    ]:[Kommunikation     ]])</f>
        <v>0</v>
      </c>
      <c r="CV156" s="221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156" s="217"/>
      <c r="CX156" s="217"/>
      <c r="CY156" s="222"/>
      <c r="CZ156" s="217"/>
      <c r="DA156" s="222"/>
      <c r="DB156" s="217"/>
      <c r="DC156" s="222"/>
      <c r="DD156" s="217"/>
      <c r="DE156" s="221">
        <f>SUM(Tabelle4[[#This Row],[Aufwand ]],Tabelle4[[#This Row],[Aufwand 2]],Tabelle4[[#This Row],[Aufwand 3]],Tabelle4[[#This Row],[Aufwand 4]])</f>
        <v>0</v>
      </c>
      <c r="DF156" s="222"/>
      <c r="DG156" s="217"/>
      <c r="DH156" s="217"/>
      <c r="DI156" s="222"/>
      <c r="DJ156" s="217"/>
      <c r="DK156" s="222"/>
      <c r="DL156" s="217"/>
      <c r="DM156" s="222"/>
      <c r="DN156" s="221">
        <f>SUM(Tabelle4[[#This Row],[Aufwand  ]],Tabelle4[[#This Row],[Aufwand  2]],Tabelle4[[#This Row],[Aufwand  3]],Tabelle4[[#This Row],[Aufwand  4]])</f>
        <v>0</v>
      </c>
      <c r="DO156" s="222"/>
      <c r="DP156" s="222"/>
      <c r="DQ156" s="222"/>
      <c r="DR156" s="217"/>
      <c r="DS156" s="217"/>
      <c r="DT156" s="222"/>
      <c r="DU156" s="217"/>
      <c r="DV156" s="222"/>
      <c r="DW156" s="221" t="e">
        <f>#REF!</f>
        <v>#REF!</v>
      </c>
      <c r="DX156" s="222"/>
      <c r="DY156" s="223"/>
      <c r="DZ156" s="217"/>
      <c r="EA156" s="224"/>
      <c r="EB156" s="225" t="e">
        <f>#REF!</f>
        <v>#REF!</v>
      </c>
      <c r="EC156" s="226"/>
      <c r="ED156" s="47"/>
      <c r="EE156" s="47"/>
      <c r="EF156" s="47"/>
      <c r="EG156" s="47"/>
      <c r="EH156" s="47"/>
      <c r="EI156" s="47"/>
      <c r="EJ156" s="47"/>
      <c r="EK156" s="47"/>
      <c r="EL156" s="47"/>
    </row>
    <row r="157" spans="1:142">
      <c r="A157" s="255" t="s">
        <v>587</v>
      </c>
      <c r="B157" s="251" t="s">
        <v>1331</v>
      </c>
      <c r="C157" s="254" t="s">
        <v>690</v>
      </c>
      <c r="D157" s="251"/>
      <c r="E157" s="251"/>
      <c r="F157" s="253"/>
      <c r="G157" s="253"/>
      <c r="H157" s="253"/>
      <c r="I157" s="254"/>
      <c r="J157" s="254"/>
      <c r="K157" s="105"/>
      <c r="L157" s="105"/>
      <c r="M157" s="48"/>
      <c r="N157" s="105"/>
      <c r="O157" s="255" t="s">
        <v>588</v>
      </c>
      <c r="P157" s="261">
        <v>5</v>
      </c>
      <c r="Q157" s="261">
        <v>0</v>
      </c>
      <c r="R157" s="261">
        <v>0</v>
      </c>
      <c r="S157" s="262" t="s">
        <v>315</v>
      </c>
      <c r="T157" s="263" t="s">
        <v>673</v>
      </c>
      <c r="U157" s="105"/>
      <c r="V157" s="259" t="s">
        <v>12</v>
      </c>
      <c r="W157" s="105" t="s">
        <v>75</v>
      </c>
      <c r="X157" s="105" t="s">
        <v>75</v>
      </c>
      <c r="Y157" s="105" t="s">
        <v>75</v>
      </c>
      <c r="Z157" s="105" t="s">
        <v>75</v>
      </c>
      <c r="AA157" s="105" t="s">
        <v>75</v>
      </c>
      <c r="AB157" s="105" t="s">
        <v>75</v>
      </c>
      <c r="AC157" s="105" t="s">
        <v>75</v>
      </c>
      <c r="AD157" s="105"/>
      <c r="AE157" s="105"/>
      <c r="AF157" s="105"/>
      <c r="AG157" s="105"/>
      <c r="AH157" s="115" t="s">
        <v>690</v>
      </c>
      <c r="AI157" s="115"/>
      <c r="AJ157" s="115"/>
      <c r="AK157" s="105"/>
      <c r="AL157" s="115"/>
      <c r="AM157" s="115"/>
      <c r="AN157" s="115"/>
      <c r="AO157" s="260">
        <f>Tabelle4[[#This Row],[Kredit-  / Budgetsumme
(RADAR: Gesamtkosten S)]]-Tabelle4[[#This Row],[Netto-Ausgaben Vorjahre ]]</f>
        <v>0</v>
      </c>
      <c r="AP157" s="310"/>
      <c r="AQ157" s="311"/>
      <c r="AR157" s="115">
        <f>Tabelle4[[#This Row],[Kreditrest per 1.1. aktuelles Jahr]]-Tabelle4[[#This Row],[Prognose 2018
(RADAR: Kosten 2018 S)]]</f>
        <v>0</v>
      </c>
      <c r="AS157" s="115"/>
      <c r="AT157" s="311"/>
      <c r="AU157" s="115"/>
      <c r="AV157" s="311"/>
      <c r="AW157" s="115"/>
      <c r="AX157" s="311"/>
      <c r="AY157" s="115"/>
      <c r="AZ157" s="311"/>
      <c r="BA157" s="115"/>
      <c r="BB157" s="311"/>
      <c r="BC157" s="115"/>
      <c r="BD157" s="311"/>
      <c r="BE157" s="115"/>
      <c r="BF157" s="311"/>
      <c r="BG157" s="115"/>
      <c r="BH157" s="311"/>
      <c r="BI157" s="115"/>
      <c r="BJ157" s="115"/>
      <c r="BK157" s="264"/>
      <c r="BL157" s="105"/>
      <c r="BM157" s="106"/>
      <c r="BN157" s="106"/>
      <c r="BO157" s="106"/>
      <c r="BP157" s="106"/>
      <c r="BQ157" s="106"/>
      <c r="BR157" s="106"/>
      <c r="BS157" s="106"/>
      <c r="BT157" s="108">
        <f>SUM(Tabelle4[[#This Row],[Projektverantwortung
(Lenkungsausschuss) ]:[Kommunikation ]])</f>
        <v>0</v>
      </c>
      <c r="BU157" s="105"/>
      <c r="BV157" s="106"/>
      <c r="BW157" s="106"/>
      <c r="BX157" s="106"/>
      <c r="BY157" s="106"/>
      <c r="BZ157" s="106"/>
      <c r="CA157" s="106"/>
      <c r="CB157" s="106"/>
      <c r="CC157" s="108">
        <f>SUM(Tabelle4[[#This Row],[Projektverantwortung
(Lenkungsausschuss)   ]:[Kommunikation   ]])</f>
        <v>0</v>
      </c>
      <c r="CD157" s="105"/>
      <c r="CE157" s="106"/>
      <c r="CF157" s="106"/>
      <c r="CG157" s="106"/>
      <c r="CH157" s="106"/>
      <c r="CI157" s="106"/>
      <c r="CJ157" s="106"/>
      <c r="CK157" s="106"/>
      <c r="CL157" s="108">
        <f>SUM(Tabelle4[[#This Row],[Projektverantwortung
(Lenkungsausschuss).]:[Kommunikation    ]])</f>
        <v>0</v>
      </c>
      <c r="CM157" s="105"/>
      <c r="CN157" s="106"/>
      <c r="CO157" s="106"/>
      <c r="CP157" s="106"/>
      <c r="CQ157" s="106"/>
      <c r="CR157" s="106"/>
      <c r="CS157" s="106"/>
      <c r="CT157" s="106"/>
      <c r="CU157" s="108">
        <f>SUM(Tabelle4[[#This Row],[Projektverantwortung
(Lenkungsausschuss)    ]:[Kommunikation     ]])</f>
        <v>0</v>
      </c>
      <c r="CV157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157" s="105"/>
      <c r="CX157" s="105"/>
      <c r="CY157" s="105"/>
      <c r="CZ157" s="105"/>
      <c r="DA157" s="105"/>
      <c r="DB157" s="105"/>
      <c r="DC157" s="105"/>
      <c r="DD157" s="105"/>
      <c r="DE157" s="107">
        <f>SUM(Tabelle4[[#This Row],[Aufwand ]],Tabelle4[[#This Row],[Aufwand 2]],Tabelle4[[#This Row],[Aufwand 3]],Tabelle4[[#This Row],[Aufwand 4]])</f>
        <v>0</v>
      </c>
      <c r="DF157" s="105"/>
      <c r="DG157" s="105"/>
      <c r="DH157" s="105"/>
      <c r="DI157" s="105"/>
      <c r="DJ157" s="105"/>
      <c r="DK157" s="105"/>
      <c r="DL157" s="105"/>
      <c r="DM157" s="105"/>
      <c r="DN157" s="107">
        <f>SUM(Tabelle4[[#This Row],[Aufwand  ]],Tabelle4[[#This Row],[Aufwand  2]],Tabelle4[[#This Row],[Aufwand  3]],Tabelle4[[#This Row],[Aufwand  4]])</f>
        <v>0</v>
      </c>
      <c r="DO157" s="105"/>
      <c r="DP157" s="105"/>
      <c r="DQ157" s="105"/>
      <c r="DR157" s="105"/>
      <c r="DS157" s="105"/>
      <c r="DT157" s="105"/>
      <c r="DU157" s="105"/>
      <c r="DV157" s="105"/>
      <c r="DW157" s="107">
        <f>SUM(Tabelle4[[#This Row],[Aufwand   ]],Tabelle4[[#This Row],[Aufwand   2]],Tabelle4[[#This Row],[Aufwand   3]],Tabelle4[[#This Row],[Aufwand   4]])</f>
        <v>0</v>
      </c>
      <c r="DX157" s="105"/>
      <c r="DY157" s="105"/>
      <c r="DZ157" s="105"/>
      <c r="EA157" s="105"/>
      <c r="EB157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157" s="122">
        <f>Tabelle4[[#This Row],[Gesamaufwand]]/2000</f>
        <v>0</v>
      </c>
      <c r="ED157" s="47"/>
      <c r="EE157" s="47"/>
      <c r="EF157" s="47"/>
      <c r="EG157" s="47"/>
      <c r="EH157" s="47"/>
      <c r="EI157" s="47"/>
      <c r="EJ157" s="47"/>
      <c r="EK157" s="47"/>
      <c r="EL157" s="47"/>
    </row>
    <row r="158" spans="1:142">
      <c r="A158" s="255" t="s">
        <v>589</v>
      </c>
      <c r="B158" s="251" t="s">
        <v>1331</v>
      </c>
      <c r="C158" s="254" t="s">
        <v>690</v>
      </c>
      <c r="D158" s="251"/>
      <c r="E158" s="251"/>
      <c r="F158" s="253"/>
      <c r="G158" s="253"/>
      <c r="H158" s="253"/>
      <c r="I158" s="254"/>
      <c r="J158" s="254"/>
      <c r="K158" s="105"/>
      <c r="L158" s="105"/>
      <c r="M158" s="48"/>
      <c r="N158" s="105"/>
      <c r="O158" s="255" t="s">
        <v>590</v>
      </c>
      <c r="P158" s="261">
        <v>5</v>
      </c>
      <c r="Q158" s="261">
        <v>0</v>
      </c>
      <c r="R158" s="261">
        <v>0</v>
      </c>
      <c r="S158" s="262" t="s">
        <v>455</v>
      </c>
      <c r="T158" s="263" t="s">
        <v>673</v>
      </c>
      <c r="U158" s="105"/>
      <c r="V158" s="259" t="s">
        <v>12</v>
      </c>
      <c r="W158" s="105" t="s">
        <v>75</v>
      </c>
      <c r="X158" s="105" t="s">
        <v>75</v>
      </c>
      <c r="Y158" s="105" t="s">
        <v>75</v>
      </c>
      <c r="Z158" s="105" t="s">
        <v>75</v>
      </c>
      <c r="AA158" s="105" t="s">
        <v>75</v>
      </c>
      <c r="AB158" s="105" t="s">
        <v>75</v>
      </c>
      <c r="AC158" s="105" t="s">
        <v>75</v>
      </c>
      <c r="AD158" s="105"/>
      <c r="AE158" s="105"/>
      <c r="AF158" s="105"/>
      <c r="AG158" s="105"/>
      <c r="AH158" s="115" t="s">
        <v>690</v>
      </c>
      <c r="AI158" s="115"/>
      <c r="AJ158" s="115"/>
      <c r="AK158" s="105"/>
      <c r="AL158" s="115"/>
      <c r="AM158" s="115"/>
      <c r="AN158" s="115"/>
      <c r="AO158" s="260">
        <f>Tabelle4[[#This Row],[Kredit-  / Budgetsumme
(RADAR: Gesamtkosten S)]]-Tabelle4[[#This Row],[Netto-Ausgaben Vorjahre ]]</f>
        <v>0</v>
      </c>
      <c r="AP158" s="310"/>
      <c r="AQ158" s="311"/>
      <c r="AR158" s="115">
        <f>Tabelle4[[#This Row],[Kreditrest per 1.1. aktuelles Jahr]]-Tabelle4[[#This Row],[Prognose 2018
(RADAR: Kosten 2018 S)]]</f>
        <v>0</v>
      </c>
      <c r="AS158" s="115"/>
      <c r="AT158" s="311"/>
      <c r="AU158" s="115"/>
      <c r="AV158" s="311"/>
      <c r="AW158" s="115"/>
      <c r="AX158" s="311"/>
      <c r="AY158" s="115"/>
      <c r="AZ158" s="311"/>
      <c r="BA158" s="115"/>
      <c r="BB158" s="311"/>
      <c r="BC158" s="115"/>
      <c r="BD158" s="311"/>
      <c r="BE158" s="115"/>
      <c r="BF158" s="311"/>
      <c r="BG158" s="115"/>
      <c r="BH158" s="311"/>
      <c r="BI158" s="115"/>
      <c r="BJ158" s="115"/>
      <c r="BK158" s="264"/>
      <c r="BL158" s="105"/>
      <c r="BM158" s="106"/>
      <c r="BN158" s="106"/>
      <c r="BO158" s="106"/>
      <c r="BP158" s="106"/>
      <c r="BQ158" s="106"/>
      <c r="BR158" s="106"/>
      <c r="BS158" s="106"/>
      <c r="BT158" s="108">
        <f>SUM(Tabelle4[[#This Row],[Projektverantwortung
(Lenkungsausschuss) ]:[Kommunikation ]])</f>
        <v>0</v>
      </c>
      <c r="BU158" s="105"/>
      <c r="BV158" s="106"/>
      <c r="BW158" s="106"/>
      <c r="BX158" s="106"/>
      <c r="BY158" s="106"/>
      <c r="BZ158" s="106"/>
      <c r="CA158" s="106"/>
      <c r="CB158" s="106"/>
      <c r="CC158" s="108">
        <f>SUM(Tabelle4[[#This Row],[Projektverantwortung
(Lenkungsausschuss)   ]:[Kommunikation   ]])</f>
        <v>0</v>
      </c>
      <c r="CD158" s="105"/>
      <c r="CE158" s="106"/>
      <c r="CF158" s="106"/>
      <c r="CG158" s="106"/>
      <c r="CH158" s="106"/>
      <c r="CI158" s="106"/>
      <c r="CJ158" s="106"/>
      <c r="CK158" s="106"/>
      <c r="CL158" s="108">
        <f>SUM(Tabelle4[[#This Row],[Projektverantwortung
(Lenkungsausschuss).]:[Kommunikation    ]])</f>
        <v>0</v>
      </c>
      <c r="CM158" s="105"/>
      <c r="CN158" s="106"/>
      <c r="CO158" s="106"/>
      <c r="CP158" s="106"/>
      <c r="CQ158" s="106"/>
      <c r="CR158" s="106"/>
      <c r="CS158" s="106"/>
      <c r="CT158" s="106"/>
      <c r="CU158" s="108">
        <f>SUM(Tabelle4[[#This Row],[Projektverantwortung
(Lenkungsausschuss)    ]:[Kommunikation     ]])</f>
        <v>0</v>
      </c>
      <c r="CV158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158" s="105"/>
      <c r="CX158" s="105"/>
      <c r="CY158" s="105"/>
      <c r="CZ158" s="105"/>
      <c r="DA158" s="105"/>
      <c r="DB158" s="105"/>
      <c r="DC158" s="105"/>
      <c r="DD158" s="105"/>
      <c r="DE158" s="107">
        <f>SUM(Tabelle4[[#This Row],[Aufwand ]],Tabelle4[[#This Row],[Aufwand 2]],Tabelle4[[#This Row],[Aufwand 3]],Tabelle4[[#This Row],[Aufwand 4]])</f>
        <v>0</v>
      </c>
      <c r="DF158" s="105"/>
      <c r="DG158" s="105"/>
      <c r="DH158" s="105"/>
      <c r="DI158" s="105"/>
      <c r="DJ158" s="105"/>
      <c r="DK158" s="105"/>
      <c r="DL158" s="105"/>
      <c r="DM158" s="105"/>
      <c r="DN158" s="107">
        <f>SUM(Tabelle4[[#This Row],[Aufwand  ]],Tabelle4[[#This Row],[Aufwand  2]],Tabelle4[[#This Row],[Aufwand  3]],Tabelle4[[#This Row],[Aufwand  4]])</f>
        <v>0</v>
      </c>
      <c r="DO158" s="105"/>
      <c r="DP158" s="105"/>
      <c r="DQ158" s="105"/>
      <c r="DR158" s="105"/>
      <c r="DS158" s="105"/>
      <c r="DT158" s="105"/>
      <c r="DU158" s="105"/>
      <c r="DV158" s="105"/>
      <c r="DW158" s="107">
        <f>SUM(Tabelle4[[#This Row],[Aufwand   ]],Tabelle4[[#This Row],[Aufwand   2]],Tabelle4[[#This Row],[Aufwand   3]],Tabelle4[[#This Row],[Aufwand   4]])</f>
        <v>0</v>
      </c>
      <c r="DX158" s="105"/>
      <c r="DY158" s="105"/>
      <c r="DZ158" s="105"/>
      <c r="EA158" s="105"/>
      <c r="EB158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158" s="122">
        <f>Tabelle4[[#This Row],[Gesamaufwand]]/2000</f>
        <v>0</v>
      </c>
      <c r="ED158" s="47"/>
      <c r="EE158" s="47"/>
      <c r="EF158" s="47"/>
      <c r="EG158" s="47"/>
      <c r="EH158" s="47"/>
      <c r="EI158" s="47"/>
      <c r="EJ158" s="47"/>
      <c r="EK158" s="47"/>
      <c r="EL158" s="47"/>
    </row>
    <row r="159" spans="1:142">
      <c r="A159" s="255" t="s">
        <v>216</v>
      </c>
      <c r="B159" s="251" t="s">
        <v>75</v>
      </c>
      <c r="C159" s="254" t="s">
        <v>75</v>
      </c>
      <c r="D159" s="251" t="s">
        <v>913</v>
      </c>
      <c r="E159" s="251" t="s">
        <v>859</v>
      </c>
      <c r="F159" s="253">
        <v>5</v>
      </c>
      <c r="G159" s="253">
        <v>2</v>
      </c>
      <c r="H159" s="253"/>
      <c r="I159" s="254" t="s">
        <v>95</v>
      </c>
      <c r="J159" s="254"/>
      <c r="K159" s="105"/>
      <c r="L159" s="105"/>
      <c r="M159" s="48"/>
      <c r="N159" s="105"/>
      <c r="O159" s="255" t="s">
        <v>217</v>
      </c>
      <c r="P159" s="261">
        <v>5</v>
      </c>
      <c r="Q159" s="261">
        <v>0</v>
      </c>
      <c r="R159" s="261">
        <v>0</v>
      </c>
      <c r="S159" s="262" t="s">
        <v>218</v>
      </c>
      <c r="T159" s="263" t="s">
        <v>673</v>
      </c>
      <c r="U159" s="105"/>
      <c r="V159" s="259" t="s">
        <v>12</v>
      </c>
      <c r="W159" s="105" t="s">
        <v>8</v>
      </c>
      <c r="X159" s="105" t="s">
        <v>10</v>
      </c>
      <c r="Y159" s="105" t="s">
        <v>75</v>
      </c>
      <c r="Z159" s="105" t="s">
        <v>82</v>
      </c>
      <c r="AA159" s="105" t="s">
        <v>75</v>
      </c>
      <c r="AB159" s="105" t="s">
        <v>75</v>
      </c>
      <c r="AC159" s="105" t="s">
        <v>75</v>
      </c>
      <c r="AD159" s="105"/>
      <c r="AE159" s="105"/>
      <c r="AF159" s="105"/>
      <c r="AG159" s="105"/>
      <c r="AH159" s="115" t="s">
        <v>1092</v>
      </c>
      <c r="AI159" s="115"/>
      <c r="AJ159" s="115"/>
      <c r="AK159" s="105"/>
      <c r="AL159" s="115"/>
      <c r="AM159" s="115"/>
      <c r="AN159" s="115"/>
      <c r="AO159" s="260"/>
      <c r="AP159" s="310"/>
      <c r="AQ159" s="311">
        <v>1500</v>
      </c>
      <c r="AR159" s="115"/>
      <c r="AS159" s="115"/>
      <c r="AT159" s="311">
        <v>1500</v>
      </c>
      <c r="AU159" s="115"/>
      <c r="AV159" s="311">
        <v>1500</v>
      </c>
      <c r="AW159" s="115"/>
      <c r="AX159" s="311"/>
      <c r="AY159" s="115"/>
      <c r="AZ159" s="311"/>
      <c r="BA159" s="115"/>
      <c r="BB159" s="311"/>
      <c r="BC159" s="115"/>
      <c r="BD159" s="311"/>
      <c r="BE159" s="115"/>
      <c r="BF159" s="311"/>
      <c r="BG159" s="115"/>
      <c r="BH159" s="311"/>
      <c r="BI159" s="115"/>
      <c r="BJ159" s="115"/>
      <c r="BK159" s="264"/>
      <c r="BL159" s="105"/>
      <c r="BM159" s="106"/>
      <c r="BN159" s="106"/>
      <c r="BO159" s="106"/>
      <c r="BP159" s="106"/>
      <c r="BQ159" s="106"/>
      <c r="BR159" s="106"/>
      <c r="BS159" s="106"/>
      <c r="BT159" s="108">
        <f>SUM(Tabelle4[[#This Row],[Projektverantwortung
(Lenkungsausschuss) ]:[Kommunikation ]])</f>
        <v>0</v>
      </c>
      <c r="BU159" s="105"/>
      <c r="BV159" s="106"/>
      <c r="BW159" s="106"/>
      <c r="BX159" s="106"/>
      <c r="BY159" s="106"/>
      <c r="BZ159" s="106"/>
      <c r="CA159" s="106"/>
      <c r="CB159" s="106"/>
      <c r="CC159" s="108">
        <f>SUM(Tabelle4[[#This Row],[Projektverantwortung
(Lenkungsausschuss)   ]:[Kommunikation   ]])</f>
        <v>0</v>
      </c>
      <c r="CD159" s="105"/>
      <c r="CE159" s="106"/>
      <c r="CF159" s="106"/>
      <c r="CG159" s="106"/>
      <c r="CH159" s="106"/>
      <c r="CI159" s="106"/>
      <c r="CJ159" s="106"/>
      <c r="CK159" s="106"/>
      <c r="CL159" s="108">
        <f>SUM(Tabelle4[[#This Row],[Projektverantwortung
(Lenkungsausschuss).]:[Kommunikation    ]])</f>
        <v>0</v>
      </c>
      <c r="CM159" s="105"/>
      <c r="CN159" s="106"/>
      <c r="CO159" s="106"/>
      <c r="CP159" s="106"/>
      <c r="CQ159" s="106"/>
      <c r="CR159" s="106"/>
      <c r="CS159" s="106"/>
      <c r="CT159" s="106"/>
      <c r="CU159" s="108">
        <f>SUM(Tabelle4[[#This Row],[Projektverantwortung
(Lenkungsausschuss)    ]:[Kommunikation     ]])</f>
        <v>0</v>
      </c>
      <c r="CV159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159" s="105"/>
      <c r="CX159" s="105"/>
      <c r="CY159" s="105"/>
      <c r="CZ159" s="105"/>
      <c r="DA159" s="105"/>
      <c r="DB159" s="105"/>
      <c r="DC159" s="105"/>
      <c r="DD159" s="105"/>
      <c r="DE159" s="107">
        <f>SUM(Tabelle4[[#This Row],[Aufwand ]],Tabelle4[[#This Row],[Aufwand 2]],Tabelle4[[#This Row],[Aufwand 3]],Tabelle4[[#This Row],[Aufwand 4]])</f>
        <v>0</v>
      </c>
      <c r="DF159" s="105"/>
      <c r="DG159" s="105"/>
      <c r="DH159" s="105"/>
      <c r="DI159" s="105"/>
      <c r="DJ159" s="105"/>
      <c r="DK159" s="105"/>
      <c r="DL159" s="105"/>
      <c r="DM159" s="105"/>
      <c r="DN159" s="107">
        <f>SUM(Tabelle4[[#This Row],[Aufwand  ]],Tabelle4[[#This Row],[Aufwand  2]],Tabelle4[[#This Row],[Aufwand  3]],Tabelle4[[#This Row],[Aufwand  4]])</f>
        <v>0</v>
      </c>
      <c r="DO159" s="105"/>
      <c r="DP159" s="105"/>
      <c r="DQ159" s="105"/>
      <c r="DR159" s="105"/>
      <c r="DS159" s="105"/>
      <c r="DT159" s="105"/>
      <c r="DU159" s="105"/>
      <c r="DV159" s="105"/>
      <c r="DW159" s="107">
        <f>SUM(Tabelle4[[#This Row],[Aufwand   ]],Tabelle4[[#This Row],[Aufwand   2]],Tabelle4[[#This Row],[Aufwand   3]],Tabelle4[[#This Row],[Aufwand   4]])</f>
        <v>0</v>
      </c>
      <c r="DX159" s="105"/>
      <c r="DY159" s="105"/>
      <c r="DZ159" s="105"/>
      <c r="EA159" s="105"/>
      <c r="EB159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159" s="122">
        <f>Tabelle4[[#This Row],[Gesamaufwand]]/2000</f>
        <v>0</v>
      </c>
      <c r="ED159" s="47"/>
      <c r="EE159" s="47"/>
      <c r="EF159" s="47"/>
      <c r="EG159" s="47"/>
      <c r="EH159" s="47"/>
      <c r="EI159" s="47"/>
      <c r="EJ159" s="47"/>
      <c r="EK159" s="47"/>
      <c r="EL159" s="47"/>
    </row>
    <row r="160" spans="1:142">
      <c r="A160" s="255" t="s">
        <v>527</v>
      </c>
      <c r="B160" s="251" t="s">
        <v>105</v>
      </c>
      <c r="C160" s="254" t="s">
        <v>68</v>
      </c>
      <c r="D160" s="251" t="s">
        <v>913</v>
      </c>
      <c r="E160" s="251" t="s">
        <v>695</v>
      </c>
      <c r="F160" s="253">
        <v>3</v>
      </c>
      <c r="G160" s="253">
        <v>3</v>
      </c>
      <c r="H160" s="253"/>
      <c r="I160" s="254" t="s">
        <v>95</v>
      </c>
      <c r="J160" s="254"/>
      <c r="K160" s="105"/>
      <c r="L160" s="105"/>
      <c r="M160" s="48"/>
      <c r="N160" s="105"/>
      <c r="O160" s="255" t="s">
        <v>528</v>
      </c>
      <c r="P160" s="261">
        <v>2</v>
      </c>
      <c r="Q160" s="261">
        <v>0</v>
      </c>
      <c r="R160" s="261">
        <v>0</v>
      </c>
      <c r="S160" s="262" t="s">
        <v>390</v>
      </c>
      <c r="T160" s="263" t="s">
        <v>663</v>
      </c>
      <c r="U160" s="105"/>
      <c r="V160" s="259" t="s">
        <v>607</v>
      </c>
      <c r="W160" s="105" t="s">
        <v>6</v>
      </c>
      <c r="X160" s="105" t="s">
        <v>86</v>
      </c>
      <c r="Y160" s="105" t="s">
        <v>690</v>
      </c>
      <c r="Z160" s="105" t="s">
        <v>86</v>
      </c>
      <c r="AA160" s="105" t="s">
        <v>639</v>
      </c>
      <c r="AB160" s="105" t="s">
        <v>639</v>
      </c>
      <c r="AC160" s="105" t="s">
        <v>639</v>
      </c>
      <c r="AD160" s="105"/>
      <c r="AE160" s="105"/>
      <c r="AF160" s="105"/>
      <c r="AG160" s="105"/>
      <c r="AH160" s="115" t="s">
        <v>621</v>
      </c>
      <c r="AI160" s="115"/>
      <c r="AJ160" s="115"/>
      <c r="AK160" s="105"/>
      <c r="AL160" s="115"/>
      <c r="AM160" s="115"/>
      <c r="AN160" s="115"/>
      <c r="AO160" s="260">
        <f>Tabelle4[[#This Row],[Kredit-  / Budgetsumme
(RADAR: Gesamtkosten S)]]-Tabelle4[[#This Row],[Netto-Ausgaben Vorjahre ]]</f>
        <v>0</v>
      </c>
      <c r="AP160" s="310"/>
      <c r="AQ160" s="311"/>
      <c r="AR160" s="115">
        <f>Tabelle4[[#This Row],[Kreditrest per 1.1. aktuelles Jahr]]-Tabelle4[[#This Row],[Prognose 2018
(RADAR: Kosten 2018 S)]]</f>
        <v>0</v>
      </c>
      <c r="AS160" s="115"/>
      <c r="AT160" s="311"/>
      <c r="AU160" s="115"/>
      <c r="AV160" s="311"/>
      <c r="AW160" s="115"/>
      <c r="AX160" s="311"/>
      <c r="AY160" s="115"/>
      <c r="AZ160" s="311"/>
      <c r="BA160" s="115"/>
      <c r="BB160" s="311"/>
      <c r="BC160" s="115"/>
      <c r="BD160" s="311"/>
      <c r="BE160" s="115"/>
      <c r="BF160" s="311"/>
      <c r="BG160" s="115"/>
      <c r="BH160" s="311"/>
      <c r="BI160" s="115"/>
      <c r="BJ160" s="115"/>
      <c r="BK160" s="264"/>
      <c r="BL160" s="105"/>
      <c r="BM160" s="106">
        <v>8</v>
      </c>
      <c r="BN160" s="106"/>
      <c r="BO160" s="106"/>
      <c r="BP160" s="106"/>
      <c r="BQ160" s="106"/>
      <c r="BR160" s="106"/>
      <c r="BS160" s="106"/>
      <c r="BT160" s="108">
        <f>SUM(Tabelle4[[#This Row],[Projektverantwortung
(Lenkungsausschuss) ]:[Kommunikation ]])</f>
        <v>8</v>
      </c>
      <c r="BU160" s="105"/>
      <c r="BV160" s="106">
        <v>8</v>
      </c>
      <c r="BW160" s="106"/>
      <c r="BX160" s="106"/>
      <c r="BY160" s="106"/>
      <c r="BZ160" s="106"/>
      <c r="CA160" s="106"/>
      <c r="CB160" s="106"/>
      <c r="CC160" s="108">
        <f>SUM(Tabelle4[[#This Row],[Projektverantwortung
(Lenkungsausschuss)   ]:[Kommunikation   ]])</f>
        <v>8</v>
      </c>
      <c r="CD160" s="105"/>
      <c r="CE160" s="106">
        <v>8</v>
      </c>
      <c r="CF160" s="106"/>
      <c r="CG160" s="106"/>
      <c r="CH160" s="106"/>
      <c r="CI160" s="106"/>
      <c r="CJ160" s="106"/>
      <c r="CK160" s="106"/>
      <c r="CL160" s="108">
        <f>SUM(Tabelle4[[#This Row],[Projektverantwortung
(Lenkungsausschuss).]:[Kommunikation    ]])</f>
        <v>8</v>
      </c>
      <c r="CM160" s="105"/>
      <c r="CN160" s="106">
        <v>8</v>
      </c>
      <c r="CO160" s="106"/>
      <c r="CP160" s="106"/>
      <c r="CQ160" s="106"/>
      <c r="CR160" s="106"/>
      <c r="CS160" s="106"/>
      <c r="CT160" s="106"/>
      <c r="CU160" s="108">
        <f>SUM(Tabelle4[[#This Row],[Projektverantwortung
(Lenkungsausschuss)    ]:[Kommunikation     ]])</f>
        <v>8</v>
      </c>
      <c r="CV160" s="107">
        <f>SUM(Tabelle4[[#This Row],[Total Aufwand
1. Quartal 2018]],Tabelle4[[#This Row],[Total Aufwand
2. Quartal 2018]],Tabelle4[[#This Row],[Total Aufwand
3. Quartal 2018]],Tabelle4[[#This Row],[Total Aufwand
4. Quartal 2018]])</f>
        <v>32</v>
      </c>
      <c r="CW160" s="105"/>
      <c r="CX160" s="105"/>
      <c r="CY160" s="105"/>
      <c r="CZ160" s="105"/>
      <c r="DA160" s="105"/>
      <c r="DB160" s="105"/>
      <c r="DC160" s="105"/>
      <c r="DD160" s="105"/>
      <c r="DE160" s="107">
        <f>SUM(Tabelle4[[#This Row],[Aufwand ]],Tabelle4[[#This Row],[Aufwand 2]],Tabelle4[[#This Row],[Aufwand 3]],Tabelle4[[#This Row],[Aufwand 4]])</f>
        <v>0</v>
      </c>
      <c r="DF160" s="105"/>
      <c r="DG160" s="105"/>
      <c r="DH160" s="105"/>
      <c r="DI160" s="105"/>
      <c r="DJ160" s="105"/>
      <c r="DK160" s="105"/>
      <c r="DL160" s="105"/>
      <c r="DM160" s="105"/>
      <c r="DN160" s="107">
        <f>SUM(Tabelle4[[#This Row],[Aufwand  ]],Tabelle4[[#This Row],[Aufwand  2]],Tabelle4[[#This Row],[Aufwand  3]],Tabelle4[[#This Row],[Aufwand  4]])</f>
        <v>0</v>
      </c>
      <c r="DO160" s="105"/>
      <c r="DP160" s="105"/>
      <c r="DQ160" s="105"/>
      <c r="DR160" s="105"/>
      <c r="DS160" s="105"/>
      <c r="DT160" s="105"/>
      <c r="DU160" s="105"/>
      <c r="DV160" s="105"/>
      <c r="DW160" s="107">
        <f>SUM(Tabelle4[[#This Row],[Aufwand   ]],Tabelle4[[#This Row],[Aufwand   2]],Tabelle4[[#This Row],[Aufwand   3]],Tabelle4[[#This Row],[Aufwand   4]])</f>
        <v>0</v>
      </c>
      <c r="DX160" s="105"/>
      <c r="DY160" s="105"/>
      <c r="DZ160" s="105"/>
      <c r="EA160" s="105"/>
      <c r="EB160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32</v>
      </c>
      <c r="EC160" s="122">
        <f>Tabelle4[[#This Row],[Gesamaufwand]]/2000</f>
        <v>1.6E-2</v>
      </c>
      <c r="ED160" s="47"/>
      <c r="EE160" s="47"/>
      <c r="EF160" s="47"/>
      <c r="EG160" s="47"/>
      <c r="EH160" s="47"/>
      <c r="EI160" s="47"/>
      <c r="EJ160" s="47"/>
      <c r="EK160" s="47"/>
      <c r="EL160" s="47"/>
    </row>
    <row r="161" spans="1:142">
      <c r="A161" s="255" t="s">
        <v>1086</v>
      </c>
      <c r="B161" s="251" t="s">
        <v>1331</v>
      </c>
      <c r="C161" s="254"/>
      <c r="D161" s="251"/>
      <c r="E161" s="251"/>
      <c r="F161" s="253"/>
      <c r="G161" s="253"/>
      <c r="H161" s="253"/>
      <c r="I161" s="254"/>
      <c r="J161" s="254"/>
      <c r="K161" s="105"/>
      <c r="L161" s="105"/>
      <c r="M161" s="48"/>
      <c r="N161" s="105"/>
      <c r="O161" s="255"/>
      <c r="P161" s="261"/>
      <c r="Q161" s="261"/>
      <c r="R161" s="261"/>
      <c r="S161" s="262"/>
      <c r="T161" s="263"/>
      <c r="U161" s="105"/>
      <c r="V161" s="259"/>
      <c r="W161" s="105"/>
      <c r="X161" s="105"/>
      <c r="Y161" s="105"/>
      <c r="Z161" s="105"/>
      <c r="AA161" s="105"/>
      <c r="AB161" s="105"/>
      <c r="AC161" s="105"/>
      <c r="AD161" s="105"/>
      <c r="AE161" s="105"/>
      <c r="AF161" s="105"/>
      <c r="AG161" s="105"/>
      <c r="AH161" s="115" t="s">
        <v>1090</v>
      </c>
      <c r="AI161" s="115"/>
      <c r="AJ161" s="115"/>
      <c r="AK161" s="105"/>
      <c r="AL161" s="115"/>
      <c r="AM161" s="115"/>
      <c r="AN161" s="115"/>
      <c r="AO161" s="115"/>
      <c r="AP161" s="311"/>
      <c r="AQ161" s="311">
        <v>14000</v>
      </c>
      <c r="AR161" s="115"/>
      <c r="AS161" s="115"/>
      <c r="AT161" s="311"/>
      <c r="AU161" s="115"/>
      <c r="AV161" s="311"/>
      <c r="AW161" s="115"/>
      <c r="AX161" s="311"/>
      <c r="AY161" s="115"/>
      <c r="AZ161" s="311"/>
      <c r="BA161" s="115"/>
      <c r="BB161" s="311"/>
      <c r="BC161" s="115"/>
      <c r="BD161" s="311"/>
      <c r="BE161" s="115"/>
      <c r="BF161" s="311"/>
      <c r="BG161" s="115"/>
      <c r="BH161" s="311"/>
      <c r="BI161" s="115"/>
      <c r="BJ161" s="115"/>
      <c r="BK161" s="115"/>
      <c r="BL161" s="105"/>
      <c r="BM161" s="106"/>
      <c r="BN161" s="106"/>
      <c r="BO161" s="106"/>
      <c r="BP161" s="106"/>
      <c r="BQ161" s="106"/>
      <c r="BR161" s="106"/>
      <c r="BS161" s="106"/>
      <c r="BT161" s="108">
        <f>SUM(Tabelle4[[#This Row],[Projektverantwortung
(Lenkungsausschuss) ]:[Kommunikation ]])</f>
        <v>0</v>
      </c>
      <c r="BU161" s="108"/>
      <c r="BV161" s="151"/>
      <c r="BW161" s="151"/>
      <c r="BX161" s="151"/>
      <c r="BY161" s="151"/>
      <c r="BZ161" s="151"/>
      <c r="CA161" s="151"/>
      <c r="CB161" s="151"/>
      <c r="CC161" s="108">
        <f>SUM(Tabelle4[[#This Row],[Projektverantwortung
(Lenkungsausschuss)   ]:[Kommunikation   ]])</f>
        <v>0</v>
      </c>
      <c r="CD161" s="108"/>
      <c r="CE161" s="151"/>
      <c r="CF161" s="151"/>
      <c r="CG161" s="151"/>
      <c r="CH161" s="151"/>
      <c r="CI161" s="151"/>
      <c r="CJ161" s="151"/>
      <c r="CK161" s="151"/>
      <c r="CL161" s="108">
        <f>SUM(Tabelle4[[#This Row],[Projektverantwortung
(Lenkungsausschuss).]:[Kommunikation    ]])</f>
        <v>0</v>
      </c>
      <c r="CM161" s="108"/>
      <c r="CN161" s="151"/>
      <c r="CO161" s="151"/>
      <c r="CP161" s="151"/>
      <c r="CQ161" s="151"/>
      <c r="CR161" s="151"/>
      <c r="CS161" s="151"/>
      <c r="CT161" s="151"/>
      <c r="CU161" s="108">
        <f>SUM(Tabelle4[[#This Row],[Projektverantwortung
(Lenkungsausschuss)    ]:[Kommunikation     ]])</f>
        <v>0</v>
      </c>
      <c r="CV161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161" s="105"/>
      <c r="CX161" s="105"/>
      <c r="CY161" s="116"/>
      <c r="CZ161" s="105"/>
      <c r="DA161" s="116"/>
      <c r="DB161" s="105"/>
      <c r="DC161" s="116"/>
      <c r="DD161" s="105"/>
      <c r="DE161" s="107">
        <f>SUM(Tabelle4[[#This Row],[Aufwand ]],Tabelle4[[#This Row],[Aufwand 2]],Tabelle4[[#This Row],[Aufwand 3]],Tabelle4[[#This Row],[Aufwand 4]])</f>
        <v>0</v>
      </c>
      <c r="DF161" s="116"/>
      <c r="DG161" s="105"/>
      <c r="DH161" s="105"/>
      <c r="DI161" s="116"/>
      <c r="DJ161" s="105"/>
      <c r="DK161" s="116"/>
      <c r="DL161" s="105"/>
      <c r="DM161" s="116"/>
      <c r="DN161" s="107">
        <f>SUM(Tabelle4[[#This Row],[Aufwand  ]],Tabelle4[[#This Row],[Aufwand  2]],Tabelle4[[#This Row],[Aufwand  3]],Tabelle4[[#This Row],[Aufwand  4]])</f>
        <v>0</v>
      </c>
      <c r="DO161" s="116"/>
      <c r="DP161" s="116"/>
      <c r="DQ161" s="116"/>
      <c r="DR161" s="105"/>
      <c r="DS161" s="105"/>
      <c r="DT161" s="116"/>
      <c r="DU161" s="105"/>
      <c r="DV161" s="116"/>
      <c r="DW161" s="107" t="e">
        <f>#REF!</f>
        <v>#REF!</v>
      </c>
      <c r="DX161" s="116"/>
      <c r="DY161" s="152"/>
      <c r="DZ161" s="105"/>
      <c r="EA161" s="180"/>
      <c r="EB161" s="181" t="e">
        <f>#REF!</f>
        <v>#REF!</v>
      </c>
      <c r="EC161" s="109"/>
      <c r="ED161" s="47"/>
      <c r="EE161" s="47"/>
      <c r="EF161" s="47"/>
      <c r="EG161" s="47"/>
      <c r="EH161" s="47"/>
      <c r="EI161" s="47"/>
      <c r="EJ161" s="47"/>
      <c r="EK161" s="47"/>
      <c r="EL161" s="47"/>
    </row>
    <row r="162" spans="1:142">
      <c r="A162" s="255" t="s">
        <v>426</v>
      </c>
      <c r="B162" s="251" t="s">
        <v>105</v>
      </c>
      <c r="C162" s="254" t="s">
        <v>690</v>
      </c>
      <c r="D162" s="251" t="s">
        <v>914</v>
      </c>
      <c r="E162" s="251" t="s">
        <v>859</v>
      </c>
      <c r="F162" s="253">
        <v>2</v>
      </c>
      <c r="G162" s="253">
        <v>1</v>
      </c>
      <c r="H162" s="253"/>
      <c r="I162" s="254" t="s">
        <v>95</v>
      </c>
      <c r="J162" s="254"/>
      <c r="K162" s="105"/>
      <c r="L162" s="105"/>
      <c r="M162" s="48"/>
      <c r="N162" s="105"/>
      <c r="O162" s="255" t="s">
        <v>427</v>
      </c>
      <c r="P162" s="261">
        <v>4</v>
      </c>
      <c r="Q162" s="261">
        <v>0</v>
      </c>
      <c r="R162" s="261">
        <v>1</v>
      </c>
      <c r="S162" s="262" t="s">
        <v>146</v>
      </c>
      <c r="T162" s="263" t="s">
        <v>673</v>
      </c>
      <c r="U162" s="105"/>
      <c r="V162" s="259" t="s">
        <v>12</v>
      </c>
      <c r="W162" s="105" t="s">
        <v>8</v>
      </c>
      <c r="X162" s="105" t="s">
        <v>10</v>
      </c>
      <c r="Y162" s="105" t="s">
        <v>690</v>
      </c>
      <c r="Z162" s="105" t="s">
        <v>675</v>
      </c>
      <c r="AA162" s="105" t="s">
        <v>690</v>
      </c>
      <c r="AB162" s="105" t="s">
        <v>690</v>
      </c>
      <c r="AC162" s="105" t="s">
        <v>690</v>
      </c>
      <c r="AD162" s="105"/>
      <c r="AE162" s="105"/>
      <c r="AF162" s="105"/>
      <c r="AG162" s="105"/>
      <c r="AH162" s="115" t="s">
        <v>21</v>
      </c>
      <c r="AI162" s="115" t="s">
        <v>75</v>
      </c>
      <c r="AJ162" s="115" t="s">
        <v>620</v>
      </c>
      <c r="AK162" s="105"/>
      <c r="AL162" s="115">
        <v>600000</v>
      </c>
      <c r="AM162" s="115"/>
      <c r="AN162" s="115"/>
      <c r="AO162" s="260">
        <f>Tabelle4[[#This Row],[Kredit-  / Budgetsumme
(RADAR: Gesamtkosten S)]]-Tabelle4[[#This Row],[Netto-Ausgaben Vorjahre ]]</f>
        <v>600000</v>
      </c>
      <c r="AP162" s="310"/>
      <c r="AQ162" s="311">
        <v>120000</v>
      </c>
      <c r="AR162" s="115">
        <f>Tabelle4[[#This Row],[Kreditrest per 1.1. aktuelles Jahr]]-Tabelle4[[#This Row],[Prognose 2018
(RADAR: Kosten 2018 S)]]</f>
        <v>480000</v>
      </c>
      <c r="AS162" s="115"/>
      <c r="AT162" s="311">
        <v>120000</v>
      </c>
      <c r="AU162" s="115"/>
      <c r="AV162" s="311">
        <v>120000</v>
      </c>
      <c r="AW162" s="115"/>
      <c r="AX162" s="311">
        <v>120000</v>
      </c>
      <c r="AY162" s="115"/>
      <c r="AZ162" s="311">
        <v>120000</v>
      </c>
      <c r="BA162" s="115"/>
      <c r="BB162" s="311">
        <v>120000</v>
      </c>
      <c r="BC162" s="115"/>
      <c r="BD162" s="311"/>
      <c r="BE162" s="115"/>
      <c r="BF162" s="311"/>
      <c r="BG162" s="115"/>
      <c r="BH162" s="311"/>
      <c r="BI162" s="115"/>
      <c r="BJ162" s="115"/>
      <c r="BK162" s="264"/>
      <c r="BL162" s="105"/>
      <c r="BM162" s="106"/>
      <c r="BN162" s="106"/>
      <c r="BO162" s="106"/>
      <c r="BP162" s="106"/>
      <c r="BQ162" s="106"/>
      <c r="BR162" s="106"/>
      <c r="BS162" s="106"/>
      <c r="BT162" s="108">
        <f>SUM(Tabelle4[[#This Row],[Projektverantwortung
(Lenkungsausschuss) ]:[Kommunikation ]])</f>
        <v>0</v>
      </c>
      <c r="BU162" s="105"/>
      <c r="BV162" s="106"/>
      <c r="BW162" s="106"/>
      <c r="BX162" s="106"/>
      <c r="BY162" s="106"/>
      <c r="BZ162" s="106"/>
      <c r="CA162" s="106"/>
      <c r="CB162" s="106"/>
      <c r="CC162" s="108">
        <f>SUM(Tabelle4[[#This Row],[Projektverantwortung
(Lenkungsausschuss)   ]:[Kommunikation   ]])</f>
        <v>0</v>
      </c>
      <c r="CD162" s="105"/>
      <c r="CE162" s="106"/>
      <c r="CF162" s="106"/>
      <c r="CG162" s="106"/>
      <c r="CH162" s="106"/>
      <c r="CI162" s="106"/>
      <c r="CJ162" s="106"/>
      <c r="CK162" s="106"/>
      <c r="CL162" s="108">
        <f>SUM(Tabelle4[[#This Row],[Projektverantwortung
(Lenkungsausschuss).]:[Kommunikation    ]])</f>
        <v>0</v>
      </c>
      <c r="CM162" s="105"/>
      <c r="CN162" s="106"/>
      <c r="CO162" s="106"/>
      <c r="CP162" s="106"/>
      <c r="CQ162" s="106"/>
      <c r="CR162" s="106"/>
      <c r="CS162" s="106"/>
      <c r="CT162" s="106"/>
      <c r="CU162" s="108">
        <f>SUM(Tabelle4[[#This Row],[Projektverantwortung
(Lenkungsausschuss)    ]:[Kommunikation     ]])</f>
        <v>0</v>
      </c>
      <c r="CV162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162" s="105"/>
      <c r="CX162" s="105"/>
      <c r="CY162" s="105"/>
      <c r="CZ162" s="105"/>
      <c r="DA162" s="105"/>
      <c r="DB162" s="105"/>
      <c r="DC162" s="105"/>
      <c r="DD162" s="105"/>
      <c r="DE162" s="107">
        <f>SUM(Tabelle4[[#This Row],[Aufwand ]],Tabelle4[[#This Row],[Aufwand 2]],Tabelle4[[#This Row],[Aufwand 3]],Tabelle4[[#This Row],[Aufwand 4]])</f>
        <v>0</v>
      </c>
      <c r="DF162" s="105"/>
      <c r="DG162" s="105"/>
      <c r="DH162" s="105"/>
      <c r="DI162" s="105"/>
      <c r="DJ162" s="105"/>
      <c r="DK162" s="105"/>
      <c r="DL162" s="105"/>
      <c r="DM162" s="105"/>
      <c r="DN162" s="107">
        <f>SUM(Tabelle4[[#This Row],[Aufwand  ]],Tabelle4[[#This Row],[Aufwand  2]],Tabelle4[[#This Row],[Aufwand  3]],Tabelle4[[#This Row],[Aufwand  4]])</f>
        <v>0</v>
      </c>
      <c r="DO162" s="105"/>
      <c r="DP162" s="105"/>
      <c r="DQ162" s="105"/>
      <c r="DR162" s="105"/>
      <c r="DS162" s="105"/>
      <c r="DT162" s="105"/>
      <c r="DU162" s="105"/>
      <c r="DV162" s="105"/>
      <c r="DW162" s="107">
        <f>SUM(Tabelle4[[#This Row],[Aufwand   ]],Tabelle4[[#This Row],[Aufwand   2]],Tabelle4[[#This Row],[Aufwand   3]],Tabelle4[[#This Row],[Aufwand   4]])</f>
        <v>0</v>
      </c>
      <c r="DX162" s="105"/>
      <c r="DY162" s="105"/>
      <c r="DZ162" s="105"/>
      <c r="EA162" s="105"/>
      <c r="EB162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162" s="122">
        <f>Tabelle4[[#This Row],[Gesamaufwand]]/2000</f>
        <v>0</v>
      </c>
      <c r="ED162" s="47"/>
      <c r="EE162" s="47"/>
      <c r="EF162" s="47"/>
      <c r="EG162" s="47"/>
      <c r="EH162" s="47"/>
      <c r="EI162" s="47"/>
      <c r="EJ162" s="47"/>
      <c r="EK162" s="47"/>
      <c r="EL162" s="47"/>
    </row>
    <row r="163" spans="1:142">
      <c r="A163" s="255" t="s">
        <v>155</v>
      </c>
      <c r="B163" s="251" t="s">
        <v>1331</v>
      </c>
      <c r="C163" s="254" t="s">
        <v>75</v>
      </c>
      <c r="D163" s="251"/>
      <c r="E163" s="251"/>
      <c r="F163" s="253"/>
      <c r="G163" s="253"/>
      <c r="H163" s="253"/>
      <c r="I163" s="254"/>
      <c r="J163" s="254"/>
      <c r="K163" s="105"/>
      <c r="L163" s="105"/>
      <c r="M163" s="48"/>
      <c r="N163" s="105"/>
      <c r="O163" s="255" t="s">
        <v>156</v>
      </c>
      <c r="P163" s="261">
        <v>3</v>
      </c>
      <c r="Q163" s="261">
        <v>0</v>
      </c>
      <c r="R163" s="261">
        <v>0</v>
      </c>
      <c r="S163" s="262" t="s">
        <v>135</v>
      </c>
      <c r="T163" s="263" t="s">
        <v>673</v>
      </c>
      <c r="U163" s="105"/>
      <c r="V163" s="259" t="s">
        <v>12</v>
      </c>
      <c r="W163" s="105" t="s">
        <v>656</v>
      </c>
      <c r="X163" s="105" t="s">
        <v>22</v>
      </c>
      <c r="Y163" s="105" t="s">
        <v>86</v>
      </c>
      <c r="Z163" s="105" t="s">
        <v>13</v>
      </c>
      <c r="AA163" s="105" t="s">
        <v>75</v>
      </c>
      <c r="AB163" s="105" t="s">
        <v>75</v>
      </c>
      <c r="AC163" s="105" t="s">
        <v>75</v>
      </c>
      <c r="AD163" s="105"/>
      <c r="AE163" s="105"/>
      <c r="AF163" s="105"/>
      <c r="AG163" s="105"/>
      <c r="AH163" s="115" t="s">
        <v>690</v>
      </c>
      <c r="AI163" s="115"/>
      <c r="AJ163" s="115"/>
      <c r="AK163" s="105"/>
      <c r="AL163" s="115"/>
      <c r="AM163" s="115"/>
      <c r="AN163" s="115"/>
      <c r="AO163" s="260">
        <f>Tabelle4[[#This Row],[Kredit-  / Budgetsumme
(RADAR: Gesamtkosten S)]]-Tabelle4[[#This Row],[Netto-Ausgaben Vorjahre ]]</f>
        <v>0</v>
      </c>
      <c r="AP163" s="310"/>
      <c r="AQ163" s="311"/>
      <c r="AR163" s="115">
        <f>Tabelle4[[#This Row],[Kreditrest per 1.1. aktuelles Jahr]]-Tabelle4[[#This Row],[Prognose 2018
(RADAR: Kosten 2018 S)]]</f>
        <v>0</v>
      </c>
      <c r="AS163" s="115"/>
      <c r="AT163" s="311"/>
      <c r="AU163" s="115"/>
      <c r="AV163" s="311"/>
      <c r="AW163" s="115"/>
      <c r="AX163" s="311"/>
      <c r="AY163" s="115"/>
      <c r="AZ163" s="311"/>
      <c r="BA163" s="115"/>
      <c r="BB163" s="311"/>
      <c r="BC163" s="115"/>
      <c r="BD163" s="311"/>
      <c r="BE163" s="115"/>
      <c r="BF163" s="311"/>
      <c r="BG163" s="115"/>
      <c r="BH163" s="311"/>
      <c r="BI163" s="115"/>
      <c r="BJ163" s="115"/>
      <c r="BK163" s="264"/>
      <c r="BL163" s="105"/>
      <c r="BM163" s="106">
        <v>20</v>
      </c>
      <c r="BN163" s="106">
        <v>20</v>
      </c>
      <c r="BO163" s="106">
        <v>20</v>
      </c>
      <c r="BP163" s="106"/>
      <c r="BQ163" s="106"/>
      <c r="BR163" s="106"/>
      <c r="BS163" s="106"/>
      <c r="BT163" s="108">
        <f>SUM(Tabelle4[[#This Row],[Projektverantwortung
(Lenkungsausschuss) ]:[Kommunikation ]])</f>
        <v>60</v>
      </c>
      <c r="BU163" s="105"/>
      <c r="BV163" s="106">
        <v>20</v>
      </c>
      <c r="BW163" s="106">
        <v>20</v>
      </c>
      <c r="BX163" s="106">
        <v>20</v>
      </c>
      <c r="BY163" s="106"/>
      <c r="BZ163" s="106"/>
      <c r="CA163" s="106"/>
      <c r="CB163" s="106"/>
      <c r="CC163" s="108">
        <f>SUM(Tabelle4[[#This Row],[Projektverantwortung
(Lenkungsausschuss)   ]:[Kommunikation   ]])</f>
        <v>60</v>
      </c>
      <c r="CD163" s="105"/>
      <c r="CE163" s="106">
        <v>20</v>
      </c>
      <c r="CF163" s="106">
        <v>20</v>
      </c>
      <c r="CG163" s="106">
        <v>20</v>
      </c>
      <c r="CH163" s="106"/>
      <c r="CI163" s="106"/>
      <c r="CJ163" s="106"/>
      <c r="CK163" s="106"/>
      <c r="CL163" s="108">
        <f>SUM(Tabelle4[[#This Row],[Projektverantwortung
(Lenkungsausschuss).]:[Kommunikation    ]])</f>
        <v>60</v>
      </c>
      <c r="CM163" s="105"/>
      <c r="CN163" s="106">
        <v>20</v>
      </c>
      <c r="CO163" s="106">
        <v>20</v>
      </c>
      <c r="CP163" s="106">
        <v>20</v>
      </c>
      <c r="CQ163" s="106"/>
      <c r="CR163" s="106"/>
      <c r="CS163" s="106"/>
      <c r="CT163" s="106"/>
      <c r="CU163" s="108">
        <f>SUM(Tabelle4[[#This Row],[Projektverantwortung
(Lenkungsausschuss)    ]:[Kommunikation     ]])</f>
        <v>60</v>
      </c>
      <c r="CV163" s="107">
        <f>SUM(Tabelle4[[#This Row],[Total Aufwand
1. Quartal 2018]],Tabelle4[[#This Row],[Total Aufwand
2. Quartal 2018]],Tabelle4[[#This Row],[Total Aufwand
3. Quartal 2018]],Tabelle4[[#This Row],[Total Aufwand
4. Quartal 2018]])</f>
        <v>240</v>
      </c>
      <c r="CW163" s="105"/>
      <c r="CX163" s="105"/>
      <c r="CY163" s="105"/>
      <c r="CZ163" s="105"/>
      <c r="DA163" s="105"/>
      <c r="DB163" s="105"/>
      <c r="DC163" s="105"/>
      <c r="DD163" s="105"/>
      <c r="DE163" s="107">
        <f>SUM(Tabelle4[[#This Row],[Aufwand ]],Tabelle4[[#This Row],[Aufwand 2]],Tabelle4[[#This Row],[Aufwand 3]],Tabelle4[[#This Row],[Aufwand 4]])</f>
        <v>0</v>
      </c>
      <c r="DF163" s="105"/>
      <c r="DG163" s="105"/>
      <c r="DH163" s="105"/>
      <c r="DI163" s="105"/>
      <c r="DJ163" s="105"/>
      <c r="DK163" s="105"/>
      <c r="DL163" s="105"/>
      <c r="DM163" s="105"/>
      <c r="DN163" s="107">
        <f>SUM(Tabelle4[[#This Row],[Aufwand  ]],Tabelle4[[#This Row],[Aufwand  2]],Tabelle4[[#This Row],[Aufwand  3]],Tabelle4[[#This Row],[Aufwand  4]])</f>
        <v>0</v>
      </c>
      <c r="DO163" s="105"/>
      <c r="DP163" s="105"/>
      <c r="DQ163" s="105"/>
      <c r="DR163" s="105"/>
      <c r="DS163" s="105"/>
      <c r="DT163" s="105"/>
      <c r="DU163" s="105"/>
      <c r="DV163" s="105"/>
      <c r="DW163" s="107">
        <f>SUM(Tabelle4[[#This Row],[Aufwand   ]],Tabelle4[[#This Row],[Aufwand   2]],Tabelle4[[#This Row],[Aufwand   3]],Tabelle4[[#This Row],[Aufwand   4]])</f>
        <v>0</v>
      </c>
      <c r="DX163" s="105"/>
      <c r="DY163" s="105"/>
      <c r="DZ163" s="105"/>
      <c r="EA163" s="105"/>
      <c r="EB163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240</v>
      </c>
      <c r="EC163" s="122">
        <f>Tabelle4[[#This Row],[Gesamaufwand]]/2000</f>
        <v>0.12</v>
      </c>
      <c r="ED163" s="47"/>
      <c r="EE163" s="47"/>
      <c r="EF163" s="47"/>
      <c r="EG163" s="47"/>
      <c r="EH163" s="47"/>
      <c r="EI163" s="47"/>
      <c r="EJ163" s="47"/>
      <c r="EK163" s="47"/>
      <c r="EL163" s="47"/>
    </row>
    <row r="164" spans="1:142">
      <c r="A164" s="248" t="s">
        <v>870</v>
      </c>
      <c r="B164" s="249" t="s">
        <v>105</v>
      </c>
      <c r="C164" s="250"/>
      <c r="D164" s="249"/>
      <c r="E164" s="249"/>
      <c r="F164" s="252"/>
      <c r="G164" s="252"/>
      <c r="H164" s="252"/>
      <c r="I164" s="250"/>
      <c r="J164" s="250"/>
      <c r="K164" s="110"/>
      <c r="L164" s="110"/>
      <c r="M164" s="77"/>
      <c r="N164" s="110"/>
      <c r="O164" s="248"/>
      <c r="P164" s="256"/>
      <c r="Q164" s="256"/>
      <c r="R164" s="256"/>
      <c r="S164" s="257"/>
      <c r="T164" s="258"/>
      <c r="U164" s="110"/>
      <c r="V164" s="266" t="s">
        <v>12</v>
      </c>
      <c r="W164" s="110" t="s">
        <v>656</v>
      </c>
      <c r="X164" s="110" t="s">
        <v>22</v>
      </c>
      <c r="Y164" s="110" t="s">
        <v>690</v>
      </c>
      <c r="Z164" s="110" t="s">
        <v>690</v>
      </c>
      <c r="AA164" s="110" t="s">
        <v>690</v>
      </c>
      <c r="AB164" s="110" t="s">
        <v>690</v>
      </c>
      <c r="AC164" s="110" t="s">
        <v>690</v>
      </c>
      <c r="AD164" s="110"/>
      <c r="AE164" s="110"/>
      <c r="AF164" s="110"/>
      <c r="AG164" s="110"/>
      <c r="AH164" s="115" t="s">
        <v>1087</v>
      </c>
      <c r="AI164" s="260"/>
      <c r="AJ164" s="260"/>
      <c r="AK164" s="110"/>
      <c r="AL164" s="260"/>
      <c r="AM164" s="260"/>
      <c r="AN164" s="260"/>
      <c r="AO164" s="260"/>
      <c r="AP164" s="310"/>
      <c r="AQ164" s="310">
        <v>6500</v>
      </c>
      <c r="AR164" s="260"/>
      <c r="AS164" s="260"/>
      <c r="AT164" s="310"/>
      <c r="AU164" s="260"/>
      <c r="AV164" s="310"/>
      <c r="AW164" s="260"/>
      <c r="AX164" s="310"/>
      <c r="AY164" s="260"/>
      <c r="AZ164" s="310"/>
      <c r="BA164" s="260"/>
      <c r="BB164" s="310"/>
      <c r="BC164" s="260"/>
      <c r="BD164" s="310"/>
      <c r="BE164" s="260"/>
      <c r="BF164" s="310"/>
      <c r="BG164" s="260"/>
      <c r="BH164" s="310"/>
      <c r="BI164" s="260"/>
      <c r="BJ164" s="260"/>
      <c r="BK164" s="260"/>
      <c r="BL164" s="110"/>
      <c r="BM164" s="111"/>
      <c r="BN164" s="111"/>
      <c r="BO164" s="111"/>
      <c r="BP164" s="111"/>
      <c r="BQ164" s="111"/>
      <c r="BR164" s="111"/>
      <c r="BS164" s="111"/>
      <c r="BT164" s="113">
        <f>SUM(Tabelle4[[#This Row],[Projektverantwortung
(Lenkungsausschuss) ]:[Kommunikation ]])</f>
        <v>0</v>
      </c>
      <c r="BU164" s="113"/>
      <c r="BV164" s="114"/>
      <c r="BW164" s="114"/>
      <c r="BX164" s="114"/>
      <c r="BY164" s="114"/>
      <c r="BZ164" s="114"/>
      <c r="CA164" s="114"/>
      <c r="CB164" s="114"/>
      <c r="CC164" s="113">
        <f>SUM(Tabelle4[[#This Row],[Projektverantwortung
(Lenkungsausschuss)   ]:[Kommunikation   ]])</f>
        <v>0</v>
      </c>
      <c r="CD164" s="113"/>
      <c r="CE164" s="114"/>
      <c r="CF164" s="114"/>
      <c r="CG164" s="114"/>
      <c r="CH164" s="114"/>
      <c r="CI164" s="114"/>
      <c r="CJ164" s="114"/>
      <c r="CK164" s="114"/>
      <c r="CL164" s="113">
        <f>SUM(Tabelle4[[#This Row],[Projektverantwortung
(Lenkungsausschuss).]:[Kommunikation    ]])</f>
        <v>0</v>
      </c>
      <c r="CM164" s="113"/>
      <c r="CN164" s="114"/>
      <c r="CO164" s="114"/>
      <c r="CP164" s="114"/>
      <c r="CQ164" s="114"/>
      <c r="CR164" s="114"/>
      <c r="CS164" s="114"/>
      <c r="CT164" s="114"/>
      <c r="CU164" s="113">
        <f>SUM(Tabelle4[[#This Row],[Projektverantwortung
(Lenkungsausschuss)    ]:[Kommunikation     ]])</f>
        <v>0</v>
      </c>
      <c r="CV164" s="112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164" s="110"/>
      <c r="CX164" s="110"/>
      <c r="CY164" s="142"/>
      <c r="CZ164" s="110"/>
      <c r="DA164" s="142"/>
      <c r="DB164" s="110"/>
      <c r="DC164" s="142"/>
      <c r="DD164" s="110"/>
      <c r="DE164" s="112">
        <f>SUM(Tabelle4[[#This Row],[Aufwand ]],Tabelle4[[#This Row],[Aufwand 2]],Tabelle4[[#This Row],[Aufwand 3]],Tabelle4[[#This Row],[Aufwand 4]])</f>
        <v>0</v>
      </c>
      <c r="DF164" s="142"/>
      <c r="DG164" s="110"/>
      <c r="DH164" s="110"/>
      <c r="DI164" s="142"/>
      <c r="DJ164" s="110"/>
      <c r="DK164" s="142"/>
      <c r="DL164" s="110"/>
      <c r="DM164" s="142"/>
      <c r="DN164" s="112">
        <f>SUM(Tabelle4[[#This Row],[Aufwand  ]],Tabelle4[[#This Row],[Aufwand  2]],Tabelle4[[#This Row],[Aufwand  3]],Tabelle4[[#This Row],[Aufwand  4]])</f>
        <v>0</v>
      </c>
      <c r="DO164" s="142"/>
      <c r="DP164" s="142"/>
      <c r="DQ164" s="142"/>
      <c r="DR164" s="110"/>
      <c r="DS164" s="110"/>
      <c r="DT164" s="142"/>
      <c r="DU164" s="110"/>
      <c r="DV164" s="142"/>
      <c r="DW164" s="112" t="e">
        <f>#REF!</f>
        <v>#REF!</v>
      </c>
      <c r="DX164" s="142"/>
      <c r="DY164" s="143"/>
      <c r="DZ164" s="110"/>
      <c r="EA164" s="157"/>
      <c r="EB164" s="158" t="e">
        <f>#REF!</f>
        <v>#REF!</v>
      </c>
      <c r="EC164" s="159"/>
      <c r="ED164" s="47"/>
      <c r="EE164" s="47"/>
      <c r="EF164" s="47"/>
      <c r="EG164" s="47"/>
      <c r="EH164" s="47"/>
      <c r="EI164" s="47"/>
      <c r="EJ164" s="47"/>
      <c r="EK164" s="47"/>
      <c r="EL164" s="47"/>
    </row>
    <row r="165" spans="1:142">
      <c r="A165" s="255" t="s">
        <v>1081</v>
      </c>
      <c r="B165" s="251"/>
      <c r="C165" s="254"/>
      <c r="D165" s="251" t="s">
        <v>914</v>
      </c>
      <c r="E165" s="251" t="s">
        <v>859</v>
      </c>
      <c r="F165" s="253">
        <v>2</v>
      </c>
      <c r="G165" s="253">
        <v>1</v>
      </c>
      <c r="H165" s="253"/>
      <c r="I165" s="254" t="s">
        <v>95</v>
      </c>
      <c r="J165" s="254"/>
      <c r="K165" s="105"/>
      <c r="L165" s="105"/>
      <c r="M165" s="48"/>
      <c r="N165" s="105"/>
      <c r="O165" s="255" t="s">
        <v>190</v>
      </c>
      <c r="P165" s="261">
        <v>4</v>
      </c>
      <c r="Q165" s="261">
        <v>0</v>
      </c>
      <c r="R165" s="261">
        <v>1</v>
      </c>
      <c r="S165" s="262" t="s">
        <v>146</v>
      </c>
      <c r="T165" s="263" t="s">
        <v>673</v>
      </c>
      <c r="U165" s="105"/>
      <c r="V165" s="259" t="s">
        <v>12</v>
      </c>
      <c r="W165" s="105" t="s">
        <v>8</v>
      </c>
      <c r="X165" s="105" t="s">
        <v>10</v>
      </c>
      <c r="Y165" s="105"/>
      <c r="Z165" s="105" t="s">
        <v>82</v>
      </c>
      <c r="AA165" s="105"/>
      <c r="AB165" s="105"/>
      <c r="AC165" s="105"/>
      <c r="AD165" s="105"/>
      <c r="AE165" s="105"/>
      <c r="AF165" s="105"/>
      <c r="AG165" s="105"/>
      <c r="AH165" s="115" t="s">
        <v>1092</v>
      </c>
      <c r="AI165" s="115"/>
      <c r="AJ165" s="115"/>
      <c r="AK165" s="105"/>
      <c r="AL165" s="115"/>
      <c r="AM165" s="115"/>
      <c r="AN165" s="115"/>
      <c r="AO165" s="115"/>
      <c r="AP165" s="311"/>
      <c r="AQ165" s="311">
        <v>7000</v>
      </c>
      <c r="AR165" s="115"/>
      <c r="AS165" s="115"/>
      <c r="AT165" s="311">
        <v>2000</v>
      </c>
      <c r="AU165" s="115"/>
      <c r="AV165" s="311">
        <v>2000</v>
      </c>
      <c r="AW165" s="115"/>
      <c r="AX165" s="311">
        <v>2000</v>
      </c>
      <c r="AY165" s="115"/>
      <c r="AZ165" s="311">
        <v>2000</v>
      </c>
      <c r="BA165" s="115"/>
      <c r="BB165" s="311">
        <v>2000</v>
      </c>
      <c r="BC165" s="115"/>
      <c r="BD165" s="311">
        <v>2000</v>
      </c>
      <c r="BE165" s="115"/>
      <c r="BF165" s="311">
        <v>2000</v>
      </c>
      <c r="BG165" s="115"/>
      <c r="BH165" s="311">
        <v>2000</v>
      </c>
      <c r="BI165" s="115"/>
      <c r="BJ165" s="115"/>
      <c r="BK165" s="115"/>
      <c r="BL165" s="105"/>
      <c r="BM165" s="106"/>
      <c r="BN165" s="106"/>
      <c r="BO165" s="106"/>
      <c r="BP165" s="106"/>
      <c r="BQ165" s="106"/>
      <c r="BR165" s="106"/>
      <c r="BS165" s="106"/>
      <c r="BT165" s="108">
        <f>SUM(Tabelle4[[#This Row],[Projektverantwortung
(Lenkungsausschuss) ]:[Kommunikation ]])</f>
        <v>0</v>
      </c>
      <c r="BU165" s="108"/>
      <c r="BV165" s="151"/>
      <c r="BW165" s="151"/>
      <c r="BX165" s="151"/>
      <c r="BY165" s="151"/>
      <c r="BZ165" s="151"/>
      <c r="CA165" s="151"/>
      <c r="CB165" s="151"/>
      <c r="CC165" s="108">
        <f>SUM(Tabelle4[[#This Row],[Projektverantwortung
(Lenkungsausschuss)   ]:[Kommunikation   ]])</f>
        <v>0</v>
      </c>
      <c r="CD165" s="108"/>
      <c r="CE165" s="151"/>
      <c r="CF165" s="151"/>
      <c r="CG165" s="151"/>
      <c r="CH165" s="151"/>
      <c r="CI165" s="151"/>
      <c r="CJ165" s="151"/>
      <c r="CK165" s="151"/>
      <c r="CL165" s="108">
        <f>SUM(Tabelle4[[#This Row],[Projektverantwortung
(Lenkungsausschuss).]:[Kommunikation    ]])</f>
        <v>0</v>
      </c>
      <c r="CM165" s="108"/>
      <c r="CN165" s="151"/>
      <c r="CO165" s="151"/>
      <c r="CP165" s="151"/>
      <c r="CQ165" s="151"/>
      <c r="CR165" s="151"/>
      <c r="CS165" s="151"/>
      <c r="CT165" s="151"/>
      <c r="CU165" s="108">
        <f>SUM(Tabelle4[[#This Row],[Projektverantwortung
(Lenkungsausschuss)    ]:[Kommunikation     ]])</f>
        <v>0</v>
      </c>
      <c r="CV165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165" s="105"/>
      <c r="CX165" s="105"/>
      <c r="CY165" s="116"/>
      <c r="CZ165" s="105"/>
      <c r="DA165" s="116"/>
      <c r="DB165" s="105"/>
      <c r="DC165" s="116"/>
      <c r="DD165" s="105"/>
      <c r="DE165" s="107">
        <f>SUM(Tabelle4[[#This Row],[Aufwand ]],Tabelle4[[#This Row],[Aufwand 2]],Tabelle4[[#This Row],[Aufwand 3]],Tabelle4[[#This Row],[Aufwand 4]])</f>
        <v>0</v>
      </c>
      <c r="DF165" s="116"/>
      <c r="DG165" s="105"/>
      <c r="DH165" s="105"/>
      <c r="DI165" s="116"/>
      <c r="DJ165" s="105"/>
      <c r="DK165" s="116"/>
      <c r="DL165" s="105"/>
      <c r="DM165" s="116"/>
      <c r="DN165" s="107">
        <f>SUM(Tabelle4[[#This Row],[Aufwand  ]],Tabelle4[[#This Row],[Aufwand  2]],Tabelle4[[#This Row],[Aufwand  3]],Tabelle4[[#This Row],[Aufwand  4]])</f>
        <v>0</v>
      </c>
      <c r="DO165" s="116"/>
      <c r="DP165" s="116"/>
      <c r="DQ165" s="116"/>
      <c r="DR165" s="105"/>
      <c r="DS165" s="105"/>
      <c r="DT165" s="116"/>
      <c r="DU165" s="105"/>
      <c r="DV165" s="116"/>
      <c r="DW165" s="107" t="e">
        <f>#REF!</f>
        <v>#REF!</v>
      </c>
      <c r="DX165" s="116"/>
      <c r="DY165" s="152"/>
      <c r="DZ165" s="105"/>
      <c r="EA165" s="180"/>
      <c r="EB165" s="181" t="e">
        <f>#REF!</f>
        <v>#REF!</v>
      </c>
      <c r="EC165" s="109"/>
      <c r="ED165" s="48"/>
      <c r="EE165" s="48"/>
      <c r="EF165" s="48"/>
      <c r="EG165" s="48"/>
      <c r="EH165" s="48"/>
      <c r="EI165" s="47"/>
      <c r="EJ165" s="47"/>
      <c r="EK165" s="47"/>
      <c r="EL165" s="47"/>
    </row>
    <row r="166" spans="1:142">
      <c r="A166" s="255" t="s">
        <v>189</v>
      </c>
      <c r="B166" s="251" t="s">
        <v>105</v>
      </c>
      <c r="C166" s="254" t="s">
        <v>75</v>
      </c>
      <c r="D166" s="251" t="s">
        <v>913</v>
      </c>
      <c r="E166" s="251" t="s">
        <v>635</v>
      </c>
      <c r="F166" s="253">
        <v>1</v>
      </c>
      <c r="G166" s="253">
        <v>2</v>
      </c>
      <c r="H166" s="253"/>
      <c r="I166" s="254" t="s">
        <v>95</v>
      </c>
      <c r="J166" s="254"/>
      <c r="K166" s="105"/>
      <c r="L166" s="105"/>
      <c r="M166" s="48"/>
      <c r="N166" s="105"/>
      <c r="O166" s="255" t="s">
        <v>190</v>
      </c>
      <c r="P166" s="261">
        <v>2</v>
      </c>
      <c r="Q166" s="261">
        <v>0</v>
      </c>
      <c r="R166" s="261">
        <v>0</v>
      </c>
      <c r="S166" s="262" t="s">
        <v>191</v>
      </c>
      <c r="T166" s="263" t="s">
        <v>75</v>
      </c>
      <c r="U166" s="105"/>
      <c r="V166" s="259" t="s">
        <v>609</v>
      </c>
      <c r="W166" s="105" t="s">
        <v>8</v>
      </c>
      <c r="X166" s="105" t="s">
        <v>10</v>
      </c>
      <c r="Y166" s="105" t="s">
        <v>75</v>
      </c>
      <c r="Z166" s="105" t="s">
        <v>10</v>
      </c>
      <c r="AA166" s="105" t="s">
        <v>75</v>
      </c>
      <c r="AB166" s="105" t="s">
        <v>75</v>
      </c>
      <c r="AC166" s="105" t="s">
        <v>75</v>
      </c>
      <c r="AD166" s="105"/>
      <c r="AE166" s="105"/>
      <c r="AF166" s="105"/>
      <c r="AG166" s="105"/>
      <c r="AH166" s="115" t="s">
        <v>621</v>
      </c>
      <c r="AI166" s="115"/>
      <c r="AJ166" s="115"/>
      <c r="AK166" s="105"/>
      <c r="AL166" s="115"/>
      <c r="AM166" s="115"/>
      <c r="AN166" s="115"/>
      <c r="AO166" s="260">
        <f>Tabelle4[[#This Row],[Kredit-  / Budgetsumme
(RADAR: Gesamtkosten S)]]-Tabelle4[[#This Row],[Netto-Ausgaben Vorjahre ]]</f>
        <v>0</v>
      </c>
      <c r="AP166" s="310"/>
      <c r="AQ166" s="311"/>
      <c r="AR166" s="115">
        <f>Tabelle4[[#This Row],[Kreditrest per 1.1. aktuelles Jahr]]-Tabelle4[[#This Row],[Prognose 2018
(RADAR: Kosten 2018 S)]]</f>
        <v>0</v>
      </c>
      <c r="AS166" s="115"/>
      <c r="AT166" s="311"/>
      <c r="AU166" s="115"/>
      <c r="AV166" s="311"/>
      <c r="AW166" s="115"/>
      <c r="AX166" s="311"/>
      <c r="AY166" s="115"/>
      <c r="AZ166" s="311"/>
      <c r="BA166" s="115"/>
      <c r="BB166" s="311"/>
      <c r="BC166" s="115"/>
      <c r="BD166" s="311"/>
      <c r="BE166" s="115"/>
      <c r="BF166" s="311"/>
      <c r="BG166" s="115"/>
      <c r="BH166" s="311"/>
      <c r="BI166" s="115"/>
      <c r="BJ166" s="115"/>
      <c r="BK166" s="264"/>
      <c r="BL166" s="105"/>
      <c r="BM166" s="106"/>
      <c r="BN166" s="106"/>
      <c r="BO166" s="106"/>
      <c r="BP166" s="106"/>
      <c r="BQ166" s="106"/>
      <c r="BR166" s="106"/>
      <c r="BS166" s="106"/>
      <c r="BT166" s="108">
        <f>SUM(Tabelle4[[#This Row],[Projektverantwortung
(Lenkungsausschuss) ]:[Kommunikation ]])</f>
        <v>0</v>
      </c>
      <c r="BU166" s="105"/>
      <c r="BV166" s="106"/>
      <c r="BW166" s="106"/>
      <c r="BX166" s="106"/>
      <c r="BY166" s="106"/>
      <c r="BZ166" s="106"/>
      <c r="CA166" s="106"/>
      <c r="CB166" s="106"/>
      <c r="CC166" s="108">
        <f>SUM(Tabelle4[[#This Row],[Projektverantwortung
(Lenkungsausschuss)   ]:[Kommunikation   ]])</f>
        <v>0</v>
      </c>
      <c r="CD166" s="105"/>
      <c r="CE166" s="106"/>
      <c r="CF166" s="106"/>
      <c r="CG166" s="106"/>
      <c r="CH166" s="106"/>
      <c r="CI166" s="106"/>
      <c r="CJ166" s="106"/>
      <c r="CK166" s="106"/>
      <c r="CL166" s="108">
        <f>SUM(Tabelle4[[#This Row],[Projektverantwortung
(Lenkungsausschuss).]:[Kommunikation    ]])</f>
        <v>0</v>
      </c>
      <c r="CM166" s="105"/>
      <c r="CN166" s="106"/>
      <c r="CO166" s="106"/>
      <c r="CP166" s="106"/>
      <c r="CQ166" s="106"/>
      <c r="CR166" s="106"/>
      <c r="CS166" s="106"/>
      <c r="CT166" s="106"/>
      <c r="CU166" s="108">
        <f>SUM(Tabelle4[[#This Row],[Projektverantwortung
(Lenkungsausschuss)    ]:[Kommunikation     ]])</f>
        <v>0</v>
      </c>
      <c r="CV166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166" s="105"/>
      <c r="CX166" s="105"/>
      <c r="CY166" s="105"/>
      <c r="CZ166" s="105"/>
      <c r="DA166" s="105"/>
      <c r="DB166" s="105"/>
      <c r="DC166" s="105"/>
      <c r="DD166" s="105"/>
      <c r="DE166" s="107">
        <f>SUM(Tabelle4[[#This Row],[Aufwand ]],Tabelle4[[#This Row],[Aufwand 2]],Tabelle4[[#This Row],[Aufwand 3]],Tabelle4[[#This Row],[Aufwand 4]])</f>
        <v>0</v>
      </c>
      <c r="DF166" s="105"/>
      <c r="DG166" s="105"/>
      <c r="DH166" s="105"/>
      <c r="DI166" s="105"/>
      <c r="DJ166" s="105"/>
      <c r="DK166" s="105"/>
      <c r="DL166" s="105"/>
      <c r="DM166" s="105"/>
      <c r="DN166" s="107">
        <f>SUM(Tabelle4[[#This Row],[Aufwand  ]],Tabelle4[[#This Row],[Aufwand  2]],Tabelle4[[#This Row],[Aufwand  3]],Tabelle4[[#This Row],[Aufwand  4]])</f>
        <v>0</v>
      </c>
      <c r="DO166" s="105"/>
      <c r="DP166" s="105"/>
      <c r="DQ166" s="105"/>
      <c r="DR166" s="105"/>
      <c r="DS166" s="105"/>
      <c r="DT166" s="105"/>
      <c r="DU166" s="105"/>
      <c r="DV166" s="105"/>
      <c r="DW166" s="107">
        <f>SUM(Tabelle4[[#This Row],[Aufwand   ]],Tabelle4[[#This Row],[Aufwand   2]],Tabelle4[[#This Row],[Aufwand   3]],Tabelle4[[#This Row],[Aufwand   4]])</f>
        <v>0</v>
      </c>
      <c r="DX166" s="105"/>
      <c r="DY166" s="105"/>
      <c r="DZ166" s="105"/>
      <c r="EA166" s="105"/>
      <c r="EB166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166" s="122">
        <f>Tabelle4[[#This Row],[Gesamaufwand]]/2000</f>
        <v>0</v>
      </c>
      <c r="ED166" s="48"/>
      <c r="EE166" s="48"/>
      <c r="EF166" s="48"/>
      <c r="EG166" s="48"/>
      <c r="EH166" s="48"/>
      <c r="EI166" s="47"/>
      <c r="EJ166" s="47"/>
      <c r="EK166" s="47"/>
      <c r="EL166" s="47"/>
    </row>
    <row r="167" spans="1:142">
      <c r="A167" s="248" t="s">
        <v>848</v>
      </c>
      <c r="B167" s="249" t="s">
        <v>105</v>
      </c>
      <c r="C167" s="250"/>
      <c r="D167" s="251" t="s">
        <v>913</v>
      </c>
      <c r="E167" s="249" t="s">
        <v>635</v>
      </c>
      <c r="F167" s="252">
        <v>2</v>
      </c>
      <c r="G167" s="252">
        <v>1</v>
      </c>
      <c r="H167" s="252"/>
      <c r="I167" s="250" t="s">
        <v>95</v>
      </c>
      <c r="J167" s="250"/>
      <c r="K167" s="110"/>
      <c r="L167" s="110"/>
      <c r="M167" s="77"/>
      <c r="N167" s="110"/>
      <c r="O167" s="255" t="s">
        <v>190</v>
      </c>
      <c r="P167" s="256"/>
      <c r="Q167" s="256"/>
      <c r="R167" s="256"/>
      <c r="S167" s="257"/>
      <c r="T167" s="258"/>
      <c r="U167" s="110"/>
      <c r="V167" s="259" t="s">
        <v>609</v>
      </c>
      <c r="W167" s="105" t="s">
        <v>656</v>
      </c>
      <c r="X167" s="105" t="s">
        <v>22</v>
      </c>
      <c r="Y167" s="110"/>
      <c r="Z167" s="110"/>
      <c r="AA167" s="110"/>
      <c r="AB167" s="110"/>
      <c r="AC167" s="110"/>
      <c r="AD167" s="105"/>
      <c r="AE167" s="110"/>
      <c r="AF167" s="110"/>
      <c r="AG167" s="110"/>
      <c r="AH167" s="115" t="s">
        <v>798</v>
      </c>
      <c r="AI167" s="260"/>
      <c r="AJ167" s="260"/>
      <c r="AK167" s="110"/>
      <c r="AL167" s="260">
        <v>500000</v>
      </c>
      <c r="AM167" s="260"/>
      <c r="AN167" s="260"/>
      <c r="AO167" s="260">
        <f>Tabelle4[[#This Row],[Kredit-  / Budgetsumme
(RADAR: Gesamtkosten S)]]-Tabelle4[[#This Row],[Netto-Ausgaben Vorjahre ]]</f>
        <v>500000</v>
      </c>
      <c r="AP167" s="310"/>
      <c r="AQ167" s="310"/>
      <c r="AR167" s="260">
        <f>Tabelle4[[#This Row],[Kreditrest per 1.1. aktuelles Jahr]]-Tabelle4[[#This Row],[Prognose 2018
(RADAR: Kosten 2018 S)]]</f>
        <v>500000</v>
      </c>
      <c r="AS167" s="260"/>
      <c r="AT167" s="310">
        <v>50000</v>
      </c>
      <c r="AU167" s="260"/>
      <c r="AV167" s="310">
        <v>250000</v>
      </c>
      <c r="AW167" s="260"/>
      <c r="AX167" s="310">
        <v>200000</v>
      </c>
      <c r="AY167" s="260"/>
      <c r="AZ167" s="310"/>
      <c r="BA167" s="260"/>
      <c r="BB167" s="310"/>
      <c r="BC167" s="260"/>
      <c r="BD167" s="310"/>
      <c r="BE167" s="260"/>
      <c r="BF167" s="310"/>
      <c r="BG167" s="260"/>
      <c r="BH167" s="310"/>
      <c r="BI167" s="260"/>
      <c r="BJ167" s="260"/>
      <c r="BK167" s="260"/>
      <c r="BL167" s="105"/>
      <c r="BM167" s="111"/>
      <c r="BN167" s="111"/>
      <c r="BO167" s="111"/>
      <c r="BP167" s="111"/>
      <c r="BQ167" s="111"/>
      <c r="BR167" s="111"/>
      <c r="BS167" s="111"/>
      <c r="BT167" s="113">
        <f>SUM(Tabelle4[[#This Row],[Projektverantwortung
(Lenkungsausschuss) ]:[Kommunikation ]])</f>
        <v>0</v>
      </c>
      <c r="BU167" s="113"/>
      <c r="BV167" s="106"/>
      <c r="BW167" s="106"/>
      <c r="BX167" s="106"/>
      <c r="BY167" s="106"/>
      <c r="BZ167" s="106"/>
      <c r="CA167" s="106"/>
      <c r="CB167" s="106"/>
      <c r="CC167" s="113">
        <f>SUM(Tabelle4[[#This Row],[Projektverantwortung
(Lenkungsausschuss)   ]:[Kommunikation   ]])</f>
        <v>0</v>
      </c>
      <c r="CD167" s="113"/>
      <c r="CE167" s="114"/>
      <c r="CF167" s="114"/>
      <c r="CG167" s="114"/>
      <c r="CH167" s="114"/>
      <c r="CI167" s="114"/>
      <c r="CJ167" s="114"/>
      <c r="CK167" s="114"/>
      <c r="CL167" s="113">
        <f>SUM(Tabelle4[[#This Row],[Projektverantwortung
(Lenkungsausschuss).]:[Kommunikation    ]])</f>
        <v>0</v>
      </c>
      <c r="CM167" s="113"/>
      <c r="CN167" s="114"/>
      <c r="CO167" s="114"/>
      <c r="CP167" s="114"/>
      <c r="CQ167" s="114"/>
      <c r="CR167" s="114"/>
      <c r="CS167" s="114"/>
      <c r="CT167" s="114"/>
      <c r="CU167" s="113">
        <f>SUM(Tabelle4[[#This Row],[Projektverantwortung
(Lenkungsausschuss)    ]:[Kommunikation     ]])</f>
        <v>0</v>
      </c>
      <c r="CV167" s="112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167" s="105"/>
      <c r="CX167" s="105"/>
      <c r="CY167" s="105"/>
      <c r="CZ167" s="105"/>
      <c r="DA167" s="105"/>
      <c r="DB167" s="105"/>
      <c r="DC167" s="105"/>
      <c r="DD167" s="105"/>
      <c r="DE167" s="112">
        <f>SUM(Tabelle4[[#This Row],[Aufwand ]],Tabelle4[[#This Row],[Aufwand 2]],Tabelle4[[#This Row],[Aufwand 3]],Tabelle4[[#This Row],[Aufwand 4]])</f>
        <v>0</v>
      </c>
      <c r="DF167" s="142"/>
      <c r="DG167" s="110"/>
      <c r="DH167" s="110"/>
      <c r="DI167" s="142"/>
      <c r="DJ167" s="110"/>
      <c r="DK167" s="142"/>
      <c r="DL167" s="110"/>
      <c r="DM167" s="142"/>
      <c r="DN167" s="112">
        <f>SUM(Tabelle4[[#This Row],[Aufwand  ]],Tabelle4[[#This Row],[Aufwand  2]],Tabelle4[[#This Row],[Aufwand  3]],Tabelle4[[#This Row],[Aufwand  4]])</f>
        <v>0</v>
      </c>
      <c r="DO167" s="142"/>
      <c r="DP167" s="110"/>
      <c r="DQ167" s="110"/>
      <c r="DR167" s="142"/>
      <c r="DS167" s="110"/>
      <c r="DT167" s="142"/>
      <c r="DU167" s="110"/>
      <c r="DV167" s="142"/>
      <c r="DW167" s="107">
        <f>SUM(Tabelle4[[#This Row],[Aufwand   ]],Tabelle4[[#This Row],[Aufwand   2]],Tabelle4[[#This Row],[Aufwand   3]],Tabelle4[[#This Row],[Aufwand   4]])</f>
        <v>0</v>
      </c>
      <c r="DX167" s="142"/>
      <c r="DY167" s="143"/>
      <c r="DZ167" s="105"/>
      <c r="EA167" s="105"/>
      <c r="EB167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167" s="122">
        <f>Tabelle4[[#This Row],[Gesamaufwand]]/2000</f>
        <v>0</v>
      </c>
      <c r="ED167" s="48"/>
      <c r="EE167" s="48"/>
      <c r="EF167" s="48"/>
      <c r="EG167" s="48"/>
      <c r="EH167" s="48"/>
      <c r="EI167" s="47"/>
      <c r="EJ167" s="47"/>
      <c r="EK167" s="47"/>
      <c r="EL167" s="47"/>
    </row>
    <row r="168" spans="1:142">
      <c r="A168" s="255" t="s">
        <v>219</v>
      </c>
      <c r="B168" s="251" t="s">
        <v>75</v>
      </c>
      <c r="C168" s="254" t="s">
        <v>75</v>
      </c>
      <c r="D168" s="251" t="s">
        <v>914</v>
      </c>
      <c r="E168" s="251" t="s">
        <v>859</v>
      </c>
      <c r="F168" s="253">
        <v>1</v>
      </c>
      <c r="G168" s="253">
        <v>2</v>
      </c>
      <c r="H168" s="253"/>
      <c r="I168" s="254" t="s">
        <v>95</v>
      </c>
      <c r="J168" s="254"/>
      <c r="K168" s="105"/>
      <c r="L168" s="105"/>
      <c r="M168" s="48"/>
      <c r="N168" s="105"/>
      <c r="O168" s="255" t="s">
        <v>220</v>
      </c>
      <c r="P168" s="261">
        <v>5</v>
      </c>
      <c r="Q168" s="261">
        <v>0</v>
      </c>
      <c r="R168" s="261">
        <v>0</v>
      </c>
      <c r="S168" s="262" t="s">
        <v>221</v>
      </c>
      <c r="T168" s="263" t="s">
        <v>673</v>
      </c>
      <c r="U168" s="105"/>
      <c r="V168" s="259" t="s">
        <v>12</v>
      </c>
      <c r="W168" s="105" t="s">
        <v>8</v>
      </c>
      <c r="X168" s="105" t="s">
        <v>10</v>
      </c>
      <c r="Y168" s="105" t="s">
        <v>75</v>
      </c>
      <c r="Z168" s="105" t="s">
        <v>10</v>
      </c>
      <c r="AA168" s="105" t="s">
        <v>75</v>
      </c>
      <c r="AB168" s="105" t="s">
        <v>75</v>
      </c>
      <c r="AC168" s="105" t="s">
        <v>75</v>
      </c>
      <c r="AD168" s="105"/>
      <c r="AE168" s="105"/>
      <c r="AF168" s="105"/>
      <c r="AG168" s="105"/>
      <c r="AH168" s="115" t="s">
        <v>798</v>
      </c>
      <c r="AI168" s="115"/>
      <c r="AJ168" s="115"/>
      <c r="AK168" s="105"/>
      <c r="AL168" s="115"/>
      <c r="AM168" s="115"/>
      <c r="AN168" s="115"/>
      <c r="AO168" s="260"/>
      <c r="AP168" s="310"/>
      <c r="AQ168" s="311">
        <v>25000</v>
      </c>
      <c r="AR168" s="115"/>
      <c r="AS168" s="115"/>
      <c r="AT168" s="311">
        <v>25000</v>
      </c>
      <c r="AU168" s="115"/>
      <c r="AV168" s="311">
        <v>25000</v>
      </c>
      <c r="AW168" s="115"/>
      <c r="AX168" s="311">
        <v>25000</v>
      </c>
      <c r="AY168" s="115"/>
      <c r="AZ168" s="311">
        <v>25000</v>
      </c>
      <c r="BA168" s="115"/>
      <c r="BB168" s="311">
        <v>25000</v>
      </c>
      <c r="BC168" s="115"/>
      <c r="BD168" s="311">
        <v>25000</v>
      </c>
      <c r="BE168" s="115"/>
      <c r="BF168" s="311">
        <v>25000</v>
      </c>
      <c r="BG168" s="115"/>
      <c r="BH168" s="311">
        <v>25000</v>
      </c>
      <c r="BI168" s="115"/>
      <c r="BJ168" s="115"/>
      <c r="BK168" s="264"/>
      <c r="BL168" s="105"/>
      <c r="BM168" s="106"/>
      <c r="BN168" s="106"/>
      <c r="BO168" s="106"/>
      <c r="BP168" s="106"/>
      <c r="BQ168" s="106"/>
      <c r="BR168" s="106"/>
      <c r="BS168" s="106"/>
      <c r="BT168" s="108">
        <f>SUM(Tabelle4[[#This Row],[Projektverantwortung
(Lenkungsausschuss) ]:[Kommunikation ]])</f>
        <v>0</v>
      </c>
      <c r="BU168" s="105"/>
      <c r="BV168" s="106"/>
      <c r="BW168" s="106"/>
      <c r="BX168" s="106"/>
      <c r="BY168" s="106"/>
      <c r="BZ168" s="106"/>
      <c r="CA168" s="106"/>
      <c r="CB168" s="106"/>
      <c r="CC168" s="108">
        <f>SUM(Tabelle4[[#This Row],[Projektverantwortung
(Lenkungsausschuss)   ]:[Kommunikation   ]])</f>
        <v>0</v>
      </c>
      <c r="CD168" s="105"/>
      <c r="CE168" s="106"/>
      <c r="CF168" s="106"/>
      <c r="CG168" s="106"/>
      <c r="CH168" s="106"/>
      <c r="CI168" s="106"/>
      <c r="CJ168" s="106"/>
      <c r="CK168" s="106"/>
      <c r="CL168" s="108">
        <f>SUM(Tabelle4[[#This Row],[Projektverantwortung
(Lenkungsausschuss).]:[Kommunikation    ]])</f>
        <v>0</v>
      </c>
      <c r="CM168" s="105"/>
      <c r="CN168" s="106"/>
      <c r="CO168" s="106"/>
      <c r="CP168" s="106"/>
      <c r="CQ168" s="106"/>
      <c r="CR168" s="106"/>
      <c r="CS168" s="106"/>
      <c r="CT168" s="106"/>
      <c r="CU168" s="108">
        <f>SUM(Tabelle4[[#This Row],[Projektverantwortung
(Lenkungsausschuss)    ]:[Kommunikation     ]])</f>
        <v>0</v>
      </c>
      <c r="CV168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168" s="105"/>
      <c r="CX168" s="105"/>
      <c r="CY168" s="105"/>
      <c r="CZ168" s="105"/>
      <c r="DA168" s="105"/>
      <c r="DB168" s="105"/>
      <c r="DC168" s="105"/>
      <c r="DD168" s="105"/>
      <c r="DE168" s="107">
        <f>SUM(Tabelle4[[#This Row],[Aufwand ]],Tabelle4[[#This Row],[Aufwand 2]],Tabelle4[[#This Row],[Aufwand 3]],Tabelle4[[#This Row],[Aufwand 4]])</f>
        <v>0</v>
      </c>
      <c r="DF168" s="105"/>
      <c r="DG168" s="105"/>
      <c r="DH168" s="105"/>
      <c r="DI168" s="105"/>
      <c r="DJ168" s="105"/>
      <c r="DK168" s="105"/>
      <c r="DL168" s="105"/>
      <c r="DM168" s="105"/>
      <c r="DN168" s="107">
        <f>SUM(Tabelle4[[#This Row],[Aufwand  ]],Tabelle4[[#This Row],[Aufwand  2]],Tabelle4[[#This Row],[Aufwand  3]],Tabelle4[[#This Row],[Aufwand  4]])</f>
        <v>0</v>
      </c>
      <c r="DO168" s="105"/>
      <c r="DP168" s="105"/>
      <c r="DQ168" s="105"/>
      <c r="DR168" s="105"/>
      <c r="DS168" s="105"/>
      <c r="DT168" s="105"/>
      <c r="DU168" s="105"/>
      <c r="DV168" s="105"/>
      <c r="DW168" s="107">
        <f>SUM(Tabelle4[[#This Row],[Aufwand   ]],Tabelle4[[#This Row],[Aufwand   2]],Tabelle4[[#This Row],[Aufwand   3]],Tabelle4[[#This Row],[Aufwand   4]])</f>
        <v>0</v>
      </c>
      <c r="DX168" s="105"/>
      <c r="DY168" s="105"/>
      <c r="DZ168" s="105"/>
      <c r="EA168" s="105"/>
      <c r="EB168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168" s="122">
        <f>Tabelle4[[#This Row],[Gesamaufwand]]/2000</f>
        <v>0</v>
      </c>
      <c r="ED168" s="47"/>
      <c r="EE168" s="47"/>
      <c r="EF168" s="47"/>
      <c r="EG168" s="47"/>
      <c r="EH168" s="47"/>
      <c r="EI168" s="47"/>
      <c r="EJ168" s="47"/>
      <c r="EK168" s="47"/>
      <c r="EL168" s="47"/>
    </row>
    <row r="169" spans="1:142">
      <c r="A169" s="255" t="s">
        <v>364</v>
      </c>
      <c r="B169" s="251" t="s">
        <v>105</v>
      </c>
      <c r="C169" s="254" t="s">
        <v>67</v>
      </c>
      <c r="D169" s="251" t="s">
        <v>915</v>
      </c>
      <c r="E169" s="251" t="s">
        <v>118</v>
      </c>
      <c r="F169" s="253">
        <v>5</v>
      </c>
      <c r="G169" s="253">
        <v>2</v>
      </c>
      <c r="H169" s="253"/>
      <c r="I169" s="254" t="s">
        <v>95</v>
      </c>
      <c r="J169" s="254"/>
      <c r="K169" s="105"/>
      <c r="L169" s="105"/>
      <c r="M169" s="48"/>
      <c r="N169" s="105"/>
      <c r="O169" s="255" t="s">
        <v>365</v>
      </c>
      <c r="P169" s="261">
        <v>1</v>
      </c>
      <c r="Q169" s="261">
        <v>0</v>
      </c>
      <c r="R169" s="261">
        <v>0</v>
      </c>
      <c r="S169" s="262" t="s">
        <v>366</v>
      </c>
      <c r="T169" s="263" t="s">
        <v>664</v>
      </c>
      <c r="U169" s="105"/>
      <c r="V169" s="259" t="s">
        <v>12</v>
      </c>
      <c r="W169" s="105" t="s">
        <v>6</v>
      </c>
      <c r="X169" s="105" t="s">
        <v>86</v>
      </c>
      <c r="Y169" s="105" t="s">
        <v>690</v>
      </c>
      <c r="Z169" s="105" t="s">
        <v>78</v>
      </c>
      <c r="AA169" s="105" t="s">
        <v>78</v>
      </c>
      <c r="AB169" s="105" t="s">
        <v>13</v>
      </c>
      <c r="AC169" s="105" t="s">
        <v>83</v>
      </c>
      <c r="AD169" s="105"/>
      <c r="AE169" s="105"/>
      <c r="AF169" s="105"/>
      <c r="AG169" s="105"/>
      <c r="AH169" s="115" t="s">
        <v>809</v>
      </c>
      <c r="AI169" s="115" t="s">
        <v>73</v>
      </c>
      <c r="AJ169" s="115" t="s">
        <v>74</v>
      </c>
      <c r="AK169" s="105" t="s">
        <v>1099</v>
      </c>
      <c r="AL169" s="115">
        <v>120000</v>
      </c>
      <c r="AM169" s="115"/>
      <c r="AN169" s="115">
        <v>39666</v>
      </c>
      <c r="AO169" s="260">
        <f>Tabelle4[[#This Row],[Kredit-  / Budgetsumme
(RADAR: Gesamtkosten S)]]-Tabelle4[[#This Row],[Netto-Ausgaben Vorjahre ]]</f>
        <v>80334</v>
      </c>
      <c r="AP169" s="310"/>
      <c r="AQ169" s="311">
        <v>80334</v>
      </c>
      <c r="AR169" s="115">
        <f>Tabelle4[[#This Row],[Kreditrest per 1.1. aktuelles Jahr]]-Tabelle4[[#This Row],[Prognose 2018
(RADAR: Kosten 2018 S)]]</f>
        <v>0</v>
      </c>
      <c r="AS169" s="115"/>
      <c r="AT169" s="311"/>
      <c r="AU169" s="115"/>
      <c r="AV169" s="311"/>
      <c r="AW169" s="115"/>
      <c r="AX169" s="311"/>
      <c r="AY169" s="115"/>
      <c r="AZ169" s="311"/>
      <c r="BA169" s="115"/>
      <c r="BB169" s="311"/>
      <c r="BC169" s="115"/>
      <c r="BD169" s="311"/>
      <c r="BE169" s="115"/>
      <c r="BF169" s="311"/>
      <c r="BG169" s="115"/>
      <c r="BH169" s="311"/>
      <c r="BI169" s="115"/>
      <c r="BJ169" s="115"/>
      <c r="BK169" s="264"/>
      <c r="BL169" s="105"/>
      <c r="BM169" s="106"/>
      <c r="BN169" s="106"/>
      <c r="BO169" s="106">
        <v>20</v>
      </c>
      <c r="BP169" s="106"/>
      <c r="BQ169" s="106"/>
      <c r="BR169" s="106"/>
      <c r="BS169" s="106"/>
      <c r="BT169" s="108">
        <f>SUM(Tabelle4[[#This Row],[Projektverantwortung
(Lenkungsausschuss) ]:[Kommunikation ]])</f>
        <v>20</v>
      </c>
      <c r="BU169" s="105"/>
      <c r="BV169" s="106"/>
      <c r="BW169" s="106"/>
      <c r="BX169" s="106">
        <v>0</v>
      </c>
      <c r="BY169" s="106"/>
      <c r="BZ169" s="106">
        <v>40</v>
      </c>
      <c r="CA169" s="106"/>
      <c r="CB169" s="106"/>
      <c r="CC169" s="108">
        <f>SUM(Tabelle4[[#This Row],[Projektverantwortung
(Lenkungsausschuss)   ]:[Kommunikation   ]])</f>
        <v>40</v>
      </c>
      <c r="CD169" s="105"/>
      <c r="CE169" s="106">
        <v>0</v>
      </c>
      <c r="CF169" s="106">
        <v>0</v>
      </c>
      <c r="CG169" s="106">
        <v>0</v>
      </c>
      <c r="CH169" s="106">
        <v>0</v>
      </c>
      <c r="CI169" s="106">
        <v>0</v>
      </c>
      <c r="CJ169" s="106">
        <v>0</v>
      </c>
      <c r="CK169" s="106">
        <v>0</v>
      </c>
      <c r="CL169" s="108">
        <f>SUM(Tabelle4[[#This Row],[Projektverantwortung
(Lenkungsausschuss).]:[Kommunikation    ]])</f>
        <v>0</v>
      </c>
      <c r="CM169" s="105"/>
      <c r="CN169" s="106">
        <v>0</v>
      </c>
      <c r="CO169" s="106">
        <v>0</v>
      </c>
      <c r="CP169" s="106">
        <v>0</v>
      </c>
      <c r="CQ169" s="106">
        <v>0</v>
      </c>
      <c r="CR169" s="106">
        <v>0</v>
      </c>
      <c r="CS169" s="106">
        <v>0</v>
      </c>
      <c r="CT169" s="106">
        <v>0</v>
      </c>
      <c r="CU169" s="108">
        <f>SUM(Tabelle4[[#This Row],[Projektverantwortung
(Lenkungsausschuss)    ]:[Kommunikation     ]])</f>
        <v>0</v>
      </c>
      <c r="CV169" s="107">
        <f>SUM(Tabelle4[[#This Row],[Total Aufwand
1. Quartal 2018]],Tabelle4[[#This Row],[Total Aufwand
2. Quartal 2018]],Tabelle4[[#This Row],[Total Aufwand
3. Quartal 2018]],Tabelle4[[#This Row],[Total Aufwand
4. Quartal 2018]])</f>
        <v>60</v>
      </c>
      <c r="CW169" s="105"/>
      <c r="CX169" s="105"/>
      <c r="CY169" s="105"/>
      <c r="CZ169" s="105"/>
      <c r="DA169" s="105"/>
      <c r="DB169" s="105"/>
      <c r="DC169" s="105"/>
      <c r="DD169" s="105"/>
      <c r="DE169" s="107">
        <f>SUM(Tabelle4[[#This Row],[Aufwand ]],Tabelle4[[#This Row],[Aufwand 2]],Tabelle4[[#This Row],[Aufwand 3]],Tabelle4[[#This Row],[Aufwand 4]])</f>
        <v>0</v>
      </c>
      <c r="DF169" s="105"/>
      <c r="DG169" s="105"/>
      <c r="DH169" s="105"/>
      <c r="DI169" s="105"/>
      <c r="DJ169" s="105"/>
      <c r="DK169" s="105"/>
      <c r="DL169" s="105"/>
      <c r="DM169" s="105"/>
      <c r="DN169" s="107">
        <f>SUM(Tabelle4[[#This Row],[Aufwand  ]],Tabelle4[[#This Row],[Aufwand  2]],Tabelle4[[#This Row],[Aufwand  3]],Tabelle4[[#This Row],[Aufwand  4]])</f>
        <v>0</v>
      </c>
      <c r="DO169" s="105"/>
      <c r="DP169" s="105"/>
      <c r="DQ169" s="105"/>
      <c r="DR169" s="105"/>
      <c r="DS169" s="105"/>
      <c r="DT169" s="105"/>
      <c r="DU169" s="105"/>
      <c r="DV169" s="105"/>
      <c r="DW169" s="107">
        <f>SUM(Tabelle4[[#This Row],[Aufwand   ]],Tabelle4[[#This Row],[Aufwand   2]],Tabelle4[[#This Row],[Aufwand   3]],Tabelle4[[#This Row],[Aufwand   4]])</f>
        <v>0</v>
      </c>
      <c r="DX169" s="105"/>
      <c r="DY169" s="105"/>
      <c r="DZ169" s="105"/>
      <c r="EA169" s="105"/>
      <c r="EB169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60</v>
      </c>
      <c r="EC169" s="122">
        <f>Tabelle4[[#This Row],[Gesamaufwand]]/2000</f>
        <v>0.03</v>
      </c>
      <c r="ED169" s="47"/>
      <c r="EE169" s="47"/>
      <c r="EF169" s="47"/>
      <c r="EG169" s="47"/>
      <c r="EH169" s="47"/>
      <c r="EI169" s="47"/>
      <c r="EJ169" s="47"/>
      <c r="EK169" s="47"/>
      <c r="EL169" s="47"/>
    </row>
    <row r="170" spans="1:142">
      <c r="A170" s="255" t="s">
        <v>297</v>
      </c>
      <c r="B170" s="251" t="s">
        <v>105</v>
      </c>
      <c r="C170" s="254" t="s">
        <v>75</v>
      </c>
      <c r="D170" s="251" t="s">
        <v>782</v>
      </c>
      <c r="E170" s="251" t="s">
        <v>781</v>
      </c>
      <c r="F170" s="253">
        <v>3</v>
      </c>
      <c r="G170" s="253">
        <v>2</v>
      </c>
      <c r="H170" s="253"/>
      <c r="I170" s="254" t="s">
        <v>95</v>
      </c>
      <c r="J170" s="254"/>
      <c r="K170" s="105"/>
      <c r="L170" s="105"/>
      <c r="M170" s="48"/>
      <c r="N170" s="105"/>
      <c r="O170" s="255" t="s">
        <v>298</v>
      </c>
      <c r="P170" s="261">
        <v>1</v>
      </c>
      <c r="Q170" s="261">
        <v>0</v>
      </c>
      <c r="R170" s="261">
        <v>0</v>
      </c>
      <c r="S170" s="262" t="s">
        <v>299</v>
      </c>
      <c r="T170" s="263" t="s">
        <v>75</v>
      </c>
      <c r="U170" s="105"/>
      <c r="V170" s="259" t="s">
        <v>12</v>
      </c>
      <c r="W170" s="105" t="s">
        <v>7</v>
      </c>
      <c r="X170" s="105" t="s">
        <v>22</v>
      </c>
      <c r="Y170" s="105" t="s">
        <v>690</v>
      </c>
      <c r="Z170" s="105" t="s">
        <v>862</v>
      </c>
      <c r="AA170" s="105" t="s">
        <v>75</v>
      </c>
      <c r="AB170" s="105" t="s">
        <v>75</v>
      </c>
      <c r="AC170" s="105" t="s">
        <v>75</v>
      </c>
      <c r="AD170" s="105"/>
      <c r="AE170" s="105"/>
      <c r="AF170" s="105"/>
      <c r="AG170" s="105"/>
      <c r="AH170" s="115" t="s">
        <v>1094</v>
      </c>
      <c r="AI170" s="115"/>
      <c r="AJ170" s="115"/>
      <c r="AK170" s="105"/>
      <c r="AL170" s="115"/>
      <c r="AM170" s="115"/>
      <c r="AN170" s="115"/>
      <c r="AO170" s="260"/>
      <c r="AP170" s="310"/>
      <c r="AQ170" s="311">
        <v>19000</v>
      </c>
      <c r="AR170" s="115"/>
      <c r="AS170" s="115"/>
      <c r="AT170" s="311"/>
      <c r="AU170" s="115"/>
      <c r="AV170" s="311"/>
      <c r="AW170" s="115"/>
      <c r="AX170" s="311"/>
      <c r="AY170" s="115"/>
      <c r="AZ170" s="311"/>
      <c r="BA170" s="115"/>
      <c r="BB170" s="311"/>
      <c r="BC170" s="115"/>
      <c r="BD170" s="311"/>
      <c r="BE170" s="115"/>
      <c r="BF170" s="311"/>
      <c r="BG170" s="115"/>
      <c r="BH170" s="311"/>
      <c r="BI170" s="115"/>
      <c r="BJ170" s="115"/>
      <c r="BK170" s="264"/>
      <c r="BL170" s="105"/>
      <c r="BM170" s="106"/>
      <c r="BN170" s="106"/>
      <c r="BO170" s="106"/>
      <c r="BP170" s="106"/>
      <c r="BQ170" s="106"/>
      <c r="BR170" s="106"/>
      <c r="BS170" s="106"/>
      <c r="BT170" s="108">
        <f>SUM(Tabelle4[[#This Row],[Projektverantwortung
(Lenkungsausschuss) ]:[Kommunikation ]])</f>
        <v>0</v>
      </c>
      <c r="BU170" s="105"/>
      <c r="BV170" s="106"/>
      <c r="BW170" s="106"/>
      <c r="BX170" s="106"/>
      <c r="BY170" s="106"/>
      <c r="BZ170" s="106"/>
      <c r="CA170" s="106"/>
      <c r="CB170" s="106"/>
      <c r="CC170" s="108">
        <f>SUM(Tabelle4[[#This Row],[Projektverantwortung
(Lenkungsausschuss)   ]:[Kommunikation   ]])</f>
        <v>0</v>
      </c>
      <c r="CD170" s="105"/>
      <c r="CE170" s="106"/>
      <c r="CF170" s="106"/>
      <c r="CG170" s="106"/>
      <c r="CH170" s="106"/>
      <c r="CI170" s="106"/>
      <c r="CJ170" s="106"/>
      <c r="CK170" s="106"/>
      <c r="CL170" s="108">
        <f>SUM(Tabelle4[[#This Row],[Projektverantwortung
(Lenkungsausschuss).]:[Kommunikation    ]])</f>
        <v>0</v>
      </c>
      <c r="CM170" s="105"/>
      <c r="CN170" s="106"/>
      <c r="CO170" s="106"/>
      <c r="CP170" s="106"/>
      <c r="CQ170" s="106"/>
      <c r="CR170" s="106"/>
      <c r="CS170" s="106"/>
      <c r="CT170" s="106"/>
      <c r="CU170" s="108">
        <f>SUM(Tabelle4[[#This Row],[Projektverantwortung
(Lenkungsausschuss)    ]:[Kommunikation     ]])</f>
        <v>0</v>
      </c>
      <c r="CV170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170" s="105"/>
      <c r="CX170" s="105"/>
      <c r="CY170" s="105"/>
      <c r="CZ170" s="105"/>
      <c r="DA170" s="105"/>
      <c r="DB170" s="105"/>
      <c r="DC170" s="105"/>
      <c r="DD170" s="105"/>
      <c r="DE170" s="107">
        <f>SUM(Tabelle4[[#This Row],[Aufwand ]],Tabelle4[[#This Row],[Aufwand 2]],Tabelle4[[#This Row],[Aufwand 3]],Tabelle4[[#This Row],[Aufwand 4]])</f>
        <v>0</v>
      </c>
      <c r="DF170" s="105"/>
      <c r="DG170" s="105"/>
      <c r="DH170" s="105"/>
      <c r="DI170" s="105"/>
      <c r="DJ170" s="105"/>
      <c r="DK170" s="105"/>
      <c r="DL170" s="105"/>
      <c r="DM170" s="105"/>
      <c r="DN170" s="107">
        <f>SUM(Tabelle4[[#This Row],[Aufwand  ]],Tabelle4[[#This Row],[Aufwand  2]],Tabelle4[[#This Row],[Aufwand  3]],Tabelle4[[#This Row],[Aufwand  4]])</f>
        <v>0</v>
      </c>
      <c r="DO170" s="105"/>
      <c r="DP170" s="105"/>
      <c r="DQ170" s="105"/>
      <c r="DR170" s="105"/>
      <c r="DS170" s="105"/>
      <c r="DT170" s="105"/>
      <c r="DU170" s="105"/>
      <c r="DV170" s="105"/>
      <c r="DW170" s="107">
        <f>SUM(Tabelle4[[#This Row],[Aufwand   ]],Tabelle4[[#This Row],[Aufwand   2]],Tabelle4[[#This Row],[Aufwand   3]],Tabelle4[[#This Row],[Aufwand   4]])</f>
        <v>0</v>
      </c>
      <c r="DX170" s="105"/>
      <c r="DY170" s="105"/>
      <c r="DZ170" s="105"/>
      <c r="EA170" s="105"/>
      <c r="EB170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170" s="122">
        <f>Tabelle4[[#This Row],[Gesamaufwand]]/2000</f>
        <v>0</v>
      </c>
      <c r="ED170" s="47"/>
      <c r="EE170" s="47"/>
      <c r="EF170" s="47"/>
      <c r="EG170" s="47"/>
      <c r="EH170" s="47"/>
      <c r="EI170" s="47"/>
      <c r="EJ170" s="47"/>
      <c r="EK170" s="47"/>
      <c r="EL170" s="47"/>
    </row>
    <row r="171" spans="1:142">
      <c r="A171" s="255" t="s">
        <v>529</v>
      </c>
      <c r="B171" s="251" t="s">
        <v>105</v>
      </c>
      <c r="C171" s="254" t="s">
        <v>75</v>
      </c>
      <c r="D171" s="251"/>
      <c r="E171" s="251" t="s">
        <v>75</v>
      </c>
      <c r="F171" s="253"/>
      <c r="G171" s="253"/>
      <c r="H171" s="253"/>
      <c r="I171" s="254"/>
      <c r="J171" s="254"/>
      <c r="K171" s="105"/>
      <c r="L171" s="105"/>
      <c r="M171" s="48"/>
      <c r="N171" s="105"/>
      <c r="O171" s="255" t="s">
        <v>530</v>
      </c>
      <c r="P171" s="261">
        <v>2</v>
      </c>
      <c r="Q171" s="261">
        <v>0</v>
      </c>
      <c r="R171" s="261">
        <v>0</v>
      </c>
      <c r="S171" s="262" t="s">
        <v>366</v>
      </c>
      <c r="T171" s="263" t="s">
        <v>75</v>
      </c>
      <c r="U171" s="105"/>
      <c r="V171" s="259" t="s">
        <v>12</v>
      </c>
      <c r="W171" s="105" t="s">
        <v>7</v>
      </c>
      <c r="X171" s="105" t="s">
        <v>690</v>
      </c>
      <c r="Y171" s="105" t="s">
        <v>690</v>
      </c>
      <c r="Z171" s="105" t="s">
        <v>690</v>
      </c>
      <c r="AA171" s="105" t="s">
        <v>690</v>
      </c>
      <c r="AB171" s="110" t="s">
        <v>690</v>
      </c>
      <c r="AC171" s="105" t="s">
        <v>690</v>
      </c>
      <c r="AD171" s="105"/>
      <c r="AE171" s="105"/>
      <c r="AF171" s="105"/>
      <c r="AG171" s="105"/>
      <c r="AH171" s="115" t="s">
        <v>621</v>
      </c>
      <c r="AI171" s="115"/>
      <c r="AJ171" s="115"/>
      <c r="AK171" s="105"/>
      <c r="AL171" s="115"/>
      <c r="AM171" s="115"/>
      <c r="AN171" s="115"/>
      <c r="AO171" s="260">
        <f>Tabelle4[[#This Row],[Kredit-  / Budgetsumme
(RADAR: Gesamtkosten S)]]-Tabelle4[[#This Row],[Netto-Ausgaben Vorjahre ]]</f>
        <v>0</v>
      </c>
      <c r="AP171" s="310"/>
      <c r="AQ171" s="311"/>
      <c r="AR171" s="115">
        <f>Tabelle4[[#This Row],[Kreditrest per 1.1. aktuelles Jahr]]-Tabelle4[[#This Row],[Prognose 2018
(RADAR: Kosten 2018 S)]]</f>
        <v>0</v>
      </c>
      <c r="AS171" s="115"/>
      <c r="AT171" s="311"/>
      <c r="AU171" s="115"/>
      <c r="AV171" s="311"/>
      <c r="AW171" s="115"/>
      <c r="AX171" s="311"/>
      <c r="AY171" s="115"/>
      <c r="AZ171" s="311"/>
      <c r="BA171" s="115"/>
      <c r="BB171" s="311"/>
      <c r="BC171" s="115"/>
      <c r="BD171" s="311"/>
      <c r="BE171" s="115"/>
      <c r="BF171" s="311"/>
      <c r="BG171" s="115"/>
      <c r="BH171" s="311"/>
      <c r="BI171" s="115"/>
      <c r="BJ171" s="115"/>
      <c r="BK171" s="264"/>
      <c r="BL171" s="105"/>
      <c r="BM171" s="106"/>
      <c r="BN171" s="106"/>
      <c r="BO171" s="106"/>
      <c r="BP171" s="106"/>
      <c r="BQ171" s="106"/>
      <c r="BR171" s="106"/>
      <c r="BS171" s="106"/>
      <c r="BT171" s="108">
        <f>SUM(Tabelle4[[#This Row],[Projektverantwortung
(Lenkungsausschuss) ]:[Kommunikation ]])</f>
        <v>0</v>
      </c>
      <c r="BU171" s="105"/>
      <c r="BV171" s="106"/>
      <c r="BW171" s="106"/>
      <c r="BX171" s="106"/>
      <c r="BY171" s="106"/>
      <c r="BZ171" s="106"/>
      <c r="CA171" s="106"/>
      <c r="CB171" s="106"/>
      <c r="CC171" s="108">
        <f>SUM(Tabelle4[[#This Row],[Projektverantwortung
(Lenkungsausschuss)   ]:[Kommunikation   ]])</f>
        <v>0</v>
      </c>
      <c r="CD171" s="105"/>
      <c r="CE171" s="106"/>
      <c r="CF171" s="106"/>
      <c r="CG171" s="106"/>
      <c r="CH171" s="106"/>
      <c r="CI171" s="106"/>
      <c r="CJ171" s="106"/>
      <c r="CK171" s="106"/>
      <c r="CL171" s="108">
        <f>SUM(Tabelle4[[#This Row],[Projektverantwortung
(Lenkungsausschuss).]:[Kommunikation    ]])</f>
        <v>0</v>
      </c>
      <c r="CM171" s="105"/>
      <c r="CN171" s="106"/>
      <c r="CO171" s="106"/>
      <c r="CP171" s="106"/>
      <c r="CQ171" s="106"/>
      <c r="CR171" s="106"/>
      <c r="CS171" s="106"/>
      <c r="CT171" s="106"/>
      <c r="CU171" s="108">
        <f>SUM(Tabelle4[[#This Row],[Projektverantwortung
(Lenkungsausschuss)    ]:[Kommunikation     ]])</f>
        <v>0</v>
      </c>
      <c r="CV171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171" s="105"/>
      <c r="CX171" s="105"/>
      <c r="CY171" s="105"/>
      <c r="CZ171" s="105"/>
      <c r="DA171" s="105"/>
      <c r="DB171" s="105"/>
      <c r="DC171" s="105"/>
      <c r="DD171" s="105"/>
      <c r="DE171" s="107">
        <f>SUM(Tabelle4[[#This Row],[Aufwand ]],Tabelle4[[#This Row],[Aufwand 2]],Tabelle4[[#This Row],[Aufwand 3]],Tabelle4[[#This Row],[Aufwand 4]])</f>
        <v>0</v>
      </c>
      <c r="DF171" s="105"/>
      <c r="DG171" s="105"/>
      <c r="DH171" s="105"/>
      <c r="DI171" s="105"/>
      <c r="DJ171" s="105"/>
      <c r="DK171" s="105"/>
      <c r="DL171" s="105"/>
      <c r="DM171" s="105"/>
      <c r="DN171" s="107">
        <f>SUM(Tabelle4[[#This Row],[Aufwand  ]],Tabelle4[[#This Row],[Aufwand  2]],Tabelle4[[#This Row],[Aufwand  3]],Tabelle4[[#This Row],[Aufwand  4]])</f>
        <v>0</v>
      </c>
      <c r="DO171" s="105"/>
      <c r="DP171" s="105"/>
      <c r="DQ171" s="105"/>
      <c r="DR171" s="105"/>
      <c r="DS171" s="105"/>
      <c r="DT171" s="105"/>
      <c r="DU171" s="105"/>
      <c r="DV171" s="105"/>
      <c r="DW171" s="107">
        <f>SUM(Tabelle4[[#This Row],[Aufwand   ]],Tabelle4[[#This Row],[Aufwand   2]],Tabelle4[[#This Row],[Aufwand   3]],Tabelle4[[#This Row],[Aufwand   4]])</f>
        <v>0</v>
      </c>
      <c r="DX171" s="105"/>
      <c r="DY171" s="105"/>
      <c r="DZ171" s="105"/>
      <c r="EA171" s="105"/>
      <c r="EB171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171" s="122">
        <f>Tabelle4[[#This Row],[Gesamaufwand]]/2000</f>
        <v>0</v>
      </c>
      <c r="ED171" s="47"/>
      <c r="EE171" s="47"/>
      <c r="EF171" s="47"/>
      <c r="EG171" s="47"/>
      <c r="EH171" s="47"/>
      <c r="EI171" s="47"/>
      <c r="EJ171" s="47"/>
      <c r="EK171" s="47"/>
      <c r="EL171" s="47"/>
    </row>
    <row r="172" spans="1:142">
      <c r="A172" s="255" t="s">
        <v>531</v>
      </c>
      <c r="B172" s="251" t="s">
        <v>105</v>
      </c>
      <c r="C172" s="254" t="s">
        <v>75</v>
      </c>
      <c r="D172" s="251" t="s">
        <v>782</v>
      </c>
      <c r="E172" s="251" t="s">
        <v>781</v>
      </c>
      <c r="F172" s="253">
        <v>2</v>
      </c>
      <c r="G172" s="253">
        <v>2</v>
      </c>
      <c r="H172" s="253"/>
      <c r="I172" s="254" t="s">
        <v>95</v>
      </c>
      <c r="J172" s="254"/>
      <c r="K172" s="105"/>
      <c r="L172" s="105"/>
      <c r="M172" s="48"/>
      <c r="N172" s="105"/>
      <c r="O172" s="255" t="s">
        <v>532</v>
      </c>
      <c r="P172" s="261">
        <v>2</v>
      </c>
      <c r="Q172" s="261">
        <v>0</v>
      </c>
      <c r="R172" s="261">
        <v>0</v>
      </c>
      <c r="S172" s="262" t="s">
        <v>299</v>
      </c>
      <c r="T172" s="263" t="s">
        <v>75</v>
      </c>
      <c r="U172" s="105"/>
      <c r="V172" s="259" t="s">
        <v>12</v>
      </c>
      <c r="W172" s="105" t="s">
        <v>7</v>
      </c>
      <c r="X172" s="105" t="s">
        <v>9</v>
      </c>
      <c r="Y172" s="105" t="s">
        <v>690</v>
      </c>
      <c r="Z172" s="105" t="s">
        <v>78</v>
      </c>
      <c r="AA172" s="105" t="s">
        <v>79</v>
      </c>
      <c r="AB172" s="105" t="s">
        <v>75</v>
      </c>
      <c r="AC172" s="105" t="s">
        <v>75</v>
      </c>
      <c r="AD172" s="105"/>
      <c r="AE172" s="105"/>
      <c r="AF172" s="105"/>
      <c r="AG172" s="105"/>
      <c r="AH172" s="115" t="s">
        <v>621</v>
      </c>
      <c r="AI172" s="115"/>
      <c r="AJ172" s="115"/>
      <c r="AK172" s="105"/>
      <c r="AL172" s="115"/>
      <c r="AM172" s="115"/>
      <c r="AN172" s="115"/>
      <c r="AO172" s="260">
        <f>Tabelle4[[#This Row],[Kredit-  / Budgetsumme
(RADAR: Gesamtkosten S)]]-Tabelle4[[#This Row],[Netto-Ausgaben Vorjahre ]]</f>
        <v>0</v>
      </c>
      <c r="AP172" s="310"/>
      <c r="AQ172" s="311"/>
      <c r="AR172" s="115">
        <f>Tabelle4[[#This Row],[Kreditrest per 1.1. aktuelles Jahr]]-Tabelle4[[#This Row],[Prognose 2018
(RADAR: Kosten 2018 S)]]</f>
        <v>0</v>
      </c>
      <c r="AS172" s="115"/>
      <c r="AT172" s="311"/>
      <c r="AU172" s="115"/>
      <c r="AV172" s="311"/>
      <c r="AW172" s="115"/>
      <c r="AX172" s="311"/>
      <c r="AY172" s="115"/>
      <c r="AZ172" s="311"/>
      <c r="BA172" s="115"/>
      <c r="BB172" s="311"/>
      <c r="BC172" s="115"/>
      <c r="BD172" s="311"/>
      <c r="BE172" s="115"/>
      <c r="BF172" s="311"/>
      <c r="BG172" s="115"/>
      <c r="BH172" s="311"/>
      <c r="BI172" s="115"/>
      <c r="BJ172" s="115"/>
      <c r="BK172" s="264"/>
      <c r="BL172" s="105"/>
      <c r="BM172" s="106"/>
      <c r="BN172" s="106"/>
      <c r="BO172" s="106"/>
      <c r="BP172" s="106"/>
      <c r="BQ172" s="106"/>
      <c r="BR172" s="106"/>
      <c r="BS172" s="106"/>
      <c r="BT172" s="108">
        <f>SUM(Tabelle4[[#This Row],[Projektverantwortung
(Lenkungsausschuss) ]:[Kommunikation ]])</f>
        <v>0</v>
      </c>
      <c r="BU172" s="105"/>
      <c r="BV172" s="106"/>
      <c r="BW172" s="106"/>
      <c r="BX172" s="106"/>
      <c r="BY172" s="106"/>
      <c r="BZ172" s="106"/>
      <c r="CA172" s="106"/>
      <c r="CB172" s="106"/>
      <c r="CC172" s="108">
        <f>SUM(Tabelle4[[#This Row],[Projektverantwortung
(Lenkungsausschuss)   ]:[Kommunikation   ]])</f>
        <v>0</v>
      </c>
      <c r="CD172" s="105"/>
      <c r="CE172" s="106">
        <v>8</v>
      </c>
      <c r="CF172" s="106"/>
      <c r="CG172" s="106">
        <v>40</v>
      </c>
      <c r="CH172" s="106"/>
      <c r="CI172" s="106"/>
      <c r="CJ172" s="106"/>
      <c r="CK172" s="106"/>
      <c r="CL172" s="108">
        <f>SUM(Tabelle4[[#This Row],[Projektverantwortung
(Lenkungsausschuss).]:[Kommunikation    ]])</f>
        <v>48</v>
      </c>
      <c r="CM172" s="105"/>
      <c r="CN172" s="106">
        <v>8</v>
      </c>
      <c r="CO172" s="106"/>
      <c r="CP172" s="106">
        <v>40</v>
      </c>
      <c r="CQ172" s="106"/>
      <c r="CR172" s="106"/>
      <c r="CS172" s="106"/>
      <c r="CT172" s="106"/>
      <c r="CU172" s="108">
        <f>SUM(Tabelle4[[#This Row],[Projektverantwortung
(Lenkungsausschuss)    ]:[Kommunikation     ]])</f>
        <v>48</v>
      </c>
      <c r="CV172" s="107">
        <f>SUM(Tabelle4[[#This Row],[Total Aufwand
1. Quartal 2018]],Tabelle4[[#This Row],[Total Aufwand
2. Quartal 2018]],Tabelle4[[#This Row],[Total Aufwand
3. Quartal 2018]],Tabelle4[[#This Row],[Total Aufwand
4. Quartal 2018]])</f>
        <v>96</v>
      </c>
      <c r="CW172" s="105"/>
      <c r="CX172" s="105"/>
      <c r="CY172" s="105"/>
      <c r="CZ172" s="105"/>
      <c r="DA172" s="105"/>
      <c r="DB172" s="105"/>
      <c r="DC172" s="105"/>
      <c r="DD172" s="105"/>
      <c r="DE172" s="107">
        <f>SUM(Tabelle4[[#This Row],[Aufwand ]],Tabelle4[[#This Row],[Aufwand 2]],Tabelle4[[#This Row],[Aufwand 3]],Tabelle4[[#This Row],[Aufwand 4]])</f>
        <v>0</v>
      </c>
      <c r="DF172" s="105"/>
      <c r="DG172" s="105"/>
      <c r="DH172" s="105"/>
      <c r="DI172" s="105"/>
      <c r="DJ172" s="105"/>
      <c r="DK172" s="105"/>
      <c r="DL172" s="105"/>
      <c r="DM172" s="105"/>
      <c r="DN172" s="107">
        <f>SUM(Tabelle4[[#This Row],[Aufwand  ]],Tabelle4[[#This Row],[Aufwand  2]],Tabelle4[[#This Row],[Aufwand  3]],Tabelle4[[#This Row],[Aufwand  4]])</f>
        <v>0</v>
      </c>
      <c r="DO172" s="105"/>
      <c r="DP172" s="105"/>
      <c r="DQ172" s="105"/>
      <c r="DR172" s="105"/>
      <c r="DS172" s="105"/>
      <c r="DT172" s="105"/>
      <c r="DU172" s="105"/>
      <c r="DV172" s="105"/>
      <c r="DW172" s="107">
        <f>SUM(Tabelle4[[#This Row],[Aufwand   ]],Tabelle4[[#This Row],[Aufwand   2]],Tabelle4[[#This Row],[Aufwand   3]],Tabelle4[[#This Row],[Aufwand   4]])</f>
        <v>0</v>
      </c>
      <c r="DX172" s="105"/>
      <c r="DY172" s="105"/>
      <c r="DZ172" s="105"/>
      <c r="EA172" s="105"/>
      <c r="EB172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96</v>
      </c>
      <c r="EC172" s="122">
        <f>Tabelle4[[#This Row],[Gesamaufwand]]/2000</f>
        <v>4.8000000000000001E-2</v>
      </c>
      <c r="ED172" s="47"/>
      <c r="EE172" s="47"/>
      <c r="EF172" s="47"/>
      <c r="EG172" s="47"/>
      <c r="EH172" s="47"/>
      <c r="EI172" s="47"/>
      <c r="EJ172" s="47"/>
      <c r="EK172" s="47"/>
      <c r="EL172" s="47"/>
    </row>
    <row r="173" spans="1:142">
      <c r="A173" s="255" t="s">
        <v>251</v>
      </c>
      <c r="B173" s="251" t="s">
        <v>105</v>
      </c>
      <c r="C173" s="254" t="s">
        <v>75</v>
      </c>
      <c r="D173" s="251" t="s">
        <v>780</v>
      </c>
      <c r="E173" s="251" t="s">
        <v>781</v>
      </c>
      <c r="F173" s="253">
        <v>3</v>
      </c>
      <c r="G173" s="253">
        <v>2</v>
      </c>
      <c r="H173" s="253"/>
      <c r="I173" s="254" t="s">
        <v>95</v>
      </c>
      <c r="J173" s="254"/>
      <c r="K173" s="105"/>
      <c r="L173" s="105"/>
      <c r="M173" s="48"/>
      <c r="N173" s="105"/>
      <c r="O173" s="255" t="s">
        <v>252</v>
      </c>
      <c r="P173" s="261">
        <v>1</v>
      </c>
      <c r="Q173" s="261">
        <v>0</v>
      </c>
      <c r="R173" s="261">
        <v>0</v>
      </c>
      <c r="S173" s="262" t="s">
        <v>253</v>
      </c>
      <c r="T173" s="263" t="s">
        <v>673</v>
      </c>
      <c r="U173" s="105"/>
      <c r="V173" s="259" t="s">
        <v>12</v>
      </c>
      <c r="W173" s="105" t="s">
        <v>7</v>
      </c>
      <c r="X173" s="105" t="s">
        <v>9</v>
      </c>
      <c r="Y173" s="105" t="s">
        <v>690</v>
      </c>
      <c r="Z173" s="105" t="s">
        <v>639</v>
      </c>
      <c r="AA173" s="105" t="s">
        <v>639</v>
      </c>
      <c r="AB173" s="105" t="s">
        <v>639</v>
      </c>
      <c r="AC173" s="105" t="s">
        <v>639</v>
      </c>
      <c r="AD173" s="105" t="s">
        <v>690</v>
      </c>
      <c r="AE173" s="105"/>
      <c r="AF173" s="105"/>
      <c r="AG173" s="105"/>
      <c r="AH173" s="115" t="s">
        <v>1091</v>
      </c>
      <c r="AI173" s="115"/>
      <c r="AJ173" s="115"/>
      <c r="AK173" s="105"/>
      <c r="AL173" s="115">
        <v>4000</v>
      </c>
      <c r="AM173" s="115"/>
      <c r="AN173" s="115"/>
      <c r="AO173" s="260">
        <v>4000</v>
      </c>
      <c r="AP173" s="310"/>
      <c r="AQ173" s="311">
        <v>4000</v>
      </c>
      <c r="AR173" s="115"/>
      <c r="AS173" s="115"/>
      <c r="AT173" s="311"/>
      <c r="AU173" s="115"/>
      <c r="AV173" s="311"/>
      <c r="AW173" s="115"/>
      <c r="AX173" s="311"/>
      <c r="AY173" s="115"/>
      <c r="AZ173" s="311"/>
      <c r="BA173" s="115"/>
      <c r="BB173" s="311"/>
      <c r="BC173" s="115"/>
      <c r="BD173" s="311"/>
      <c r="BE173" s="115"/>
      <c r="BF173" s="311"/>
      <c r="BG173" s="115"/>
      <c r="BH173" s="311"/>
      <c r="BI173" s="115"/>
      <c r="BJ173" s="115"/>
      <c r="BK173" s="264"/>
      <c r="BL173" s="105"/>
      <c r="BM173" s="106">
        <v>8</v>
      </c>
      <c r="BN173" s="106"/>
      <c r="BO173" s="106"/>
      <c r="BP173" s="106"/>
      <c r="BQ173" s="106"/>
      <c r="BR173" s="106"/>
      <c r="BS173" s="106"/>
      <c r="BT173" s="108">
        <f>SUM(Tabelle4[[#This Row],[Projektverantwortung
(Lenkungsausschuss) ]:[Kommunikation ]])</f>
        <v>8</v>
      </c>
      <c r="BU173" s="105"/>
      <c r="BV173" s="106">
        <v>8</v>
      </c>
      <c r="BW173" s="106"/>
      <c r="BX173" s="106"/>
      <c r="BY173" s="106"/>
      <c r="BZ173" s="106"/>
      <c r="CA173" s="106"/>
      <c r="CB173" s="106"/>
      <c r="CC173" s="108">
        <f>SUM(Tabelle4[[#This Row],[Projektverantwortung
(Lenkungsausschuss)   ]:[Kommunikation   ]])</f>
        <v>8</v>
      </c>
      <c r="CD173" s="105"/>
      <c r="CE173" s="106">
        <v>8</v>
      </c>
      <c r="CF173" s="106"/>
      <c r="CG173" s="106"/>
      <c r="CH173" s="106"/>
      <c r="CI173" s="106"/>
      <c r="CJ173" s="106"/>
      <c r="CK173" s="106"/>
      <c r="CL173" s="108">
        <f>SUM(Tabelle4[[#This Row],[Projektverantwortung
(Lenkungsausschuss).]:[Kommunikation    ]])</f>
        <v>8</v>
      </c>
      <c r="CM173" s="105"/>
      <c r="CN173" s="106"/>
      <c r="CO173" s="106"/>
      <c r="CP173" s="106"/>
      <c r="CQ173" s="106"/>
      <c r="CR173" s="106"/>
      <c r="CS173" s="106"/>
      <c r="CT173" s="106"/>
      <c r="CU173" s="108">
        <f>SUM(Tabelle4[[#This Row],[Projektverantwortung
(Lenkungsausschuss)    ]:[Kommunikation     ]])</f>
        <v>0</v>
      </c>
      <c r="CV173" s="107">
        <f>SUM(Tabelle4[[#This Row],[Total Aufwand
1. Quartal 2018]],Tabelle4[[#This Row],[Total Aufwand
2. Quartal 2018]],Tabelle4[[#This Row],[Total Aufwand
3. Quartal 2018]],Tabelle4[[#This Row],[Total Aufwand
4. Quartal 2018]])</f>
        <v>24</v>
      </c>
      <c r="CW173" s="105"/>
      <c r="CX173" s="105"/>
      <c r="CY173" s="105"/>
      <c r="CZ173" s="105"/>
      <c r="DA173" s="105"/>
      <c r="DB173" s="105"/>
      <c r="DC173" s="105"/>
      <c r="DD173" s="105"/>
      <c r="DE173" s="107">
        <f>SUM(Tabelle4[[#This Row],[Aufwand ]],Tabelle4[[#This Row],[Aufwand 2]],Tabelle4[[#This Row],[Aufwand 3]],Tabelle4[[#This Row],[Aufwand 4]])</f>
        <v>0</v>
      </c>
      <c r="DF173" s="105"/>
      <c r="DG173" s="105"/>
      <c r="DH173" s="105"/>
      <c r="DI173" s="105"/>
      <c r="DJ173" s="105"/>
      <c r="DK173" s="105"/>
      <c r="DL173" s="105"/>
      <c r="DM173" s="105"/>
      <c r="DN173" s="107">
        <f>SUM(Tabelle4[[#This Row],[Aufwand  ]],Tabelle4[[#This Row],[Aufwand  2]],Tabelle4[[#This Row],[Aufwand  3]],Tabelle4[[#This Row],[Aufwand  4]])</f>
        <v>0</v>
      </c>
      <c r="DO173" s="105"/>
      <c r="DP173" s="105"/>
      <c r="DQ173" s="105"/>
      <c r="DR173" s="105"/>
      <c r="DS173" s="105"/>
      <c r="DT173" s="105"/>
      <c r="DU173" s="105"/>
      <c r="DV173" s="105"/>
      <c r="DW173" s="107">
        <f>SUM(Tabelle4[[#This Row],[Aufwand   ]],Tabelle4[[#This Row],[Aufwand   2]],Tabelle4[[#This Row],[Aufwand   3]],Tabelle4[[#This Row],[Aufwand   4]])</f>
        <v>0</v>
      </c>
      <c r="DX173" s="105"/>
      <c r="DY173" s="105"/>
      <c r="DZ173" s="105"/>
      <c r="EA173" s="105"/>
      <c r="EB173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24</v>
      </c>
      <c r="EC173" s="122">
        <f>Tabelle4[[#This Row],[Gesamaufwand]]/2000</f>
        <v>1.2E-2</v>
      </c>
      <c r="ED173" s="47"/>
      <c r="EE173" s="47"/>
      <c r="EF173" s="47"/>
      <c r="EG173" s="47"/>
      <c r="EH173" s="47"/>
      <c r="EI173" s="47"/>
      <c r="EJ173" s="47"/>
      <c r="EK173" s="47"/>
      <c r="EL173" s="47"/>
    </row>
    <row r="174" spans="1:142">
      <c r="A174" s="255" t="s">
        <v>255</v>
      </c>
      <c r="B174" s="251" t="s">
        <v>105</v>
      </c>
      <c r="C174" s="254" t="s">
        <v>75</v>
      </c>
      <c r="D174" s="251" t="s">
        <v>914</v>
      </c>
      <c r="E174" s="251" t="s">
        <v>114</v>
      </c>
      <c r="F174" s="253">
        <v>2</v>
      </c>
      <c r="G174" s="253">
        <v>1</v>
      </c>
      <c r="H174" s="253"/>
      <c r="I174" s="254" t="s">
        <v>95</v>
      </c>
      <c r="J174" s="254"/>
      <c r="K174" s="105"/>
      <c r="L174" s="105"/>
      <c r="M174" s="48"/>
      <c r="N174" s="105"/>
      <c r="O174" s="255" t="s">
        <v>256</v>
      </c>
      <c r="P174" s="261">
        <v>1</v>
      </c>
      <c r="Q174" s="261">
        <v>0</v>
      </c>
      <c r="R174" s="261">
        <v>0</v>
      </c>
      <c r="S174" s="262" t="s">
        <v>257</v>
      </c>
      <c r="T174" s="263" t="s">
        <v>658</v>
      </c>
      <c r="U174" s="105"/>
      <c r="V174" s="259" t="s">
        <v>12</v>
      </c>
      <c r="W174" s="105" t="s">
        <v>7</v>
      </c>
      <c r="X174" s="105" t="s">
        <v>9</v>
      </c>
      <c r="Y174" s="105" t="s">
        <v>690</v>
      </c>
      <c r="Z174" s="105" t="s">
        <v>618</v>
      </c>
      <c r="AA174" s="105" t="s">
        <v>639</v>
      </c>
      <c r="AB174" s="105" t="s">
        <v>639</v>
      </c>
      <c r="AC174" s="105" t="s">
        <v>639</v>
      </c>
      <c r="AD174" s="105" t="s">
        <v>75</v>
      </c>
      <c r="AE174" s="105"/>
      <c r="AF174" s="105"/>
      <c r="AG174" s="105"/>
      <c r="AH174" s="260" t="s">
        <v>802</v>
      </c>
      <c r="AI174" s="115"/>
      <c r="AJ174" s="115"/>
      <c r="AK174" s="105"/>
      <c r="AL174" s="115">
        <v>200000</v>
      </c>
      <c r="AM174" s="115"/>
      <c r="AN174" s="115"/>
      <c r="AO174" s="260">
        <f>Tabelle4[[#This Row],[Kredit-  / Budgetsumme
(RADAR: Gesamtkosten S)]]-Tabelle4[[#This Row],[Netto-Ausgaben Vorjahre ]]</f>
        <v>200000</v>
      </c>
      <c r="AP174" s="310"/>
      <c r="AQ174" s="311">
        <v>50000</v>
      </c>
      <c r="AR174" s="115">
        <f>Tabelle4[[#This Row],[Kreditrest per 1.1. aktuelles Jahr]]-Tabelle4[[#This Row],[Prognose 2018
(RADAR: Kosten 2018 S)]]</f>
        <v>150000</v>
      </c>
      <c r="AS174" s="115"/>
      <c r="AT174" s="311">
        <v>150000</v>
      </c>
      <c r="AU174" s="115"/>
      <c r="AV174" s="311"/>
      <c r="AW174" s="115"/>
      <c r="AX174" s="311"/>
      <c r="AY174" s="115"/>
      <c r="AZ174" s="311"/>
      <c r="BA174" s="115"/>
      <c r="BB174" s="311"/>
      <c r="BC174" s="115"/>
      <c r="BD174" s="311"/>
      <c r="BE174" s="115"/>
      <c r="BF174" s="311"/>
      <c r="BG174" s="115"/>
      <c r="BH174" s="311"/>
      <c r="BI174" s="115"/>
      <c r="BJ174" s="115"/>
      <c r="BK174" s="264"/>
      <c r="BL174" s="105"/>
      <c r="BM174" s="106">
        <v>0</v>
      </c>
      <c r="BN174" s="106"/>
      <c r="BO174" s="106">
        <v>0</v>
      </c>
      <c r="BP174" s="106"/>
      <c r="BQ174" s="106"/>
      <c r="BR174" s="106"/>
      <c r="BS174" s="106"/>
      <c r="BT174" s="108">
        <f>SUM(Tabelle4[[#This Row],[Projektverantwortung
(Lenkungsausschuss) ]:[Kommunikation ]])</f>
        <v>0</v>
      </c>
      <c r="BU174" s="105"/>
      <c r="BV174" s="106">
        <v>8</v>
      </c>
      <c r="BW174" s="106"/>
      <c r="BX174" s="106">
        <v>20</v>
      </c>
      <c r="BY174" s="106"/>
      <c r="BZ174" s="106"/>
      <c r="CA174" s="106"/>
      <c r="CB174" s="106"/>
      <c r="CC174" s="108">
        <f>SUM(Tabelle4[[#This Row],[Projektverantwortung
(Lenkungsausschuss)   ]:[Kommunikation   ]])</f>
        <v>28</v>
      </c>
      <c r="CD174" s="105"/>
      <c r="CE174" s="106"/>
      <c r="CF174" s="106"/>
      <c r="CG174" s="106">
        <v>40</v>
      </c>
      <c r="CH174" s="106"/>
      <c r="CI174" s="106"/>
      <c r="CJ174" s="106"/>
      <c r="CK174" s="106"/>
      <c r="CL174" s="108">
        <f>SUM(Tabelle4[[#This Row],[Projektverantwortung
(Lenkungsausschuss).]:[Kommunikation    ]])</f>
        <v>40</v>
      </c>
      <c r="CM174" s="105"/>
      <c r="CN174" s="106"/>
      <c r="CO174" s="106"/>
      <c r="CP174" s="106">
        <v>40</v>
      </c>
      <c r="CQ174" s="106"/>
      <c r="CR174" s="106"/>
      <c r="CS174" s="106"/>
      <c r="CT174" s="106"/>
      <c r="CU174" s="108">
        <f>SUM(Tabelle4[[#This Row],[Projektverantwortung
(Lenkungsausschuss)    ]:[Kommunikation     ]])</f>
        <v>40</v>
      </c>
      <c r="CV174" s="107">
        <f>SUM(Tabelle4[[#This Row],[Total Aufwand
1. Quartal 2018]],Tabelle4[[#This Row],[Total Aufwand
2. Quartal 2018]],Tabelle4[[#This Row],[Total Aufwand
3. Quartal 2018]],Tabelle4[[#This Row],[Total Aufwand
4. Quartal 2018]])</f>
        <v>108</v>
      </c>
      <c r="CW174" s="105"/>
      <c r="CX174" s="105"/>
      <c r="CY174" s="105"/>
      <c r="CZ174" s="105"/>
      <c r="DA174" s="105"/>
      <c r="DB174" s="105"/>
      <c r="DC174" s="105"/>
      <c r="DD174" s="105"/>
      <c r="DE174" s="107">
        <f>SUM(Tabelle4[[#This Row],[Aufwand ]],Tabelle4[[#This Row],[Aufwand 2]],Tabelle4[[#This Row],[Aufwand 3]],Tabelle4[[#This Row],[Aufwand 4]])</f>
        <v>0</v>
      </c>
      <c r="DF174" s="105"/>
      <c r="DG174" s="105"/>
      <c r="DH174" s="105"/>
      <c r="DI174" s="105"/>
      <c r="DJ174" s="105"/>
      <c r="DK174" s="105"/>
      <c r="DL174" s="105"/>
      <c r="DM174" s="105"/>
      <c r="DN174" s="107">
        <f>SUM(Tabelle4[[#This Row],[Aufwand  ]],Tabelle4[[#This Row],[Aufwand  2]],Tabelle4[[#This Row],[Aufwand  3]],Tabelle4[[#This Row],[Aufwand  4]])</f>
        <v>0</v>
      </c>
      <c r="DO174" s="105"/>
      <c r="DP174" s="105"/>
      <c r="DQ174" s="105"/>
      <c r="DR174" s="105"/>
      <c r="DS174" s="105"/>
      <c r="DT174" s="105"/>
      <c r="DU174" s="105"/>
      <c r="DV174" s="105"/>
      <c r="DW174" s="107">
        <f>SUM(Tabelle4[[#This Row],[Aufwand   ]],Tabelle4[[#This Row],[Aufwand   2]],Tabelle4[[#This Row],[Aufwand   3]],Tabelle4[[#This Row],[Aufwand   4]])</f>
        <v>0</v>
      </c>
      <c r="DX174" s="105"/>
      <c r="DY174" s="105"/>
      <c r="DZ174" s="105"/>
      <c r="EA174" s="105"/>
      <c r="EB174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108</v>
      </c>
      <c r="EC174" s="122">
        <f>Tabelle4[[#This Row],[Gesamaufwand]]/2000</f>
        <v>5.3999999999999999E-2</v>
      </c>
      <c r="ED174" s="47"/>
      <c r="EE174" s="47"/>
      <c r="EF174" s="47"/>
      <c r="EG174" s="47"/>
      <c r="EH174" s="47"/>
      <c r="EI174" s="47"/>
      <c r="EJ174" s="47"/>
      <c r="EK174" s="47"/>
      <c r="EL174" s="47"/>
    </row>
    <row r="175" spans="1:142">
      <c r="A175" s="255" t="s">
        <v>688</v>
      </c>
      <c r="B175" s="251" t="s">
        <v>105</v>
      </c>
      <c r="C175" s="254" t="s">
        <v>67</v>
      </c>
      <c r="D175" s="251" t="s">
        <v>780</v>
      </c>
      <c r="E175" s="251" t="s">
        <v>114</v>
      </c>
      <c r="F175" s="253">
        <v>3</v>
      </c>
      <c r="G175" s="253">
        <v>2</v>
      </c>
      <c r="H175" s="253"/>
      <c r="I175" s="254" t="s">
        <v>95</v>
      </c>
      <c r="J175" s="254"/>
      <c r="K175" s="105"/>
      <c r="L175" s="105"/>
      <c r="M175" s="48"/>
      <c r="N175" s="105"/>
      <c r="O175" s="255" t="s">
        <v>259</v>
      </c>
      <c r="P175" s="261">
        <v>1</v>
      </c>
      <c r="Q175" s="261">
        <v>0</v>
      </c>
      <c r="R175" s="261">
        <v>0</v>
      </c>
      <c r="S175" s="262" t="s">
        <v>260</v>
      </c>
      <c r="T175" s="263" t="s">
        <v>672</v>
      </c>
      <c r="U175" s="105"/>
      <c r="V175" s="259" t="s">
        <v>12</v>
      </c>
      <c r="W175" s="105" t="s">
        <v>7</v>
      </c>
      <c r="X175" s="105" t="s">
        <v>9</v>
      </c>
      <c r="Y175" s="105" t="s">
        <v>690</v>
      </c>
      <c r="Z175" s="105" t="s">
        <v>13</v>
      </c>
      <c r="AA175" s="105" t="s">
        <v>13</v>
      </c>
      <c r="AB175" s="105" t="s">
        <v>13</v>
      </c>
      <c r="AC175" s="105" t="s">
        <v>690</v>
      </c>
      <c r="AD175" s="105" t="s">
        <v>690</v>
      </c>
      <c r="AE175" s="105"/>
      <c r="AF175" s="105"/>
      <c r="AG175" s="105"/>
      <c r="AH175" s="260" t="s">
        <v>802</v>
      </c>
      <c r="AI175" s="115" t="s">
        <v>73</v>
      </c>
      <c r="AJ175" s="115" t="s">
        <v>74</v>
      </c>
      <c r="AK175" s="105"/>
      <c r="AL175" s="115">
        <v>126000</v>
      </c>
      <c r="AM175" s="115"/>
      <c r="AN175" s="115">
        <v>24857</v>
      </c>
      <c r="AO175" s="260">
        <f>Tabelle4[[#This Row],[Kredit-  / Budgetsumme
(RADAR: Gesamtkosten S)]]-Tabelle4[[#This Row],[Netto-Ausgaben Vorjahre ]]</f>
        <v>101143</v>
      </c>
      <c r="AP175" s="310"/>
      <c r="AQ175" s="311"/>
      <c r="AR175" s="115">
        <f>Tabelle4[[#This Row],[Kreditrest per 1.1. aktuelles Jahr]]-Tabelle4[[#This Row],[Prognose 2018
(RADAR: Kosten 2018 S)]]</f>
        <v>101143</v>
      </c>
      <c r="AS175" s="115"/>
      <c r="AT175" s="311"/>
      <c r="AU175" s="115"/>
      <c r="AV175" s="311"/>
      <c r="AW175" s="115"/>
      <c r="AX175" s="311"/>
      <c r="AY175" s="115"/>
      <c r="AZ175" s="311"/>
      <c r="BA175" s="115"/>
      <c r="BB175" s="311"/>
      <c r="BC175" s="115"/>
      <c r="BD175" s="311"/>
      <c r="BE175" s="115"/>
      <c r="BF175" s="311"/>
      <c r="BG175" s="115"/>
      <c r="BH175" s="311"/>
      <c r="BI175" s="115"/>
      <c r="BJ175" s="115"/>
      <c r="BK175" s="264"/>
      <c r="BL175" s="105"/>
      <c r="BM175" s="106"/>
      <c r="BN175" s="106"/>
      <c r="BO175" s="106">
        <v>8</v>
      </c>
      <c r="BP175" s="106"/>
      <c r="BQ175" s="106"/>
      <c r="BR175" s="106"/>
      <c r="BS175" s="106"/>
      <c r="BT175" s="108">
        <f>SUM(Tabelle4[[#This Row],[Projektverantwortung
(Lenkungsausschuss) ]:[Kommunikation ]])</f>
        <v>8</v>
      </c>
      <c r="BU175" s="105"/>
      <c r="BV175" s="106"/>
      <c r="BW175" s="106"/>
      <c r="BX175" s="106">
        <v>8</v>
      </c>
      <c r="BY175" s="106"/>
      <c r="BZ175" s="106"/>
      <c r="CA175" s="106"/>
      <c r="CB175" s="106"/>
      <c r="CC175" s="108">
        <f>SUM(Tabelle4[[#This Row],[Projektverantwortung
(Lenkungsausschuss)   ]:[Kommunikation   ]])</f>
        <v>8</v>
      </c>
      <c r="CD175" s="105"/>
      <c r="CE175" s="106"/>
      <c r="CF175" s="106"/>
      <c r="CG175" s="106">
        <v>8</v>
      </c>
      <c r="CH175" s="106"/>
      <c r="CI175" s="106"/>
      <c r="CJ175" s="106"/>
      <c r="CK175" s="106"/>
      <c r="CL175" s="108">
        <f>SUM(Tabelle4[[#This Row],[Projektverantwortung
(Lenkungsausschuss).]:[Kommunikation    ]])</f>
        <v>8</v>
      </c>
      <c r="CM175" s="105"/>
      <c r="CN175" s="106"/>
      <c r="CO175" s="106"/>
      <c r="CP175" s="106">
        <v>8</v>
      </c>
      <c r="CQ175" s="106"/>
      <c r="CR175" s="106"/>
      <c r="CS175" s="106"/>
      <c r="CT175" s="106"/>
      <c r="CU175" s="108">
        <f>SUM(Tabelle4[[#This Row],[Projektverantwortung
(Lenkungsausschuss)    ]:[Kommunikation     ]])</f>
        <v>8</v>
      </c>
      <c r="CV175" s="107">
        <f>SUM(Tabelle4[[#This Row],[Total Aufwand
1. Quartal 2018]],Tabelle4[[#This Row],[Total Aufwand
2. Quartal 2018]],Tabelle4[[#This Row],[Total Aufwand
3. Quartal 2018]],Tabelle4[[#This Row],[Total Aufwand
4. Quartal 2018]])</f>
        <v>32</v>
      </c>
      <c r="CW175" s="105"/>
      <c r="CX175" s="105"/>
      <c r="CY175" s="105"/>
      <c r="CZ175" s="105"/>
      <c r="DA175" s="105"/>
      <c r="DB175" s="105"/>
      <c r="DC175" s="105"/>
      <c r="DD175" s="105"/>
      <c r="DE175" s="107">
        <f>SUM(Tabelle4[[#This Row],[Aufwand ]],Tabelle4[[#This Row],[Aufwand 2]],Tabelle4[[#This Row],[Aufwand 3]],Tabelle4[[#This Row],[Aufwand 4]])</f>
        <v>0</v>
      </c>
      <c r="DF175" s="105"/>
      <c r="DG175" s="105"/>
      <c r="DH175" s="105"/>
      <c r="DI175" s="105"/>
      <c r="DJ175" s="105"/>
      <c r="DK175" s="105"/>
      <c r="DL175" s="105"/>
      <c r="DM175" s="105"/>
      <c r="DN175" s="107">
        <f>SUM(Tabelle4[[#This Row],[Aufwand  ]],Tabelle4[[#This Row],[Aufwand  2]],Tabelle4[[#This Row],[Aufwand  3]],Tabelle4[[#This Row],[Aufwand  4]])</f>
        <v>0</v>
      </c>
      <c r="DO175" s="105"/>
      <c r="DP175" s="105"/>
      <c r="DQ175" s="105"/>
      <c r="DR175" s="105"/>
      <c r="DS175" s="105"/>
      <c r="DT175" s="105"/>
      <c r="DU175" s="105"/>
      <c r="DV175" s="105"/>
      <c r="DW175" s="107">
        <f>SUM(Tabelle4[[#This Row],[Aufwand   ]],Tabelle4[[#This Row],[Aufwand   2]],Tabelle4[[#This Row],[Aufwand   3]],Tabelle4[[#This Row],[Aufwand   4]])</f>
        <v>0</v>
      </c>
      <c r="DX175" s="105"/>
      <c r="DY175" s="105"/>
      <c r="DZ175" s="105"/>
      <c r="EA175" s="105"/>
      <c r="EB175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32</v>
      </c>
      <c r="EC175" s="122">
        <f>Tabelle4[[#This Row],[Gesamaufwand]]/2000</f>
        <v>1.6E-2</v>
      </c>
      <c r="ED175" s="47"/>
      <c r="EE175" s="47"/>
      <c r="EF175" s="47"/>
      <c r="EG175" s="47"/>
      <c r="EH175" s="47"/>
      <c r="EI175" s="47"/>
      <c r="EJ175" s="47"/>
      <c r="EK175" s="47"/>
      <c r="EL175" s="47"/>
    </row>
    <row r="176" spans="1:142">
      <c r="A176" s="255" t="s">
        <v>261</v>
      </c>
      <c r="B176" s="251" t="s">
        <v>105</v>
      </c>
      <c r="C176" s="254" t="s">
        <v>75</v>
      </c>
      <c r="D176" s="251" t="s">
        <v>914</v>
      </c>
      <c r="E176" s="251" t="s">
        <v>114</v>
      </c>
      <c r="F176" s="253">
        <v>2</v>
      </c>
      <c r="G176" s="253">
        <v>1</v>
      </c>
      <c r="H176" s="253"/>
      <c r="I176" s="254" t="s">
        <v>95</v>
      </c>
      <c r="J176" s="254"/>
      <c r="K176" s="105"/>
      <c r="L176" s="105"/>
      <c r="M176" s="48"/>
      <c r="N176" s="105"/>
      <c r="O176" s="255" t="s">
        <v>262</v>
      </c>
      <c r="P176" s="261">
        <v>1</v>
      </c>
      <c r="Q176" s="261">
        <v>0</v>
      </c>
      <c r="R176" s="261">
        <v>0</v>
      </c>
      <c r="S176" s="262" t="s">
        <v>263</v>
      </c>
      <c r="T176" s="263" t="s">
        <v>658</v>
      </c>
      <c r="U176" s="105"/>
      <c r="V176" s="259" t="s">
        <v>12</v>
      </c>
      <c r="W176" s="105" t="s">
        <v>7</v>
      </c>
      <c r="X176" s="105" t="s">
        <v>9</v>
      </c>
      <c r="Y176" s="105" t="s">
        <v>690</v>
      </c>
      <c r="Z176" s="105" t="s">
        <v>618</v>
      </c>
      <c r="AA176" s="105" t="s">
        <v>618</v>
      </c>
      <c r="AB176" s="105" t="s">
        <v>618</v>
      </c>
      <c r="AC176" s="110" t="s">
        <v>690</v>
      </c>
      <c r="AD176" s="105" t="s">
        <v>75</v>
      </c>
      <c r="AE176" s="105"/>
      <c r="AF176" s="105"/>
      <c r="AG176" s="105"/>
      <c r="AH176" s="260" t="s">
        <v>802</v>
      </c>
      <c r="AI176" s="115"/>
      <c r="AJ176" s="115"/>
      <c r="AK176" s="105"/>
      <c r="AL176" s="115">
        <v>245000</v>
      </c>
      <c r="AM176" s="115"/>
      <c r="AN176" s="115"/>
      <c r="AO176" s="260">
        <f>Tabelle4[[#This Row],[Kredit-  / Budgetsumme
(RADAR: Gesamtkosten S)]]-Tabelle4[[#This Row],[Netto-Ausgaben Vorjahre ]]</f>
        <v>245000</v>
      </c>
      <c r="AP176" s="310"/>
      <c r="AQ176" s="311">
        <v>200000</v>
      </c>
      <c r="AR176" s="115">
        <f>Tabelle4[[#This Row],[Kreditrest per 1.1. aktuelles Jahr]]-Tabelle4[[#This Row],[Prognose 2018
(RADAR: Kosten 2018 S)]]</f>
        <v>45000</v>
      </c>
      <c r="AS176" s="115"/>
      <c r="AT176" s="311">
        <v>45000</v>
      </c>
      <c r="AU176" s="115"/>
      <c r="AV176" s="311"/>
      <c r="AW176" s="115"/>
      <c r="AX176" s="311"/>
      <c r="AY176" s="115"/>
      <c r="AZ176" s="311"/>
      <c r="BA176" s="115"/>
      <c r="BB176" s="311"/>
      <c r="BC176" s="115"/>
      <c r="BD176" s="311"/>
      <c r="BE176" s="115"/>
      <c r="BF176" s="311"/>
      <c r="BG176" s="115"/>
      <c r="BH176" s="311"/>
      <c r="BI176" s="115"/>
      <c r="BJ176" s="115"/>
      <c r="BK176" s="264"/>
      <c r="BL176" s="105"/>
      <c r="BM176" s="106"/>
      <c r="BN176" s="106">
        <v>8</v>
      </c>
      <c r="BO176" s="106">
        <v>8</v>
      </c>
      <c r="BP176" s="106">
        <v>20</v>
      </c>
      <c r="BQ176" s="106">
        <v>0</v>
      </c>
      <c r="BR176" s="106"/>
      <c r="BS176" s="106"/>
      <c r="BT176" s="108">
        <f>SUM(Tabelle4[[#This Row],[Projektverantwortung
(Lenkungsausschuss) ]:[Kommunikation ]])</f>
        <v>36</v>
      </c>
      <c r="BU176" s="105"/>
      <c r="BV176" s="106"/>
      <c r="BW176" s="106"/>
      <c r="BX176" s="106"/>
      <c r="BY176" s="106"/>
      <c r="BZ176" s="106">
        <v>40</v>
      </c>
      <c r="CA176" s="106"/>
      <c r="CB176" s="106"/>
      <c r="CC176" s="108">
        <f>SUM(Tabelle4[[#This Row],[Projektverantwortung
(Lenkungsausschuss)   ]:[Kommunikation   ]])</f>
        <v>40</v>
      </c>
      <c r="CD176" s="105"/>
      <c r="CE176" s="106"/>
      <c r="CF176" s="106"/>
      <c r="CG176" s="106"/>
      <c r="CH176" s="106"/>
      <c r="CI176" s="106">
        <v>40</v>
      </c>
      <c r="CJ176" s="106"/>
      <c r="CK176" s="106"/>
      <c r="CL176" s="108">
        <f>SUM(Tabelle4[[#This Row],[Projektverantwortung
(Lenkungsausschuss).]:[Kommunikation    ]])</f>
        <v>40</v>
      </c>
      <c r="CM176" s="105"/>
      <c r="CN176" s="106"/>
      <c r="CO176" s="106"/>
      <c r="CP176" s="106">
        <v>20</v>
      </c>
      <c r="CQ176" s="106"/>
      <c r="CR176" s="106">
        <v>20</v>
      </c>
      <c r="CS176" s="106"/>
      <c r="CT176" s="106"/>
      <c r="CU176" s="108">
        <f>SUM(Tabelle4[[#This Row],[Projektverantwortung
(Lenkungsausschuss)    ]:[Kommunikation     ]])</f>
        <v>40</v>
      </c>
      <c r="CV176" s="107">
        <f>SUM(Tabelle4[[#This Row],[Total Aufwand
1. Quartal 2018]],Tabelle4[[#This Row],[Total Aufwand
2. Quartal 2018]],Tabelle4[[#This Row],[Total Aufwand
3. Quartal 2018]],Tabelle4[[#This Row],[Total Aufwand
4. Quartal 2018]])</f>
        <v>156</v>
      </c>
      <c r="CW176" s="105"/>
      <c r="CX176" s="105"/>
      <c r="CY176" s="105"/>
      <c r="CZ176" s="105"/>
      <c r="DA176" s="105"/>
      <c r="DB176" s="105"/>
      <c r="DC176" s="105"/>
      <c r="DD176" s="105"/>
      <c r="DE176" s="107">
        <f>SUM(Tabelle4[[#This Row],[Aufwand ]],Tabelle4[[#This Row],[Aufwand 2]],Tabelle4[[#This Row],[Aufwand 3]],Tabelle4[[#This Row],[Aufwand 4]])</f>
        <v>0</v>
      </c>
      <c r="DF176" s="105"/>
      <c r="DG176" s="105"/>
      <c r="DH176" s="105"/>
      <c r="DI176" s="105"/>
      <c r="DJ176" s="105"/>
      <c r="DK176" s="105"/>
      <c r="DL176" s="105"/>
      <c r="DM176" s="105"/>
      <c r="DN176" s="107">
        <f>SUM(Tabelle4[[#This Row],[Aufwand  ]],Tabelle4[[#This Row],[Aufwand  2]],Tabelle4[[#This Row],[Aufwand  3]],Tabelle4[[#This Row],[Aufwand  4]])</f>
        <v>0</v>
      </c>
      <c r="DO176" s="105"/>
      <c r="DP176" s="105"/>
      <c r="DQ176" s="105"/>
      <c r="DR176" s="105"/>
      <c r="DS176" s="105"/>
      <c r="DT176" s="105"/>
      <c r="DU176" s="105"/>
      <c r="DV176" s="105"/>
      <c r="DW176" s="107">
        <f>SUM(Tabelle4[[#This Row],[Aufwand   ]],Tabelle4[[#This Row],[Aufwand   2]],Tabelle4[[#This Row],[Aufwand   3]],Tabelle4[[#This Row],[Aufwand   4]])</f>
        <v>0</v>
      </c>
      <c r="DX176" s="105"/>
      <c r="DY176" s="105"/>
      <c r="DZ176" s="105"/>
      <c r="EA176" s="105"/>
      <c r="EB176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156</v>
      </c>
      <c r="EC176" s="122">
        <f>Tabelle4[[#This Row],[Gesamaufwand]]/2000</f>
        <v>7.8E-2</v>
      </c>
      <c r="ED176" s="47"/>
      <c r="EE176" s="47"/>
      <c r="EF176" s="47"/>
      <c r="EG176" s="47"/>
      <c r="EH176" s="47"/>
      <c r="EI176" s="47"/>
      <c r="EJ176" s="47"/>
      <c r="EK176" s="47"/>
      <c r="EL176" s="47"/>
    </row>
    <row r="177" spans="1:142">
      <c r="A177" s="255" t="s">
        <v>1160</v>
      </c>
      <c r="B177" s="249" t="s">
        <v>105</v>
      </c>
      <c r="C177" s="250" t="s">
        <v>75</v>
      </c>
      <c r="D177" s="251" t="s">
        <v>914</v>
      </c>
      <c r="E177" s="251" t="s">
        <v>114</v>
      </c>
      <c r="F177" s="253">
        <v>3</v>
      </c>
      <c r="G177" s="253">
        <v>2</v>
      </c>
      <c r="H177" s="253"/>
      <c r="I177" s="254" t="s">
        <v>95</v>
      </c>
      <c r="J177" s="254"/>
      <c r="K177" s="110"/>
      <c r="L177" s="110"/>
      <c r="M177" s="77"/>
      <c r="N177" s="110"/>
      <c r="O177" s="248"/>
      <c r="P177" s="256"/>
      <c r="Q177" s="256"/>
      <c r="R177" s="256"/>
      <c r="S177" s="257"/>
      <c r="T177" s="258" t="s">
        <v>660</v>
      </c>
      <c r="U177" s="110"/>
      <c r="V177" s="266" t="s">
        <v>12</v>
      </c>
      <c r="W177" s="105" t="s">
        <v>7</v>
      </c>
      <c r="X177" s="105" t="s">
        <v>9</v>
      </c>
      <c r="Y177" s="105" t="s">
        <v>690</v>
      </c>
      <c r="Z177" s="105" t="s">
        <v>75</v>
      </c>
      <c r="AA177" s="105" t="s">
        <v>75</v>
      </c>
      <c r="AB177" s="105" t="s">
        <v>75</v>
      </c>
      <c r="AC177" s="105" t="s">
        <v>75</v>
      </c>
      <c r="AD177" s="105" t="s">
        <v>12</v>
      </c>
      <c r="AE177" s="110"/>
      <c r="AF177" s="110"/>
      <c r="AG177" s="110"/>
      <c r="AH177" s="115" t="s">
        <v>1093</v>
      </c>
      <c r="AI177" s="260"/>
      <c r="AJ177" s="260"/>
      <c r="AK177" s="110"/>
      <c r="AL177" s="260"/>
      <c r="AM177" s="260"/>
      <c r="AN177" s="260"/>
      <c r="AO177" s="260"/>
      <c r="AP177" s="310"/>
      <c r="AQ177" s="310"/>
      <c r="AR177" s="260"/>
      <c r="AS177" s="260"/>
      <c r="AT177" s="310"/>
      <c r="AU177" s="260"/>
      <c r="AV177" s="310"/>
      <c r="AW177" s="260"/>
      <c r="AX177" s="310"/>
      <c r="AY177" s="260"/>
      <c r="AZ177" s="310"/>
      <c r="BA177" s="260"/>
      <c r="BB177" s="310"/>
      <c r="BC177" s="260"/>
      <c r="BD177" s="310"/>
      <c r="BE177" s="260"/>
      <c r="BF177" s="310"/>
      <c r="BG177" s="260"/>
      <c r="BH177" s="310"/>
      <c r="BI177" s="260"/>
      <c r="BJ177" s="260"/>
      <c r="BK177" s="276"/>
      <c r="BL177" s="105"/>
      <c r="BM177" s="111">
        <v>20</v>
      </c>
      <c r="BN177" s="111"/>
      <c r="BO177" s="111"/>
      <c r="BP177" s="111"/>
      <c r="BQ177" s="111"/>
      <c r="BR177" s="111"/>
      <c r="BS177" s="111"/>
      <c r="BT177" s="113">
        <f>SUM(Tabelle4[[#This Row],[Projektverantwortung
(Lenkungsausschuss) ]:[Kommunikation ]])</f>
        <v>20</v>
      </c>
      <c r="BU177" s="110"/>
      <c r="BV177" s="106"/>
      <c r="BW177" s="106"/>
      <c r="BX177" s="106"/>
      <c r="BY177" s="106"/>
      <c r="BZ177" s="106"/>
      <c r="CA177" s="106"/>
      <c r="CB177" s="106"/>
      <c r="CC177" s="113">
        <f>SUM(Tabelle4[[#This Row],[Projektverantwortung
(Lenkungsausschuss)   ]:[Kommunikation   ]])</f>
        <v>0</v>
      </c>
      <c r="CD177" s="110"/>
      <c r="CE177" s="114"/>
      <c r="CF177" s="114"/>
      <c r="CG177" s="114"/>
      <c r="CH177" s="114"/>
      <c r="CI177" s="114"/>
      <c r="CJ177" s="114"/>
      <c r="CK177" s="114"/>
      <c r="CL177" s="113">
        <f>SUM(Tabelle4[[#This Row],[Projektverantwortung
(Lenkungsausschuss).]:[Kommunikation    ]])</f>
        <v>0</v>
      </c>
      <c r="CM177" s="110"/>
      <c r="CN177" s="114"/>
      <c r="CO177" s="114"/>
      <c r="CP177" s="114"/>
      <c r="CQ177" s="114"/>
      <c r="CR177" s="114"/>
      <c r="CS177" s="114"/>
      <c r="CT177" s="114"/>
      <c r="CU177" s="113">
        <f>SUM(Tabelle4[[#This Row],[Projektverantwortung
(Lenkungsausschuss)    ]:[Kommunikation     ]])</f>
        <v>0</v>
      </c>
      <c r="CV177" s="107">
        <f>SUM(Tabelle4[[#This Row],[Total Aufwand
1. Quartal 2018]],Tabelle4[[#This Row],[Total Aufwand
2. Quartal 2018]],Tabelle4[[#This Row],[Total Aufwand
3. Quartal 2018]],Tabelle4[[#This Row],[Total Aufwand
4. Quartal 2018]])</f>
        <v>20</v>
      </c>
      <c r="CW177" s="105"/>
      <c r="CX177" s="105"/>
      <c r="CY177" s="105"/>
      <c r="CZ177" s="105"/>
      <c r="DA177" s="105"/>
      <c r="DB177" s="105"/>
      <c r="DC177" s="105"/>
      <c r="DD177" s="105"/>
      <c r="DE177" s="107">
        <f>SUM(Tabelle4[[#This Row],[Aufwand ]],Tabelle4[[#This Row],[Aufwand 2]],Tabelle4[[#This Row],[Aufwand 3]],Tabelle4[[#This Row],[Aufwand 4]])</f>
        <v>0</v>
      </c>
      <c r="DF177" s="105"/>
      <c r="DG177" s="105"/>
      <c r="DH177" s="105"/>
      <c r="DI177" s="105"/>
      <c r="DJ177" s="105"/>
      <c r="DK177" s="105"/>
      <c r="DL177" s="105"/>
      <c r="DM177" s="105"/>
      <c r="DN177" s="112">
        <f>SUM(Tabelle4[[#This Row],[Aufwand  ]],Tabelle4[[#This Row],[Aufwand  2]],Tabelle4[[#This Row],[Aufwand  3]],Tabelle4[[#This Row],[Aufwand  4]])</f>
        <v>0</v>
      </c>
      <c r="DO177" s="105"/>
      <c r="DP177" s="105"/>
      <c r="DQ177" s="105"/>
      <c r="DR177" s="105"/>
      <c r="DS177" s="105"/>
      <c r="DT177" s="105"/>
      <c r="DU177" s="105"/>
      <c r="DV177" s="105"/>
      <c r="DW177" s="107">
        <f>SUM(Tabelle4[[#This Row],[Aufwand   ]],Tabelle4[[#This Row],[Aufwand   2]],Tabelle4[[#This Row],[Aufwand   3]],Tabelle4[[#This Row],[Aufwand   4]])</f>
        <v>0</v>
      </c>
      <c r="DX177" s="105"/>
      <c r="DY177" s="105"/>
      <c r="DZ177" s="105"/>
      <c r="EA177" s="105"/>
      <c r="EB177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20</v>
      </c>
      <c r="EC177" s="122">
        <f>Tabelle4[[#This Row],[Gesamaufwand]]/2000</f>
        <v>0.01</v>
      </c>
      <c r="ED177" s="47"/>
      <c r="EE177" s="47"/>
      <c r="EF177" s="47"/>
      <c r="EG177" s="47"/>
      <c r="EH177" s="47"/>
      <c r="EI177" s="47"/>
      <c r="EJ177" s="47"/>
      <c r="EK177" s="47"/>
      <c r="EL177" s="47"/>
    </row>
    <row r="178" spans="1:142">
      <c r="A178" s="255" t="s">
        <v>1113</v>
      </c>
      <c r="B178" s="251" t="s">
        <v>105</v>
      </c>
      <c r="C178" s="254" t="s">
        <v>75</v>
      </c>
      <c r="D178" s="249" t="s">
        <v>780</v>
      </c>
      <c r="E178" s="249" t="s">
        <v>114</v>
      </c>
      <c r="F178" s="253">
        <v>2</v>
      </c>
      <c r="G178" s="253">
        <v>2</v>
      </c>
      <c r="H178" s="253"/>
      <c r="I178" s="254" t="s">
        <v>95</v>
      </c>
      <c r="J178" s="254"/>
      <c r="K178" s="105"/>
      <c r="L178" s="105"/>
      <c r="M178" s="48"/>
      <c r="N178" s="105"/>
      <c r="O178" s="255"/>
      <c r="P178" s="261"/>
      <c r="Q178" s="261"/>
      <c r="R178" s="261"/>
      <c r="S178" s="262"/>
      <c r="T178" s="263" t="s">
        <v>674</v>
      </c>
      <c r="U178" s="105"/>
      <c r="V178" s="259" t="s">
        <v>12</v>
      </c>
      <c r="W178" s="105" t="s">
        <v>7</v>
      </c>
      <c r="X178" s="105" t="s">
        <v>1111</v>
      </c>
      <c r="Y178" s="105"/>
      <c r="Z178" s="105" t="s">
        <v>13</v>
      </c>
      <c r="AA178" s="105"/>
      <c r="AB178" s="105"/>
      <c r="AC178" s="105"/>
      <c r="AD178" s="105"/>
      <c r="AE178" s="105"/>
      <c r="AF178" s="105"/>
      <c r="AG178" s="105"/>
      <c r="AH178" s="115" t="s">
        <v>21</v>
      </c>
      <c r="AI178" s="115" t="s">
        <v>73</v>
      </c>
      <c r="AJ178" s="115" t="s">
        <v>74</v>
      </c>
      <c r="AK178" s="105" t="s">
        <v>1114</v>
      </c>
      <c r="AL178" s="115">
        <v>158400</v>
      </c>
      <c r="AM178" s="115"/>
      <c r="AN178" s="115"/>
      <c r="AO178" s="115"/>
      <c r="AP178" s="311"/>
      <c r="AQ178" s="311"/>
      <c r="AR178" s="115">
        <f>Tabelle4[[#This Row],[Kreditrest per 1.1. aktuelles Jahr]]-Tabelle4[[#This Row],[Prognose 2018
(RADAR: Kosten 2018 S)]]</f>
        <v>0</v>
      </c>
      <c r="AS178" s="115"/>
      <c r="AT178" s="311"/>
      <c r="AU178" s="115"/>
      <c r="AV178" s="311"/>
      <c r="AW178" s="115"/>
      <c r="AX178" s="311"/>
      <c r="AY178" s="115"/>
      <c r="AZ178" s="311"/>
      <c r="BA178" s="115"/>
      <c r="BB178" s="311"/>
      <c r="BC178" s="115"/>
      <c r="BD178" s="311"/>
      <c r="BE178" s="115"/>
      <c r="BF178" s="311"/>
      <c r="BG178" s="115"/>
      <c r="BH178" s="311"/>
      <c r="BI178" s="115"/>
      <c r="BJ178" s="115"/>
      <c r="BK178" s="264"/>
      <c r="BL178" s="105"/>
      <c r="BM178" s="106"/>
      <c r="BN178" s="106"/>
      <c r="BO178" s="106"/>
      <c r="BP178" s="106"/>
      <c r="BQ178" s="106"/>
      <c r="BR178" s="106"/>
      <c r="BS178" s="106"/>
      <c r="BT178" s="108">
        <f>SUM(Tabelle4[[#This Row],[Projektverantwortung
(Lenkungsausschuss) ]:[Kommunikation ]])</f>
        <v>0</v>
      </c>
      <c r="BU178" s="108"/>
      <c r="BV178" s="151"/>
      <c r="BW178" s="151"/>
      <c r="BX178" s="151"/>
      <c r="BY178" s="151"/>
      <c r="BZ178" s="151"/>
      <c r="CA178" s="151"/>
      <c r="CB178" s="151"/>
      <c r="CC178" s="108">
        <f>SUM(Tabelle4[[#This Row],[Projektverantwortung
(Lenkungsausschuss)   ]:[Kommunikation   ]])</f>
        <v>0</v>
      </c>
      <c r="CD178" s="108"/>
      <c r="CE178" s="151"/>
      <c r="CF178" s="151"/>
      <c r="CG178" s="151"/>
      <c r="CH178" s="151"/>
      <c r="CI178" s="151"/>
      <c r="CJ178" s="151"/>
      <c r="CK178" s="151"/>
      <c r="CL178" s="108">
        <f>SUM(Tabelle4[[#This Row],[Projektverantwortung
(Lenkungsausschuss).]:[Kommunikation    ]])</f>
        <v>0</v>
      </c>
      <c r="CM178" s="108"/>
      <c r="CN178" s="151"/>
      <c r="CO178" s="151"/>
      <c r="CP178" s="151"/>
      <c r="CQ178" s="151"/>
      <c r="CR178" s="151"/>
      <c r="CS178" s="151"/>
      <c r="CT178" s="151"/>
      <c r="CU178" s="108">
        <f>SUM(Tabelle4[[#This Row],[Projektverantwortung
(Lenkungsausschuss)    ]:[Kommunikation     ]])</f>
        <v>0</v>
      </c>
      <c r="CV178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178" s="105"/>
      <c r="CX178" s="105"/>
      <c r="CY178" s="116"/>
      <c r="CZ178" s="105"/>
      <c r="DA178" s="116"/>
      <c r="DB178" s="105"/>
      <c r="DC178" s="116"/>
      <c r="DD178" s="105"/>
      <c r="DE178" s="107">
        <f>SUM(Tabelle4[[#This Row],[Aufwand ]],Tabelle4[[#This Row],[Aufwand 2]],Tabelle4[[#This Row],[Aufwand 3]],Tabelle4[[#This Row],[Aufwand 4]])</f>
        <v>0</v>
      </c>
      <c r="DF178" s="116"/>
      <c r="DG178" s="105"/>
      <c r="DH178" s="105"/>
      <c r="DI178" s="116"/>
      <c r="DJ178" s="105"/>
      <c r="DK178" s="116"/>
      <c r="DL178" s="105"/>
      <c r="DM178" s="116"/>
      <c r="DN178" s="107">
        <f>SUM(Tabelle4[[#This Row],[Aufwand  ]],Tabelle4[[#This Row],[Aufwand  2]],Tabelle4[[#This Row],[Aufwand  3]],Tabelle4[[#This Row],[Aufwand  4]])</f>
        <v>0</v>
      </c>
      <c r="DO178" s="116"/>
      <c r="DP178" s="116"/>
      <c r="DQ178" s="116"/>
      <c r="DR178" s="116"/>
      <c r="DS178" s="105"/>
      <c r="DT178" s="116"/>
      <c r="DU178" s="105"/>
      <c r="DV178" s="116"/>
      <c r="DW178" s="107" t="e">
        <f>#REF!</f>
        <v>#REF!</v>
      </c>
      <c r="DX178" s="116"/>
      <c r="DY178" s="152"/>
      <c r="DZ178" s="105"/>
      <c r="EA178" s="180"/>
      <c r="EB178" s="181" t="e">
        <f>#REF!</f>
        <v>#REF!</v>
      </c>
      <c r="EC178" s="109"/>
      <c r="ED178" s="47"/>
      <c r="EE178" s="47"/>
      <c r="EF178" s="47"/>
      <c r="EG178" s="47"/>
      <c r="EH178" s="47"/>
      <c r="EI178" s="47"/>
      <c r="EJ178" s="47"/>
      <c r="EK178" s="47"/>
      <c r="EL178" s="47"/>
    </row>
    <row r="179" spans="1:142">
      <c r="A179" s="248" t="s">
        <v>853</v>
      </c>
      <c r="B179" s="249" t="s">
        <v>105</v>
      </c>
      <c r="C179" s="250" t="s">
        <v>690</v>
      </c>
      <c r="D179" s="249" t="s">
        <v>780</v>
      </c>
      <c r="E179" s="249" t="s">
        <v>114</v>
      </c>
      <c r="F179" s="252">
        <v>1</v>
      </c>
      <c r="G179" s="252">
        <v>3</v>
      </c>
      <c r="H179" s="252"/>
      <c r="I179" s="250" t="s">
        <v>95</v>
      </c>
      <c r="J179" s="250"/>
      <c r="K179" s="110"/>
      <c r="L179" s="110"/>
      <c r="M179" s="77"/>
      <c r="N179" s="110"/>
      <c r="O179" s="248"/>
      <c r="P179" s="256"/>
      <c r="Q179" s="256"/>
      <c r="R179" s="256"/>
      <c r="S179" s="257"/>
      <c r="T179" s="258" t="s">
        <v>658</v>
      </c>
      <c r="U179" s="110"/>
      <c r="V179" s="259" t="s">
        <v>12</v>
      </c>
      <c r="W179" s="105" t="s">
        <v>75</v>
      </c>
      <c r="X179" s="105" t="s">
        <v>75</v>
      </c>
      <c r="Y179" s="105" t="s">
        <v>75</v>
      </c>
      <c r="Z179" s="105" t="s">
        <v>75</v>
      </c>
      <c r="AA179" s="105" t="s">
        <v>75</v>
      </c>
      <c r="AB179" s="105" t="s">
        <v>75</v>
      </c>
      <c r="AC179" s="105" t="s">
        <v>75</v>
      </c>
      <c r="AD179" s="105"/>
      <c r="AE179" s="110"/>
      <c r="AF179" s="110"/>
      <c r="AG179" s="110"/>
      <c r="AH179" s="115" t="s">
        <v>802</v>
      </c>
      <c r="AI179" s="260"/>
      <c r="AJ179" s="260"/>
      <c r="AK179" s="105" t="s">
        <v>1228</v>
      </c>
      <c r="AL179" s="260">
        <v>2700000</v>
      </c>
      <c r="AM179" s="260"/>
      <c r="AN179" s="260"/>
      <c r="AO179" s="260">
        <f>Tabelle4[[#This Row],[Kredit-  / Budgetsumme
(RADAR: Gesamtkosten S)]]-Tabelle4[[#This Row],[Netto-Ausgaben Vorjahre ]]</f>
        <v>2700000</v>
      </c>
      <c r="AP179" s="310"/>
      <c r="AQ179" s="310">
        <v>30000</v>
      </c>
      <c r="AR179" s="260">
        <f>Tabelle4[[#This Row],[Kreditrest per 1.1. aktuelles Jahr]]-Tabelle4[[#This Row],[Prognose 2018
(RADAR: Kosten 2018 S)]]</f>
        <v>2670000</v>
      </c>
      <c r="AS179" s="260"/>
      <c r="AT179" s="310">
        <v>50000</v>
      </c>
      <c r="AU179" s="260"/>
      <c r="AV179" s="310">
        <v>100000</v>
      </c>
      <c r="AW179" s="260"/>
      <c r="AX179" s="310">
        <v>1200000</v>
      </c>
      <c r="AY179" s="260"/>
      <c r="AZ179" s="310">
        <v>1320000</v>
      </c>
      <c r="BA179" s="260"/>
      <c r="BB179" s="310"/>
      <c r="BC179" s="260"/>
      <c r="BD179" s="310"/>
      <c r="BE179" s="260"/>
      <c r="BF179" s="310"/>
      <c r="BG179" s="260"/>
      <c r="BH179" s="310"/>
      <c r="BI179" s="260"/>
      <c r="BJ179" s="260"/>
      <c r="BK179" s="264"/>
      <c r="BL179" s="105"/>
      <c r="BM179" s="111"/>
      <c r="BN179" s="111"/>
      <c r="BO179" s="111"/>
      <c r="BP179" s="111"/>
      <c r="BQ179" s="111"/>
      <c r="BR179" s="111"/>
      <c r="BS179" s="111"/>
      <c r="BT179" s="113">
        <f>SUM(Tabelle4[[#This Row],[Projektverantwortung
(Lenkungsausschuss) ]:[Kommunikation ]])</f>
        <v>0</v>
      </c>
      <c r="BU179" s="113"/>
      <c r="BV179" s="106"/>
      <c r="BW179" s="106"/>
      <c r="BX179" s="106"/>
      <c r="BY179" s="106"/>
      <c r="BZ179" s="106"/>
      <c r="CA179" s="106"/>
      <c r="CB179" s="106"/>
      <c r="CC179" s="113">
        <f>SUM(Tabelle4[[#This Row],[Projektverantwortung
(Lenkungsausschuss)   ]:[Kommunikation   ]])</f>
        <v>0</v>
      </c>
      <c r="CD179" s="113"/>
      <c r="CE179" s="114"/>
      <c r="CF179" s="114"/>
      <c r="CG179" s="114"/>
      <c r="CH179" s="114"/>
      <c r="CI179" s="114"/>
      <c r="CJ179" s="114"/>
      <c r="CK179" s="114"/>
      <c r="CL179" s="113">
        <f>SUM(Tabelle4[[#This Row],[Projektverantwortung
(Lenkungsausschuss).]:[Kommunikation    ]])</f>
        <v>0</v>
      </c>
      <c r="CM179" s="113"/>
      <c r="CN179" s="114"/>
      <c r="CO179" s="114"/>
      <c r="CP179" s="114"/>
      <c r="CQ179" s="114"/>
      <c r="CR179" s="114"/>
      <c r="CS179" s="114"/>
      <c r="CT179" s="114"/>
      <c r="CU179" s="113">
        <f>SUM(Tabelle4[[#This Row],[Projektverantwortung
(Lenkungsausschuss)    ]:[Kommunikation     ]])</f>
        <v>0</v>
      </c>
      <c r="CV179" s="112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179" s="105"/>
      <c r="CX179" s="105"/>
      <c r="CY179" s="105"/>
      <c r="CZ179" s="105"/>
      <c r="DA179" s="105"/>
      <c r="DB179" s="105"/>
      <c r="DC179" s="105"/>
      <c r="DD179" s="105"/>
      <c r="DE179" s="112">
        <f>SUM(Tabelle4[[#This Row],[Aufwand ]],Tabelle4[[#This Row],[Aufwand 2]],Tabelle4[[#This Row],[Aufwand 3]],Tabelle4[[#This Row],[Aufwand 4]])</f>
        <v>0</v>
      </c>
      <c r="DF179" s="142"/>
      <c r="DG179" s="110"/>
      <c r="DH179" s="110"/>
      <c r="DI179" s="142"/>
      <c r="DJ179" s="110"/>
      <c r="DK179" s="142"/>
      <c r="DL179" s="110"/>
      <c r="DM179" s="142"/>
      <c r="DN179" s="112">
        <f>SUM(Tabelle4[[#This Row],[Aufwand  ]],Tabelle4[[#This Row],[Aufwand  2]],Tabelle4[[#This Row],[Aufwand  3]],Tabelle4[[#This Row],[Aufwand  4]])</f>
        <v>0</v>
      </c>
      <c r="DO179" s="142"/>
      <c r="DP179" s="110"/>
      <c r="DQ179" s="110"/>
      <c r="DR179" s="142"/>
      <c r="DS179" s="110"/>
      <c r="DT179" s="142"/>
      <c r="DU179" s="110"/>
      <c r="DV179" s="142"/>
      <c r="DW179" s="107">
        <f>SUM(Tabelle4[[#This Row],[Aufwand   ]],Tabelle4[[#This Row],[Aufwand   2]],Tabelle4[[#This Row],[Aufwand   3]],Tabelle4[[#This Row],[Aufwand   4]])</f>
        <v>0</v>
      </c>
      <c r="DX179" s="142"/>
      <c r="DY179" s="143"/>
      <c r="DZ179" s="105"/>
      <c r="EA179" s="105"/>
      <c r="EB179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179" s="122">
        <f>Tabelle4[[#This Row],[Gesamaufwand]]/2000</f>
        <v>0</v>
      </c>
      <c r="ED179" s="47"/>
      <c r="EE179" s="47"/>
      <c r="EF179" s="47"/>
      <c r="EG179" s="47"/>
      <c r="EH179" s="47"/>
      <c r="EI179" s="47"/>
      <c r="EJ179" s="47"/>
      <c r="EK179" s="47"/>
      <c r="EL179" s="47"/>
    </row>
    <row r="180" spans="1:142">
      <c r="A180" s="255" t="s">
        <v>1156</v>
      </c>
      <c r="B180" s="251" t="s">
        <v>105</v>
      </c>
      <c r="C180" s="254" t="s">
        <v>75</v>
      </c>
      <c r="D180" s="251" t="s">
        <v>914</v>
      </c>
      <c r="E180" s="251" t="s">
        <v>114</v>
      </c>
      <c r="F180" s="253">
        <v>2</v>
      </c>
      <c r="G180" s="253">
        <v>1</v>
      </c>
      <c r="H180" s="253"/>
      <c r="I180" s="254" t="s">
        <v>95</v>
      </c>
      <c r="J180" s="254"/>
      <c r="K180" s="105"/>
      <c r="L180" s="105"/>
      <c r="M180" s="48"/>
      <c r="N180" s="105"/>
      <c r="O180" s="255"/>
      <c r="P180" s="261"/>
      <c r="Q180" s="261"/>
      <c r="R180" s="261"/>
      <c r="S180" s="262"/>
      <c r="T180" s="263" t="s">
        <v>674</v>
      </c>
      <c r="U180" s="105"/>
      <c r="V180" s="259" t="s">
        <v>12</v>
      </c>
      <c r="W180" s="105" t="s">
        <v>7</v>
      </c>
      <c r="X180" s="105" t="s">
        <v>1111</v>
      </c>
      <c r="Y180" s="105"/>
      <c r="Z180" s="105" t="s">
        <v>13</v>
      </c>
      <c r="AA180" s="105"/>
      <c r="AB180" s="105"/>
      <c r="AC180" s="105"/>
      <c r="AD180" s="105"/>
      <c r="AE180" s="105"/>
      <c r="AF180" s="105"/>
      <c r="AG180" s="105"/>
      <c r="AH180" s="115" t="s">
        <v>21</v>
      </c>
      <c r="AI180" s="115" t="s">
        <v>73</v>
      </c>
      <c r="AJ180" s="115" t="s">
        <v>74</v>
      </c>
      <c r="AK180" s="105" t="s">
        <v>1112</v>
      </c>
      <c r="AL180" s="115">
        <v>220500</v>
      </c>
      <c r="AM180" s="115"/>
      <c r="AN180" s="115">
        <f>Tabelle4[[#This Row],[Kredit-  / Budgetsumme
(RADAR: Gesamtkosten S)]]-Tabelle4[[#This Row],[Kreditrest per 1.1. aktuelles Jahr]]</f>
        <v>158406</v>
      </c>
      <c r="AO180" s="115">
        <v>62094</v>
      </c>
      <c r="AP180" s="311"/>
      <c r="AQ180" s="311"/>
      <c r="AR180" s="115">
        <f>Tabelle4[[#This Row],[Kreditrest per 1.1. aktuelles Jahr]]-Tabelle4[[#This Row],[Prognose 2018
(RADAR: Kosten 2018 S)]]</f>
        <v>62094</v>
      </c>
      <c r="AS180" s="115"/>
      <c r="AT180" s="311"/>
      <c r="AU180" s="115"/>
      <c r="AV180" s="311"/>
      <c r="AW180" s="115"/>
      <c r="AX180" s="311"/>
      <c r="AY180" s="115"/>
      <c r="AZ180" s="311"/>
      <c r="BA180" s="115"/>
      <c r="BB180" s="311"/>
      <c r="BC180" s="115"/>
      <c r="BD180" s="311"/>
      <c r="BE180" s="115"/>
      <c r="BF180" s="311"/>
      <c r="BG180" s="115"/>
      <c r="BH180" s="311"/>
      <c r="BI180" s="115"/>
      <c r="BJ180" s="115"/>
      <c r="BK180" s="264"/>
      <c r="BL180" s="105"/>
      <c r="BM180" s="106"/>
      <c r="BN180" s="106"/>
      <c r="BO180" s="106"/>
      <c r="BP180" s="106"/>
      <c r="BQ180" s="106"/>
      <c r="BR180" s="106"/>
      <c r="BS180" s="106"/>
      <c r="BT180" s="108">
        <f>SUM(Tabelle4[[#This Row],[Projektverantwortung
(Lenkungsausschuss) ]:[Kommunikation ]])</f>
        <v>0</v>
      </c>
      <c r="BU180" s="108"/>
      <c r="BV180" s="151"/>
      <c r="BW180" s="151"/>
      <c r="BX180" s="151"/>
      <c r="BY180" s="151"/>
      <c r="BZ180" s="151"/>
      <c r="CA180" s="151"/>
      <c r="CB180" s="151"/>
      <c r="CC180" s="108">
        <f>SUM(Tabelle4[[#This Row],[Projektverantwortung
(Lenkungsausschuss)   ]:[Kommunikation   ]])</f>
        <v>0</v>
      </c>
      <c r="CD180" s="108"/>
      <c r="CE180" s="151"/>
      <c r="CF180" s="151"/>
      <c r="CG180" s="151"/>
      <c r="CH180" s="151"/>
      <c r="CI180" s="151"/>
      <c r="CJ180" s="151"/>
      <c r="CK180" s="151"/>
      <c r="CL180" s="108">
        <f>SUM(Tabelle4[[#This Row],[Projektverantwortung
(Lenkungsausschuss).]:[Kommunikation    ]])</f>
        <v>0</v>
      </c>
      <c r="CM180" s="108"/>
      <c r="CN180" s="151"/>
      <c r="CO180" s="151"/>
      <c r="CP180" s="151"/>
      <c r="CQ180" s="151"/>
      <c r="CR180" s="151"/>
      <c r="CS180" s="151"/>
      <c r="CT180" s="151"/>
      <c r="CU180" s="108">
        <f>SUM(Tabelle4[[#This Row],[Projektverantwortung
(Lenkungsausschuss)    ]:[Kommunikation     ]])</f>
        <v>0</v>
      </c>
      <c r="CV180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180" s="105"/>
      <c r="CX180" s="105"/>
      <c r="CY180" s="116"/>
      <c r="CZ180" s="105"/>
      <c r="DA180" s="116"/>
      <c r="DB180" s="105"/>
      <c r="DC180" s="116"/>
      <c r="DD180" s="105"/>
      <c r="DE180" s="107">
        <f>SUM(Tabelle4[[#This Row],[Aufwand ]],Tabelle4[[#This Row],[Aufwand 2]],Tabelle4[[#This Row],[Aufwand 3]],Tabelle4[[#This Row],[Aufwand 4]])</f>
        <v>0</v>
      </c>
      <c r="DF180" s="116"/>
      <c r="DG180" s="105"/>
      <c r="DH180" s="105"/>
      <c r="DI180" s="116"/>
      <c r="DJ180" s="105"/>
      <c r="DK180" s="116"/>
      <c r="DL180" s="105"/>
      <c r="DM180" s="116"/>
      <c r="DN180" s="107">
        <f>SUM(Tabelle4[[#This Row],[Aufwand  ]],Tabelle4[[#This Row],[Aufwand  2]],Tabelle4[[#This Row],[Aufwand  3]],Tabelle4[[#This Row],[Aufwand  4]])</f>
        <v>0</v>
      </c>
      <c r="DO180" s="116"/>
      <c r="DP180" s="116"/>
      <c r="DQ180" s="116"/>
      <c r="DR180" s="105"/>
      <c r="DS180" s="105"/>
      <c r="DT180" s="116"/>
      <c r="DU180" s="105"/>
      <c r="DV180" s="116"/>
      <c r="DW180" s="107" t="e">
        <f>#REF!</f>
        <v>#REF!</v>
      </c>
      <c r="DX180" s="116"/>
      <c r="DY180" s="152"/>
      <c r="DZ180" s="105"/>
      <c r="EA180" s="180"/>
      <c r="EB180" s="181" t="e">
        <f>#REF!</f>
        <v>#REF!</v>
      </c>
      <c r="EC180" s="109"/>
      <c r="ED180" s="47"/>
      <c r="EE180" s="47"/>
      <c r="EF180" s="47"/>
      <c r="EG180" s="47"/>
      <c r="EH180" s="47"/>
      <c r="EI180" s="47"/>
      <c r="EJ180" s="47"/>
      <c r="EK180" s="47"/>
      <c r="EL180" s="47"/>
    </row>
    <row r="181" spans="1:142">
      <c r="A181" s="255" t="s">
        <v>265</v>
      </c>
      <c r="B181" s="251" t="s">
        <v>105</v>
      </c>
      <c r="C181" s="254" t="s">
        <v>75</v>
      </c>
      <c r="D181" s="251" t="s">
        <v>780</v>
      </c>
      <c r="E181" s="251" t="s">
        <v>114</v>
      </c>
      <c r="F181" s="253">
        <v>2</v>
      </c>
      <c r="G181" s="253">
        <v>2</v>
      </c>
      <c r="H181" s="253"/>
      <c r="I181" s="254" t="s">
        <v>95</v>
      </c>
      <c r="J181" s="254"/>
      <c r="K181" s="105"/>
      <c r="L181" s="105"/>
      <c r="M181" s="48"/>
      <c r="N181" s="105"/>
      <c r="O181" s="255" t="s">
        <v>266</v>
      </c>
      <c r="P181" s="261">
        <v>1</v>
      </c>
      <c r="Q181" s="261">
        <v>0</v>
      </c>
      <c r="R181" s="261">
        <v>0</v>
      </c>
      <c r="S181" s="262" t="s">
        <v>267</v>
      </c>
      <c r="T181" s="263" t="s">
        <v>670</v>
      </c>
      <c r="U181" s="105"/>
      <c r="V181" s="259" t="s">
        <v>12</v>
      </c>
      <c r="W181" s="105" t="s">
        <v>7</v>
      </c>
      <c r="X181" s="105" t="s">
        <v>9</v>
      </c>
      <c r="Y181" s="105" t="s">
        <v>690</v>
      </c>
      <c r="Z181" s="105" t="s">
        <v>13</v>
      </c>
      <c r="AA181" s="105" t="s">
        <v>633</v>
      </c>
      <c r="AB181" s="110" t="s">
        <v>690</v>
      </c>
      <c r="AC181" s="105" t="s">
        <v>690</v>
      </c>
      <c r="AD181" s="105" t="s">
        <v>690</v>
      </c>
      <c r="AE181" s="105"/>
      <c r="AF181" s="105"/>
      <c r="AG181" s="105"/>
      <c r="AH181" s="260" t="s">
        <v>802</v>
      </c>
      <c r="AI181" s="115"/>
      <c r="AJ181" s="115"/>
      <c r="AK181" s="105"/>
      <c r="AL181" s="115"/>
      <c r="AM181" s="115"/>
      <c r="AN181" s="115"/>
      <c r="AO181" s="260">
        <f>Tabelle4[[#This Row],[Kredit-  / Budgetsumme
(RADAR: Gesamtkosten S)]]-Tabelle4[[#This Row],[Netto-Ausgaben Vorjahre ]]</f>
        <v>0</v>
      </c>
      <c r="AP181" s="310"/>
      <c r="AQ181" s="311"/>
      <c r="AR181" s="115">
        <f>Tabelle4[[#This Row],[Kreditrest per 1.1. aktuelles Jahr]]-Tabelle4[[#This Row],[Prognose 2018
(RADAR: Kosten 2018 S)]]</f>
        <v>0</v>
      </c>
      <c r="AS181" s="115"/>
      <c r="AT181" s="311"/>
      <c r="AU181" s="115"/>
      <c r="AV181" s="311"/>
      <c r="AW181" s="115"/>
      <c r="AX181" s="311"/>
      <c r="AY181" s="115"/>
      <c r="AZ181" s="311"/>
      <c r="BA181" s="115"/>
      <c r="BB181" s="311"/>
      <c r="BC181" s="115"/>
      <c r="BD181" s="311"/>
      <c r="BE181" s="115"/>
      <c r="BF181" s="311"/>
      <c r="BG181" s="115"/>
      <c r="BH181" s="311"/>
      <c r="BI181" s="115"/>
      <c r="BJ181" s="115"/>
      <c r="BK181" s="264"/>
      <c r="BL181" s="105"/>
      <c r="BM181" s="106">
        <v>8</v>
      </c>
      <c r="BN181" s="106">
        <v>8</v>
      </c>
      <c r="BO181" s="106">
        <v>20</v>
      </c>
      <c r="BP181" s="106"/>
      <c r="BQ181" s="106"/>
      <c r="BR181" s="106"/>
      <c r="BS181" s="106"/>
      <c r="BT181" s="108">
        <f>SUM(Tabelle4[[#This Row],[Projektverantwortung
(Lenkungsausschuss) ]:[Kommunikation ]])</f>
        <v>36</v>
      </c>
      <c r="BU181" s="105"/>
      <c r="BV181" s="106">
        <v>8</v>
      </c>
      <c r="BW181" s="106"/>
      <c r="BX181" s="106">
        <v>40</v>
      </c>
      <c r="BY181" s="106">
        <v>80</v>
      </c>
      <c r="BZ181" s="106"/>
      <c r="CA181" s="106"/>
      <c r="CB181" s="106"/>
      <c r="CC181" s="108">
        <f>SUM(Tabelle4[[#This Row],[Projektverantwortung
(Lenkungsausschuss)   ]:[Kommunikation   ]])</f>
        <v>128</v>
      </c>
      <c r="CD181" s="105"/>
      <c r="CE181" s="106">
        <v>8</v>
      </c>
      <c r="CF181" s="106"/>
      <c r="CG181" s="106">
        <v>40</v>
      </c>
      <c r="CH181" s="106">
        <v>80</v>
      </c>
      <c r="CI181" s="106"/>
      <c r="CJ181" s="106"/>
      <c r="CK181" s="106"/>
      <c r="CL181" s="108">
        <f>SUM(Tabelle4[[#This Row],[Projektverantwortung
(Lenkungsausschuss).]:[Kommunikation    ]])</f>
        <v>128</v>
      </c>
      <c r="CM181" s="105"/>
      <c r="CN181" s="106">
        <v>8</v>
      </c>
      <c r="CO181" s="106"/>
      <c r="CP181" s="106">
        <v>40</v>
      </c>
      <c r="CQ181" s="106">
        <v>80</v>
      </c>
      <c r="CR181" s="106"/>
      <c r="CS181" s="106"/>
      <c r="CT181" s="106"/>
      <c r="CU181" s="108">
        <f>SUM(Tabelle4[[#This Row],[Projektverantwortung
(Lenkungsausschuss)    ]:[Kommunikation     ]])</f>
        <v>128</v>
      </c>
      <c r="CV181" s="107">
        <f>SUM(Tabelle4[[#This Row],[Total Aufwand
1. Quartal 2018]],Tabelle4[[#This Row],[Total Aufwand
2. Quartal 2018]],Tabelle4[[#This Row],[Total Aufwand
3. Quartal 2018]],Tabelle4[[#This Row],[Total Aufwand
4. Quartal 2018]])</f>
        <v>420</v>
      </c>
      <c r="CW181" s="105"/>
      <c r="CX181" s="105"/>
      <c r="CY181" s="105"/>
      <c r="CZ181" s="105"/>
      <c r="DA181" s="105"/>
      <c r="DB181" s="105"/>
      <c r="DC181" s="105"/>
      <c r="DD181" s="105"/>
      <c r="DE181" s="107">
        <f>SUM(Tabelle4[[#This Row],[Aufwand ]],Tabelle4[[#This Row],[Aufwand 2]],Tabelle4[[#This Row],[Aufwand 3]],Tabelle4[[#This Row],[Aufwand 4]])</f>
        <v>0</v>
      </c>
      <c r="DF181" s="105"/>
      <c r="DG181" s="105"/>
      <c r="DH181" s="105"/>
      <c r="DI181" s="105"/>
      <c r="DJ181" s="105"/>
      <c r="DK181" s="105"/>
      <c r="DL181" s="105"/>
      <c r="DM181" s="105"/>
      <c r="DN181" s="107">
        <f>SUM(Tabelle4[[#This Row],[Aufwand  ]],Tabelle4[[#This Row],[Aufwand  2]],Tabelle4[[#This Row],[Aufwand  3]],Tabelle4[[#This Row],[Aufwand  4]])</f>
        <v>0</v>
      </c>
      <c r="DO181" s="105"/>
      <c r="DP181" s="105"/>
      <c r="DQ181" s="105"/>
      <c r="DR181" s="105"/>
      <c r="DS181" s="105"/>
      <c r="DT181" s="105"/>
      <c r="DU181" s="105"/>
      <c r="DV181" s="105"/>
      <c r="DW181" s="107">
        <f>SUM(Tabelle4[[#This Row],[Aufwand   ]],Tabelle4[[#This Row],[Aufwand   2]],Tabelle4[[#This Row],[Aufwand   3]],Tabelle4[[#This Row],[Aufwand   4]])</f>
        <v>0</v>
      </c>
      <c r="DX181" s="105"/>
      <c r="DY181" s="105"/>
      <c r="DZ181" s="105"/>
      <c r="EA181" s="105"/>
      <c r="EB181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420</v>
      </c>
      <c r="EC181" s="122">
        <f>Tabelle4[[#This Row],[Gesamaufwand]]/2000</f>
        <v>0.21</v>
      </c>
      <c r="ED181" s="47"/>
      <c r="EE181" s="47"/>
      <c r="EF181" s="47"/>
      <c r="EG181" s="47"/>
      <c r="EH181" s="47"/>
      <c r="EI181" s="47"/>
      <c r="EJ181" s="47"/>
      <c r="EK181" s="47"/>
      <c r="EL181" s="47"/>
    </row>
    <row r="182" spans="1:142">
      <c r="A182" s="255" t="s">
        <v>533</v>
      </c>
      <c r="B182" s="251" t="s">
        <v>1331</v>
      </c>
      <c r="C182" s="254" t="s">
        <v>690</v>
      </c>
      <c r="D182" s="251"/>
      <c r="E182" s="251"/>
      <c r="F182" s="253"/>
      <c r="G182" s="253"/>
      <c r="H182" s="253"/>
      <c r="I182" s="254"/>
      <c r="J182" s="254"/>
      <c r="K182" s="105"/>
      <c r="L182" s="105"/>
      <c r="M182" s="48"/>
      <c r="N182" s="105"/>
      <c r="O182" s="255" t="s">
        <v>534</v>
      </c>
      <c r="P182" s="261">
        <v>2</v>
      </c>
      <c r="Q182" s="261">
        <v>0</v>
      </c>
      <c r="R182" s="261">
        <v>0</v>
      </c>
      <c r="S182" s="262" t="s">
        <v>254</v>
      </c>
      <c r="T182" s="263" t="s">
        <v>75</v>
      </c>
      <c r="U182" s="105"/>
      <c r="V182" s="259" t="s">
        <v>607</v>
      </c>
      <c r="W182" s="105" t="s">
        <v>75</v>
      </c>
      <c r="X182" s="105" t="s">
        <v>75</v>
      </c>
      <c r="Y182" s="105" t="s">
        <v>75</v>
      </c>
      <c r="Z182" s="105" t="s">
        <v>75</v>
      </c>
      <c r="AA182" s="105" t="s">
        <v>75</v>
      </c>
      <c r="AB182" s="105" t="s">
        <v>75</v>
      </c>
      <c r="AC182" s="105" t="s">
        <v>75</v>
      </c>
      <c r="AD182" s="105"/>
      <c r="AE182" s="105"/>
      <c r="AF182" s="105"/>
      <c r="AG182" s="105"/>
      <c r="AH182" s="115" t="s">
        <v>621</v>
      </c>
      <c r="AI182" s="115"/>
      <c r="AJ182" s="115"/>
      <c r="AK182" s="105"/>
      <c r="AL182" s="115"/>
      <c r="AM182" s="115"/>
      <c r="AN182" s="115"/>
      <c r="AO182" s="260">
        <f>Tabelle4[[#This Row],[Kredit-  / Budgetsumme
(RADAR: Gesamtkosten S)]]-Tabelle4[[#This Row],[Netto-Ausgaben Vorjahre ]]</f>
        <v>0</v>
      </c>
      <c r="AP182" s="310"/>
      <c r="AQ182" s="311"/>
      <c r="AR182" s="115">
        <f>Tabelle4[[#This Row],[Kreditrest per 1.1. aktuelles Jahr]]-Tabelle4[[#This Row],[Prognose 2018
(RADAR: Kosten 2018 S)]]</f>
        <v>0</v>
      </c>
      <c r="AS182" s="115"/>
      <c r="AT182" s="311"/>
      <c r="AU182" s="115"/>
      <c r="AV182" s="311"/>
      <c r="AW182" s="115"/>
      <c r="AX182" s="311"/>
      <c r="AY182" s="115"/>
      <c r="AZ182" s="311"/>
      <c r="BA182" s="115"/>
      <c r="BB182" s="311"/>
      <c r="BC182" s="115"/>
      <c r="BD182" s="311"/>
      <c r="BE182" s="115"/>
      <c r="BF182" s="311"/>
      <c r="BG182" s="115"/>
      <c r="BH182" s="311"/>
      <c r="BI182" s="115"/>
      <c r="BJ182" s="115"/>
      <c r="BK182" s="264"/>
      <c r="BL182" s="105"/>
      <c r="BM182" s="106"/>
      <c r="BN182" s="106"/>
      <c r="BO182" s="106"/>
      <c r="BP182" s="106"/>
      <c r="BQ182" s="106"/>
      <c r="BR182" s="106"/>
      <c r="BS182" s="106"/>
      <c r="BT182" s="108">
        <f>SUM(Tabelle4[[#This Row],[Projektverantwortung
(Lenkungsausschuss) ]:[Kommunikation ]])</f>
        <v>0</v>
      </c>
      <c r="BU182" s="105"/>
      <c r="BV182" s="106"/>
      <c r="BW182" s="106"/>
      <c r="BX182" s="106"/>
      <c r="BY182" s="106"/>
      <c r="BZ182" s="106"/>
      <c r="CA182" s="106"/>
      <c r="CB182" s="106"/>
      <c r="CC182" s="108">
        <f>SUM(Tabelle4[[#This Row],[Projektverantwortung
(Lenkungsausschuss)   ]:[Kommunikation   ]])</f>
        <v>0</v>
      </c>
      <c r="CD182" s="105"/>
      <c r="CE182" s="106"/>
      <c r="CF182" s="106"/>
      <c r="CG182" s="106"/>
      <c r="CH182" s="106"/>
      <c r="CI182" s="106"/>
      <c r="CJ182" s="106"/>
      <c r="CK182" s="106"/>
      <c r="CL182" s="108">
        <f>SUM(Tabelle4[[#This Row],[Projektverantwortung
(Lenkungsausschuss).]:[Kommunikation    ]])</f>
        <v>0</v>
      </c>
      <c r="CM182" s="105"/>
      <c r="CN182" s="106"/>
      <c r="CO182" s="106"/>
      <c r="CP182" s="106"/>
      <c r="CQ182" s="106"/>
      <c r="CR182" s="106"/>
      <c r="CS182" s="106"/>
      <c r="CT182" s="106"/>
      <c r="CU182" s="108">
        <f>SUM(Tabelle4[[#This Row],[Projektverantwortung
(Lenkungsausschuss)    ]:[Kommunikation     ]])</f>
        <v>0</v>
      </c>
      <c r="CV182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182" s="105"/>
      <c r="CX182" s="105"/>
      <c r="CY182" s="105"/>
      <c r="CZ182" s="105"/>
      <c r="DA182" s="105"/>
      <c r="DB182" s="105"/>
      <c r="DC182" s="105"/>
      <c r="DD182" s="105"/>
      <c r="DE182" s="107">
        <f>SUM(Tabelle4[[#This Row],[Aufwand ]],Tabelle4[[#This Row],[Aufwand 2]],Tabelle4[[#This Row],[Aufwand 3]],Tabelle4[[#This Row],[Aufwand 4]])</f>
        <v>0</v>
      </c>
      <c r="DF182" s="105"/>
      <c r="DG182" s="105"/>
      <c r="DH182" s="105"/>
      <c r="DI182" s="105"/>
      <c r="DJ182" s="105"/>
      <c r="DK182" s="105"/>
      <c r="DL182" s="105"/>
      <c r="DM182" s="105"/>
      <c r="DN182" s="107">
        <f>SUM(Tabelle4[[#This Row],[Aufwand  ]],Tabelle4[[#This Row],[Aufwand  2]],Tabelle4[[#This Row],[Aufwand  3]],Tabelle4[[#This Row],[Aufwand  4]])</f>
        <v>0</v>
      </c>
      <c r="DO182" s="105"/>
      <c r="DP182" s="105"/>
      <c r="DQ182" s="105"/>
      <c r="DR182" s="105"/>
      <c r="DS182" s="105"/>
      <c r="DT182" s="105"/>
      <c r="DU182" s="105"/>
      <c r="DV182" s="105"/>
      <c r="DW182" s="107">
        <f>SUM(Tabelle4[[#This Row],[Aufwand   ]],Tabelle4[[#This Row],[Aufwand   2]],Tabelle4[[#This Row],[Aufwand   3]],Tabelle4[[#This Row],[Aufwand   4]])</f>
        <v>0</v>
      </c>
      <c r="DX182" s="105"/>
      <c r="DY182" s="105"/>
      <c r="DZ182" s="105"/>
      <c r="EA182" s="105"/>
      <c r="EB182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182" s="122">
        <f>Tabelle4[[#This Row],[Gesamaufwand]]/2000</f>
        <v>0</v>
      </c>
      <c r="ED182" s="47"/>
      <c r="EE182" s="47"/>
      <c r="EF182" s="47"/>
      <c r="EG182" s="47"/>
      <c r="EH182" s="47"/>
      <c r="EI182" s="47"/>
      <c r="EJ182" s="47"/>
      <c r="EK182" s="47"/>
      <c r="EL182" s="47"/>
    </row>
    <row r="183" spans="1:142">
      <c r="A183" s="255" t="s">
        <v>1117</v>
      </c>
      <c r="B183" s="251" t="s">
        <v>106</v>
      </c>
      <c r="C183" s="254" t="s">
        <v>75</v>
      </c>
      <c r="D183" s="251" t="s">
        <v>914</v>
      </c>
      <c r="E183" s="251" t="s">
        <v>112</v>
      </c>
      <c r="F183" s="253">
        <v>2</v>
      </c>
      <c r="G183" s="253">
        <v>5</v>
      </c>
      <c r="H183" s="253"/>
      <c r="I183" s="254" t="s">
        <v>95</v>
      </c>
      <c r="J183" s="254"/>
      <c r="K183" s="105"/>
      <c r="L183" s="105"/>
      <c r="M183" s="48"/>
      <c r="N183" s="105"/>
      <c r="O183" s="255" t="s">
        <v>300</v>
      </c>
      <c r="P183" s="261">
        <v>1</v>
      </c>
      <c r="Q183" s="261">
        <v>0</v>
      </c>
      <c r="R183" s="261">
        <v>0</v>
      </c>
      <c r="S183" s="262" t="s">
        <v>301</v>
      </c>
      <c r="T183" s="263" t="s">
        <v>75</v>
      </c>
      <c r="U183" s="105"/>
      <c r="V183" s="259" t="s">
        <v>12</v>
      </c>
      <c r="W183" s="105" t="s">
        <v>7</v>
      </c>
      <c r="X183" s="105" t="s">
        <v>9</v>
      </c>
      <c r="Y183" s="105" t="s">
        <v>690</v>
      </c>
      <c r="Z183" s="105" t="s">
        <v>78</v>
      </c>
      <c r="AA183" s="105" t="s">
        <v>75</v>
      </c>
      <c r="AB183" s="105" t="s">
        <v>75</v>
      </c>
      <c r="AC183" s="105" t="s">
        <v>75</v>
      </c>
      <c r="AD183" s="105"/>
      <c r="AE183" s="105"/>
      <c r="AF183" s="105"/>
      <c r="AG183" s="105"/>
      <c r="AH183" s="115" t="s">
        <v>21</v>
      </c>
      <c r="AI183" s="115" t="s">
        <v>73</v>
      </c>
      <c r="AJ183" s="115" t="s">
        <v>74</v>
      </c>
      <c r="AK183" s="105" t="s">
        <v>1118</v>
      </c>
      <c r="AL183" s="115">
        <v>153000</v>
      </c>
      <c r="AM183" s="115"/>
      <c r="AN183" s="115">
        <v>121816</v>
      </c>
      <c r="AO183" s="260">
        <f>Tabelle4[[#This Row],[Kredit-  / Budgetsumme
(RADAR: Gesamtkosten S)]]-Tabelle4[[#This Row],[Netto-Ausgaben Vorjahre ]]</f>
        <v>31184</v>
      </c>
      <c r="AP183" s="310"/>
      <c r="AQ183" s="311"/>
      <c r="AR183" s="115">
        <f>Tabelle4[[#This Row],[Kreditrest per 1.1. aktuelles Jahr]]-Tabelle4[[#This Row],[Prognose 2018
(RADAR: Kosten 2018 S)]]</f>
        <v>31184</v>
      </c>
      <c r="AS183" s="115"/>
      <c r="AT183" s="311"/>
      <c r="AU183" s="115"/>
      <c r="AV183" s="311"/>
      <c r="AW183" s="115"/>
      <c r="AX183" s="311"/>
      <c r="AY183" s="115"/>
      <c r="AZ183" s="311"/>
      <c r="BA183" s="115"/>
      <c r="BB183" s="311"/>
      <c r="BC183" s="115"/>
      <c r="BD183" s="311"/>
      <c r="BE183" s="115"/>
      <c r="BF183" s="311"/>
      <c r="BG183" s="115"/>
      <c r="BH183" s="311"/>
      <c r="BI183" s="115"/>
      <c r="BJ183" s="115"/>
      <c r="BK183" s="264"/>
      <c r="BL183" s="105"/>
      <c r="BM183" s="106"/>
      <c r="BN183" s="106"/>
      <c r="BO183" s="106"/>
      <c r="BP183" s="106"/>
      <c r="BQ183" s="106"/>
      <c r="BR183" s="106"/>
      <c r="BS183" s="106"/>
      <c r="BT183" s="108">
        <f>SUM(Tabelle4[[#This Row],[Projektverantwortung
(Lenkungsausschuss) ]:[Kommunikation ]])</f>
        <v>0</v>
      </c>
      <c r="BU183" s="105"/>
      <c r="BV183" s="106"/>
      <c r="BW183" s="106"/>
      <c r="BX183" s="106"/>
      <c r="BY183" s="106"/>
      <c r="BZ183" s="106"/>
      <c r="CA183" s="106"/>
      <c r="CB183" s="106"/>
      <c r="CC183" s="108">
        <f>SUM(Tabelle4[[#This Row],[Projektverantwortung
(Lenkungsausschuss)   ]:[Kommunikation   ]])</f>
        <v>0</v>
      </c>
      <c r="CD183" s="105"/>
      <c r="CE183" s="106"/>
      <c r="CF183" s="106"/>
      <c r="CG183" s="106"/>
      <c r="CH183" s="106"/>
      <c r="CI183" s="106"/>
      <c r="CJ183" s="106"/>
      <c r="CK183" s="106"/>
      <c r="CL183" s="108">
        <f>SUM(Tabelle4[[#This Row],[Projektverantwortung
(Lenkungsausschuss).]:[Kommunikation    ]])</f>
        <v>0</v>
      </c>
      <c r="CM183" s="105"/>
      <c r="CN183" s="106"/>
      <c r="CO183" s="106"/>
      <c r="CP183" s="106"/>
      <c r="CQ183" s="106"/>
      <c r="CR183" s="106"/>
      <c r="CS183" s="106"/>
      <c r="CT183" s="106"/>
      <c r="CU183" s="108">
        <f>SUM(Tabelle4[[#This Row],[Projektverantwortung
(Lenkungsausschuss)    ]:[Kommunikation     ]])</f>
        <v>0</v>
      </c>
      <c r="CV183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183" s="105"/>
      <c r="CX183" s="105"/>
      <c r="CY183" s="105"/>
      <c r="CZ183" s="105"/>
      <c r="DA183" s="105"/>
      <c r="DB183" s="105"/>
      <c r="DC183" s="105"/>
      <c r="DD183" s="105"/>
      <c r="DE183" s="107">
        <f>SUM(Tabelle4[[#This Row],[Aufwand ]],Tabelle4[[#This Row],[Aufwand 2]],Tabelle4[[#This Row],[Aufwand 3]],Tabelle4[[#This Row],[Aufwand 4]])</f>
        <v>0</v>
      </c>
      <c r="DF183" s="105"/>
      <c r="DG183" s="105"/>
      <c r="DH183" s="105"/>
      <c r="DI183" s="105"/>
      <c r="DJ183" s="105"/>
      <c r="DK183" s="105"/>
      <c r="DL183" s="105"/>
      <c r="DM183" s="105"/>
      <c r="DN183" s="107">
        <f>SUM(Tabelle4[[#This Row],[Aufwand  ]],Tabelle4[[#This Row],[Aufwand  2]],Tabelle4[[#This Row],[Aufwand  3]],Tabelle4[[#This Row],[Aufwand  4]])</f>
        <v>0</v>
      </c>
      <c r="DO183" s="105"/>
      <c r="DP183" s="105"/>
      <c r="DQ183" s="105"/>
      <c r="DR183" s="105"/>
      <c r="DS183" s="105"/>
      <c r="DT183" s="105"/>
      <c r="DU183" s="105"/>
      <c r="DV183" s="105"/>
      <c r="DW183" s="107">
        <f>SUM(Tabelle4[[#This Row],[Aufwand   ]],Tabelle4[[#This Row],[Aufwand   2]],Tabelle4[[#This Row],[Aufwand   3]],Tabelle4[[#This Row],[Aufwand   4]])</f>
        <v>0</v>
      </c>
      <c r="DX183" s="105"/>
      <c r="DY183" s="105"/>
      <c r="DZ183" s="105"/>
      <c r="EA183" s="105"/>
      <c r="EB183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183" s="122">
        <f>Tabelle4[[#This Row],[Gesamaufwand]]/2000</f>
        <v>0</v>
      </c>
      <c r="ED183" s="47"/>
      <c r="EE183" s="47"/>
      <c r="EF183" s="47"/>
      <c r="EG183" s="47"/>
      <c r="EH183" s="47"/>
      <c r="EI183" s="47"/>
      <c r="EJ183" s="47"/>
      <c r="EK183" s="47"/>
      <c r="EL183" s="47"/>
    </row>
    <row r="184" spans="1:142">
      <c r="A184" s="255" t="s">
        <v>535</v>
      </c>
      <c r="B184" s="251" t="s">
        <v>105</v>
      </c>
      <c r="C184" s="254" t="s">
        <v>68</v>
      </c>
      <c r="D184" s="251" t="s">
        <v>913</v>
      </c>
      <c r="E184" s="251" t="s">
        <v>635</v>
      </c>
      <c r="F184" s="253">
        <v>2</v>
      </c>
      <c r="G184" s="253">
        <v>2</v>
      </c>
      <c r="H184" s="253"/>
      <c r="I184" s="254" t="s">
        <v>95</v>
      </c>
      <c r="J184" s="254"/>
      <c r="K184" s="105"/>
      <c r="L184" s="105"/>
      <c r="M184" s="48"/>
      <c r="N184" s="105"/>
      <c r="O184" s="255" t="s">
        <v>536</v>
      </c>
      <c r="P184" s="261">
        <v>2</v>
      </c>
      <c r="Q184" s="261">
        <v>0</v>
      </c>
      <c r="R184" s="261">
        <v>0</v>
      </c>
      <c r="S184" s="262" t="s">
        <v>257</v>
      </c>
      <c r="T184" s="263" t="s">
        <v>659</v>
      </c>
      <c r="U184" s="105"/>
      <c r="V184" s="259" t="s">
        <v>609</v>
      </c>
      <c r="W184" s="105" t="s">
        <v>6</v>
      </c>
      <c r="X184" s="105" t="s">
        <v>75</v>
      </c>
      <c r="Y184" s="105" t="s">
        <v>75</v>
      </c>
      <c r="Z184" s="105" t="s">
        <v>86</v>
      </c>
      <c r="AA184" s="105" t="s">
        <v>639</v>
      </c>
      <c r="AB184" s="105" t="s">
        <v>639</v>
      </c>
      <c r="AC184" s="105" t="s">
        <v>639</v>
      </c>
      <c r="AD184" s="105"/>
      <c r="AE184" s="105"/>
      <c r="AF184" s="105"/>
      <c r="AG184" s="105"/>
      <c r="AH184" s="115" t="s">
        <v>621</v>
      </c>
      <c r="AI184" s="115"/>
      <c r="AJ184" s="115"/>
      <c r="AK184" s="105"/>
      <c r="AL184" s="115"/>
      <c r="AM184" s="115"/>
      <c r="AN184" s="115"/>
      <c r="AO184" s="260">
        <f>Tabelle4[[#This Row],[Kredit-  / Budgetsumme
(RADAR: Gesamtkosten S)]]-Tabelle4[[#This Row],[Netto-Ausgaben Vorjahre ]]</f>
        <v>0</v>
      </c>
      <c r="AP184" s="310"/>
      <c r="AQ184" s="311"/>
      <c r="AR184" s="115">
        <f>Tabelle4[[#This Row],[Kreditrest per 1.1. aktuelles Jahr]]-Tabelle4[[#This Row],[Prognose 2018
(RADAR: Kosten 2018 S)]]</f>
        <v>0</v>
      </c>
      <c r="AS184" s="115"/>
      <c r="AT184" s="311"/>
      <c r="AU184" s="115"/>
      <c r="AV184" s="311"/>
      <c r="AW184" s="115"/>
      <c r="AX184" s="311"/>
      <c r="AY184" s="115"/>
      <c r="AZ184" s="311"/>
      <c r="BA184" s="115"/>
      <c r="BB184" s="311"/>
      <c r="BC184" s="115"/>
      <c r="BD184" s="311"/>
      <c r="BE184" s="115"/>
      <c r="BF184" s="311"/>
      <c r="BG184" s="115"/>
      <c r="BH184" s="311"/>
      <c r="BI184" s="115"/>
      <c r="BJ184" s="115"/>
      <c r="BK184" s="264"/>
      <c r="BL184" s="105"/>
      <c r="BM184" s="106"/>
      <c r="BN184" s="106"/>
      <c r="BO184" s="106" t="s">
        <v>75</v>
      </c>
      <c r="BP184" s="106"/>
      <c r="BQ184" s="106"/>
      <c r="BR184" s="106"/>
      <c r="BS184" s="106"/>
      <c r="BT184" s="108">
        <f>SUM(Tabelle4[[#This Row],[Projektverantwortung
(Lenkungsausschuss) ]:[Kommunikation ]])</f>
        <v>0</v>
      </c>
      <c r="BU184" s="105"/>
      <c r="BV184" s="106"/>
      <c r="BW184" s="106"/>
      <c r="BX184" s="106"/>
      <c r="BY184" s="106"/>
      <c r="BZ184" s="106"/>
      <c r="CA184" s="106"/>
      <c r="CB184" s="106"/>
      <c r="CC184" s="108">
        <f>SUM(Tabelle4[[#This Row],[Projektverantwortung
(Lenkungsausschuss)   ]:[Kommunikation   ]])</f>
        <v>0</v>
      </c>
      <c r="CD184" s="105"/>
      <c r="CE184" s="106"/>
      <c r="CF184" s="106"/>
      <c r="CG184" s="106"/>
      <c r="CH184" s="106"/>
      <c r="CI184" s="106"/>
      <c r="CJ184" s="106"/>
      <c r="CK184" s="106"/>
      <c r="CL184" s="108">
        <f>SUM(Tabelle4[[#This Row],[Projektverantwortung
(Lenkungsausschuss).]:[Kommunikation    ]])</f>
        <v>0</v>
      </c>
      <c r="CM184" s="105"/>
      <c r="CN184" s="106"/>
      <c r="CO184" s="106"/>
      <c r="CP184" s="106"/>
      <c r="CQ184" s="106"/>
      <c r="CR184" s="106"/>
      <c r="CS184" s="106"/>
      <c r="CT184" s="106"/>
      <c r="CU184" s="108">
        <f>SUM(Tabelle4[[#This Row],[Projektverantwortung
(Lenkungsausschuss)    ]:[Kommunikation     ]])</f>
        <v>0</v>
      </c>
      <c r="CV184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184" s="105"/>
      <c r="CX184" s="105"/>
      <c r="CY184" s="105"/>
      <c r="CZ184" s="105"/>
      <c r="DA184" s="105"/>
      <c r="DB184" s="105"/>
      <c r="DC184" s="105"/>
      <c r="DD184" s="105"/>
      <c r="DE184" s="107">
        <f>SUM(Tabelle4[[#This Row],[Aufwand ]],Tabelle4[[#This Row],[Aufwand 2]],Tabelle4[[#This Row],[Aufwand 3]],Tabelle4[[#This Row],[Aufwand 4]])</f>
        <v>0</v>
      </c>
      <c r="DF184" s="105"/>
      <c r="DG184" s="105"/>
      <c r="DH184" s="105"/>
      <c r="DI184" s="105"/>
      <c r="DJ184" s="105"/>
      <c r="DK184" s="105"/>
      <c r="DL184" s="105"/>
      <c r="DM184" s="105"/>
      <c r="DN184" s="107">
        <f>SUM(Tabelle4[[#This Row],[Aufwand  ]],Tabelle4[[#This Row],[Aufwand  2]],Tabelle4[[#This Row],[Aufwand  3]],Tabelle4[[#This Row],[Aufwand  4]])</f>
        <v>0</v>
      </c>
      <c r="DO184" s="105"/>
      <c r="DP184" s="105"/>
      <c r="DQ184" s="105"/>
      <c r="DR184" s="105"/>
      <c r="DS184" s="105"/>
      <c r="DT184" s="105"/>
      <c r="DU184" s="105"/>
      <c r="DV184" s="105"/>
      <c r="DW184" s="107">
        <f>SUM(Tabelle4[[#This Row],[Aufwand   ]],Tabelle4[[#This Row],[Aufwand   2]],Tabelle4[[#This Row],[Aufwand   3]],Tabelle4[[#This Row],[Aufwand   4]])</f>
        <v>0</v>
      </c>
      <c r="DX184" s="105"/>
      <c r="DY184" s="105"/>
      <c r="DZ184" s="105"/>
      <c r="EA184" s="105"/>
      <c r="EB184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184" s="122">
        <f>Tabelle4[[#This Row],[Gesamaufwand]]/2000</f>
        <v>0</v>
      </c>
      <c r="ED184" s="47"/>
      <c r="EE184" s="47"/>
      <c r="EF184" s="47"/>
      <c r="EG184" s="47"/>
      <c r="EH184" s="47"/>
      <c r="EI184" s="47"/>
      <c r="EJ184" s="47"/>
      <c r="EK184" s="47"/>
      <c r="EL184" s="47"/>
    </row>
    <row r="185" spans="1:142">
      <c r="A185" s="255" t="s">
        <v>537</v>
      </c>
      <c r="B185" s="251" t="s">
        <v>105</v>
      </c>
      <c r="C185" s="254" t="s">
        <v>68</v>
      </c>
      <c r="D185" s="251" t="s">
        <v>913</v>
      </c>
      <c r="E185" s="251" t="s">
        <v>97</v>
      </c>
      <c r="F185" s="253">
        <v>3</v>
      </c>
      <c r="G185" s="253">
        <v>3</v>
      </c>
      <c r="H185" s="253"/>
      <c r="I185" s="254" t="s">
        <v>95</v>
      </c>
      <c r="J185" s="254"/>
      <c r="K185" s="105"/>
      <c r="L185" s="105"/>
      <c r="M185" s="48"/>
      <c r="N185" s="105"/>
      <c r="O185" s="255" t="s">
        <v>538</v>
      </c>
      <c r="P185" s="261">
        <v>2</v>
      </c>
      <c r="Q185" s="261">
        <v>0</v>
      </c>
      <c r="R185" s="261">
        <v>0</v>
      </c>
      <c r="S185" s="262" t="s">
        <v>539</v>
      </c>
      <c r="T185" s="263" t="s">
        <v>662</v>
      </c>
      <c r="U185" s="105"/>
      <c r="V185" s="259" t="s">
        <v>610</v>
      </c>
      <c r="W185" s="105" t="s">
        <v>6</v>
      </c>
      <c r="X185" s="105" t="s">
        <v>86</v>
      </c>
      <c r="Y185" s="105" t="s">
        <v>690</v>
      </c>
      <c r="Z185" s="105" t="s">
        <v>81</v>
      </c>
      <c r="AA185" s="105" t="s">
        <v>639</v>
      </c>
      <c r="AB185" s="105" t="s">
        <v>639</v>
      </c>
      <c r="AC185" s="105" t="s">
        <v>634</v>
      </c>
      <c r="AD185" s="105"/>
      <c r="AE185" s="105"/>
      <c r="AF185" s="105"/>
      <c r="AG185" s="105"/>
      <c r="AH185" s="115" t="s">
        <v>621</v>
      </c>
      <c r="AI185" s="115"/>
      <c r="AJ185" s="115"/>
      <c r="AK185" s="105"/>
      <c r="AL185" s="115"/>
      <c r="AM185" s="115"/>
      <c r="AN185" s="115"/>
      <c r="AO185" s="260">
        <f>Tabelle4[[#This Row],[Kredit-  / Budgetsumme
(RADAR: Gesamtkosten S)]]-Tabelle4[[#This Row],[Netto-Ausgaben Vorjahre ]]</f>
        <v>0</v>
      </c>
      <c r="AP185" s="310"/>
      <c r="AQ185" s="311"/>
      <c r="AR185" s="115">
        <f>Tabelle4[[#This Row],[Kreditrest per 1.1. aktuelles Jahr]]-Tabelle4[[#This Row],[Prognose 2018
(RADAR: Kosten 2018 S)]]</f>
        <v>0</v>
      </c>
      <c r="AS185" s="115"/>
      <c r="AT185" s="311"/>
      <c r="AU185" s="115"/>
      <c r="AV185" s="311"/>
      <c r="AW185" s="115"/>
      <c r="AX185" s="311"/>
      <c r="AY185" s="115"/>
      <c r="AZ185" s="311"/>
      <c r="BA185" s="115"/>
      <c r="BB185" s="311"/>
      <c r="BC185" s="115"/>
      <c r="BD185" s="311"/>
      <c r="BE185" s="115"/>
      <c r="BF185" s="311"/>
      <c r="BG185" s="115"/>
      <c r="BH185" s="311"/>
      <c r="BI185" s="115"/>
      <c r="BJ185" s="115"/>
      <c r="BK185" s="264"/>
      <c r="BL185" s="105"/>
      <c r="BM185" s="106"/>
      <c r="BN185" s="106"/>
      <c r="BO185" s="106">
        <v>8</v>
      </c>
      <c r="BP185" s="106"/>
      <c r="BQ185" s="106"/>
      <c r="BR185" s="106"/>
      <c r="BS185" s="106"/>
      <c r="BT185" s="108">
        <f>SUM(Tabelle4[[#This Row],[Projektverantwortung
(Lenkungsausschuss) ]:[Kommunikation ]])</f>
        <v>8</v>
      </c>
      <c r="BU185" s="105"/>
      <c r="BV185" s="106"/>
      <c r="BW185" s="106"/>
      <c r="BX185" s="106">
        <v>8</v>
      </c>
      <c r="BY185" s="106"/>
      <c r="BZ185" s="106"/>
      <c r="CA185" s="106"/>
      <c r="CB185" s="106"/>
      <c r="CC185" s="108">
        <f>SUM(Tabelle4[[#This Row],[Projektverantwortung
(Lenkungsausschuss)   ]:[Kommunikation   ]])</f>
        <v>8</v>
      </c>
      <c r="CD185" s="105"/>
      <c r="CE185" s="106">
        <v>0</v>
      </c>
      <c r="CF185" s="106">
        <v>0</v>
      </c>
      <c r="CG185" s="106">
        <v>0</v>
      </c>
      <c r="CH185" s="106">
        <v>0</v>
      </c>
      <c r="CI185" s="106">
        <v>0</v>
      </c>
      <c r="CJ185" s="106">
        <v>0</v>
      </c>
      <c r="CK185" s="106">
        <v>0</v>
      </c>
      <c r="CL185" s="108">
        <f>SUM(Tabelle4[[#This Row],[Projektverantwortung
(Lenkungsausschuss).]:[Kommunikation    ]])</f>
        <v>0</v>
      </c>
      <c r="CM185" s="105"/>
      <c r="CN185" s="106">
        <v>0</v>
      </c>
      <c r="CO185" s="106">
        <v>0</v>
      </c>
      <c r="CP185" s="106">
        <v>0</v>
      </c>
      <c r="CQ185" s="106">
        <v>0</v>
      </c>
      <c r="CR185" s="106">
        <v>0</v>
      </c>
      <c r="CS185" s="106">
        <v>0</v>
      </c>
      <c r="CT185" s="106">
        <v>0</v>
      </c>
      <c r="CU185" s="108">
        <f>SUM(Tabelle4[[#This Row],[Projektverantwortung
(Lenkungsausschuss)    ]:[Kommunikation     ]])</f>
        <v>0</v>
      </c>
      <c r="CV185" s="107">
        <f>SUM(Tabelle4[[#This Row],[Total Aufwand
1. Quartal 2018]],Tabelle4[[#This Row],[Total Aufwand
2. Quartal 2018]],Tabelle4[[#This Row],[Total Aufwand
3. Quartal 2018]],Tabelle4[[#This Row],[Total Aufwand
4. Quartal 2018]])</f>
        <v>16</v>
      </c>
      <c r="CW185" s="105"/>
      <c r="CX185" s="105"/>
      <c r="CY185" s="105"/>
      <c r="CZ185" s="105"/>
      <c r="DA185" s="105"/>
      <c r="DB185" s="105"/>
      <c r="DC185" s="105"/>
      <c r="DD185" s="105"/>
      <c r="DE185" s="107">
        <f>SUM(Tabelle4[[#This Row],[Aufwand ]],Tabelle4[[#This Row],[Aufwand 2]],Tabelle4[[#This Row],[Aufwand 3]],Tabelle4[[#This Row],[Aufwand 4]])</f>
        <v>0</v>
      </c>
      <c r="DF185" s="105"/>
      <c r="DG185" s="105"/>
      <c r="DH185" s="105"/>
      <c r="DI185" s="105"/>
      <c r="DJ185" s="105"/>
      <c r="DK185" s="105"/>
      <c r="DL185" s="105"/>
      <c r="DM185" s="105"/>
      <c r="DN185" s="107">
        <f>SUM(Tabelle4[[#This Row],[Aufwand  ]],Tabelle4[[#This Row],[Aufwand  2]],Tabelle4[[#This Row],[Aufwand  3]],Tabelle4[[#This Row],[Aufwand  4]])</f>
        <v>0</v>
      </c>
      <c r="DO185" s="105"/>
      <c r="DP185" s="105"/>
      <c r="DQ185" s="105"/>
      <c r="DR185" s="105"/>
      <c r="DS185" s="105"/>
      <c r="DT185" s="105"/>
      <c r="DU185" s="105"/>
      <c r="DV185" s="105"/>
      <c r="DW185" s="107">
        <f>SUM(Tabelle4[[#This Row],[Aufwand   ]],Tabelle4[[#This Row],[Aufwand   2]],Tabelle4[[#This Row],[Aufwand   3]],Tabelle4[[#This Row],[Aufwand   4]])</f>
        <v>0</v>
      </c>
      <c r="DX185" s="105"/>
      <c r="DY185" s="105"/>
      <c r="DZ185" s="105"/>
      <c r="EA185" s="105"/>
      <c r="EB185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16</v>
      </c>
      <c r="EC185" s="122">
        <f>Tabelle4[[#This Row],[Gesamaufwand]]/2000</f>
        <v>8.0000000000000002E-3</v>
      </c>
      <c r="ED185" s="47"/>
      <c r="EE185" s="47"/>
      <c r="EF185" s="47"/>
      <c r="EG185" s="47"/>
      <c r="EH185" s="47"/>
      <c r="EI185" s="47"/>
      <c r="EJ185" s="47"/>
      <c r="EK185" s="47"/>
      <c r="EL185" s="47"/>
    </row>
    <row r="186" spans="1:142">
      <c r="A186" s="255" t="s">
        <v>222</v>
      </c>
      <c r="B186" s="251" t="s">
        <v>75</v>
      </c>
      <c r="C186" s="254" t="s">
        <v>75</v>
      </c>
      <c r="D186" s="251" t="s">
        <v>914</v>
      </c>
      <c r="E186" s="251" t="s">
        <v>859</v>
      </c>
      <c r="F186" s="253">
        <v>3</v>
      </c>
      <c r="G186" s="253">
        <v>1</v>
      </c>
      <c r="H186" s="253"/>
      <c r="I186" s="254" t="s">
        <v>95</v>
      </c>
      <c r="J186" s="254"/>
      <c r="K186" s="105"/>
      <c r="L186" s="105"/>
      <c r="M186" s="48"/>
      <c r="N186" s="105"/>
      <c r="O186" s="255" t="s">
        <v>223</v>
      </c>
      <c r="P186" s="261">
        <v>5</v>
      </c>
      <c r="Q186" s="261">
        <v>0</v>
      </c>
      <c r="R186" s="261">
        <v>0</v>
      </c>
      <c r="S186" s="262" t="s">
        <v>224</v>
      </c>
      <c r="T186" s="263" t="s">
        <v>673</v>
      </c>
      <c r="U186" s="105"/>
      <c r="V186" s="259" t="s">
        <v>12</v>
      </c>
      <c r="W186" s="105" t="s">
        <v>8</v>
      </c>
      <c r="X186" s="105" t="s">
        <v>10</v>
      </c>
      <c r="Y186" s="105" t="s">
        <v>75</v>
      </c>
      <c r="Z186" s="105" t="s">
        <v>82</v>
      </c>
      <c r="AA186" s="105" t="s">
        <v>75</v>
      </c>
      <c r="AB186" s="105" t="s">
        <v>75</v>
      </c>
      <c r="AC186" s="105" t="s">
        <v>75</v>
      </c>
      <c r="AD186" s="105"/>
      <c r="AE186" s="105"/>
      <c r="AF186" s="105"/>
      <c r="AG186" s="105"/>
      <c r="AH186" s="115" t="s">
        <v>1092</v>
      </c>
      <c r="AI186" s="115"/>
      <c r="AJ186" s="115"/>
      <c r="AK186" s="105"/>
      <c r="AL186" s="115"/>
      <c r="AM186" s="115"/>
      <c r="AN186" s="115"/>
      <c r="AO186" s="260"/>
      <c r="AP186" s="310"/>
      <c r="AQ186" s="311">
        <v>2500</v>
      </c>
      <c r="AR186" s="115"/>
      <c r="AS186" s="115"/>
      <c r="AT186" s="311">
        <v>2500</v>
      </c>
      <c r="AU186" s="115"/>
      <c r="AV186" s="311">
        <v>2500</v>
      </c>
      <c r="AW186" s="115"/>
      <c r="AX186" s="311">
        <v>2500</v>
      </c>
      <c r="AY186" s="115"/>
      <c r="AZ186" s="311">
        <v>2500</v>
      </c>
      <c r="BA186" s="115"/>
      <c r="BB186" s="311">
        <v>2500</v>
      </c>
      <c r="BC186" s="115"/>
      <c r="BD186" s="311">
        <v>2500</v>
      </c>
      <c r="BE186" s="115"/>
      <c r="BF186" s="311">
        <v>2500</v>
      </c>
      <c r="BG186" s="115"/>
      <c r="BH186" s="311">
        <v>2500</v>
      </c>
      <c r="BI186" s="115"/>
      <c r="BJ186" s="115"/>
      <c r="BK186" s="264"/>
      <c r="BL186" s="105"/>
      <c r="BM186" s="106"/>
      <c r="BN186" s="106"/>
      <c r="BO186" s="106"/>
      <c r="BP186" s="106"/>
      <c r="BQ186" s="106"/>
      <c r="BR186" s="106"/>
      <c r="BS186" s="106"/>
      <c r="BT186" s="108">
        <f>SUM(Tabelle4[[#This Row],[Projektverantwortung
(Lenkungsausschuss) ]:[Kommunikation ]])</f>
        <v>0</v>
      </c>
      <c r="BU186" s="105"/>
      <c r="BV186" s="106"/>
      <c r="BW186" s="106"/>
      <c r="BX186" s="106"/>
      <c r="BY186" s="106"/>
      <c r="BZ186" s="106"/>
      <c r="CA186" s="106"/>
      <c r="CB186" s="106"/>
      <c r="CC186" s="108">
        <f>SUM(Tabelle4[[#This Row],[Projektverantwortung
(Lenkungsausschuss)   ]:[Kommunikation   ]])</f>
        <v>0</v>
      </c>
      <c r="CD186" s="105"/>
      <c r="CE186" s="106"/>
      <c r="CF186" s="106"/>
      <c r="CG186" s="106"/>
      <c r="CH186" s="106"/>
      <c r="CI186" s="106"/>
      <c r="CJ186" s="106"/>
      <c r="CK186" s="106"/>
      <c r="CL186" s="108">
        <f>SUM(Tabelle4[[#This Row],[Projektverantwortung
(Lenkungsausschuss).]:[Kommunikation    ]])</f>
        <v>0</v>
      </c>
      <c r="CM186" s="105"/>
      <c r="CN186" s="106"/>
      <c r="CO186" s="106"/>
      <c r="CP186" s="106"/>
      <c r="CQ186" s="106"/>
      <c r="CR186" s="106"/>
      <c r="CS186" s="106"/>
      <c r="CT186" s="106"/>
      <c r="CU186" s="108">
        <f>SUM(Tabelle4[[#This Row],[Projektverantwortung
(Lenkungsausschuss)    ]:[Kommunikation     ]])</f>
        <v>0</v>
      </c>
      <c r="CV186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186" s="105"/>
      <c r="CX186" s="105"/>
      <c r="CY186" s="105"/>
      <c r="CZ186" s="105"/>
      <c r="DA186" s="105"/>
      <c r="DB186" s="105"/>
      <c r="DC186" s="105"/>
      <c r="DD186" s="105"/>
      <c r="DE186" s="107">
        <f>SUM(Tabelle4[[#This Row],[Aufwand ]],Tabelle4[[#This Row],[Aufwand 2]],Tabelle4[[#This Row],[Aufwand 3]],Tabelle4[[#This Row],[Aufwand 4]])</f>
        <v>0</v>
      </c>
      <c r="DF186" s="105"/>
      <c r="DG186" s="105"/>
      <c r="DH186" s="105"/>
      <c r="DI186" s="105"/>
      <c r="DJ186" s="105"/>
      <c r="DK186" s="105"/>
      <c r="DL186" s="105"/>
      <c r="DM186" s="105"/>
      <c r="DN186" s="107">
        <f>SUM(Tabelle4[[#This Row],[Aufwand  ]],Tabelle4[[#This Row],[Aufwand  2]],Tabelle4[[#This Row],[Aufwand  3]],Tabelle4[[#This Row],[Aufwand  4]])</f>
        <v>0</v>
      </c>
      <c r="DO186" s="105"/>
      <c r="DP186" s="105"/>
      <c r="DQ186" s="105"/>
      <c r="DR186" s="105"/>
      <c r="DS186" s="105"/>
      <c r="DT186" s="105"/>
      <c r="DU186" s="105"/>
      <c r="DV186" s="105"/>
      <c r="DW186" s="107">
        <f>SUM(Tabelle4[[#This Row],[Aufwand   ]],Tabelle4[[#This Row],[Aufwand   2]],Tabelle4[[#This Row],[Aufwand   3]],Tabelle4[[#This Row],[Aufwand   4]])</f>
        <v>0</v>
      </c>
      <c r="DX186" s="105"/>
      <c r="DY186" s="105"/>
      <c r="DZ186" s="105"/>
      <c r="EA186" s="105"/>
      <c r="EB186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186" s="122">
        <f>Tabelle4[[#This Row],[Gesamaufwand]]/2000</f>
        <v>0</v>
      </c>
      <c r="ED186" s="47"/>
      <c r="EE186" s="47"/>
      <c r="EF186" s="47"/>
      <c r="EG186" s="47"/>
      <c r="EH186" s="47"/>
      <c r="EI186" s="47"/>
      <c r="EJ186" s="47"/>
      <c r="EK186" s="47"/>
      <c r="EL186" s="47"/>
    </row>
    <row r="187" spans="1:142">
      <c r="A187" s="255" t="s">
        <v>302</v>
      </c>
      <c r="B187" s="251" t="s">
        <v>105</v>
      </c>
      <c r="C187" s="254" t="s">
        <v>67</v>
      </c>
      <c r="D187" s="251" t="s">
        <v>914</v>
      </c>
      <c r="E187" s="251" t="s">
        <v>116</v>
      </c>
      <c r="F187" s="253">
        <v>2</v>
      </c>
      <c r="G187" s="253">
        <v>1</v>
      </c>
      <c r="H187" s="253"/>
      <c r="I187" s="254" t="s">
        <v>95</v>
      </c>
      <c r="J187" s="254"/>
      <c r="K187" s="105"/>
      <c r="L187" s="105"/>
      <c r="M187" s="48"/>
      <c r="N187" s="105"/>
      <c r="O187" s="255" t="s">
        <v>303</v>
      </c>
      <c r="P187" s="261">
        <v>1</v>
      </c>
      <c r="Q187" s="261">
        <v>0</v>
      </c>
      <c r="R187" s="261">
        <v>0</v>
      </c>
      <c r="S187" s="262" t="s">
        <v>304</v>
      </c>
      <c r="T187" s="263" t="s">
        <v>673</v>
      </c>
      <c r="U187" s="105"/>
      <c r="V187" s="259" t="s">
        <v>12</v>
      </c>
      <c r="W187" s="105" t="s">
        <v>6</v>
      </c>
      <c r="X187" s="105" t="s">
        <v>11</v>
      </c>
      <c r="Y187" s="105" t="s">
        <v>86</v>
      </c>
      <c r="Z187" s="105" t="s">
        <v>80</v>
      </c>
      <c r="AA187" s="105" t="s">
        <v>639</v>
      </c>
      <c r="AB187" s="105" t="s">
        <v>639</v>
      </c>
      <c r="AC187" s="105" t="s">
        <v>639</v>
      </c>
      <c r="AD187" s="105"/>
      <c r="AE187" s="105"/>
      <c r="AF187" s="105"/>
      <c r="AG187" s="105"/>
      <c r="AH187" s="115" t="s">
        <v>690</v>
      </c>
      <c r="AI187" s="115"/>
      <c r="AJ187" s="115"/>
      <c r="AK187" s="105" t="s">
        <v>1109</v>
      </c>
      <c r="AL187" s="115">
        <v>250000</v>
      </c>
      <c r="AM187" s="115"/>
      <c r="AN187" s="115">
        <v>33484</v>
      </c>
      <c r="AO187" s="260">
        <f>Tabelle4[[#This Row],[Kredit-  / Budgetsumme
(RADAR: Gesamtkosten S)]]-Tabelle4[[#This Row],[Netto-Ausgaben Vorjahre ]]</f>
        <v>216516</v>
      </c>
      <c r="AP187" s="310"/>
      <c r="AQ187" s="311">
        <v>100000</v>
      </c>
      <c r="AR187" s="115">
        <f>Tabelle4[[#This Row],[Kreditrest per 1.1. aktuelles Jahr]]-Tabelle4[[#This Row],[Prognose 2018
(RADAR: Kosten 2018 S)]]</f>
        <v>116516</v>
      </c>
      <c r="AS187" s="115"/>
      <c r="AT187" s="311"/>
      <c r="AU187" s="115"/>
      <c r="AV187" s="311"/>
      <c r="AW187" s="115"/>
      <c r="AX187" s="311"/>
      <c r="AY187" s="115"/>
      <c r="AZ187" s="311"/>
      <c r="BA187" s="115"/>
      <c r="BB187" s="311"/>
      <c r="BC187" s="115"/>
      <c r="BD187" s="311"/>
      <c r="BE187" s="115"/>
      <c r="BF187" s="311"/>
      <c r="BG187" s="115"/>
      <c r="BH187" s="311"/>
      <c r="BI187" s="115"/>
      <c r="BJ187" s="115"/>
      <c r="BK187" s="264"/>
      <c r="BL187" s="105"/>
      <c r="BM187" s="106"/>
      <c r="BN187" s="106">
        <v>40</v>
      </c>
      <c r="BO187" s="106">
        <v>60</v>
      </c>
      <c r="BP187" s="106"/>
      <c r="BQ187" s="106"/>
      <c r="BR187" s="106"/>
      <c r="BS187" s="106"/>
      <c r="BT187" s="108">
        <f>SUM(Tabelle4[[#This Row],[Projektverantwortung
(Lenkungsausschuss) ]:[Kommunikation ]])</f>
        <v>100</v>
      </c>
      <c r="BU187" s="105"/>
      <c r="BV187" s="106"/>
      <c r="BW187" s="106">
        <v>20</v>
      </c>
      <c r="BX187" s="106">
        <v>40</v>
      </c>
      <c r="BY187" s="106"/>
      <c r="BZ187" s="106"/>
      <c r="CA187" s="106"/>
      <c r="CB187" s="106"/>
      <c r="CC187" s="108">
        <f>SUM(Tabelle4[[#This Row],[Projektverantwortung
(Lenkungsausschuss)   ]:[Kommunikation   ]])</f>
        <v>60</v>
      </c>
      <c r="CD187" s="105"/>
      <c r="CE187" s="106"/>
      <c r="CF187" s="106">
        <v>20</v>
      </c>
      <c r="CG187" s="106">
        <v>40</v>
      </c>
      <c r="CH187" s="106"/>
      <c r="CI187" s="106"/>
      <c r="CJ187" s="106"/>
      <c r="CK187" s="106"/>
      <c r="CL187" s="108">
        <f>SUM(Tabelle4[[#This Row],[Projektverantwortung
(Lenkungsausschuss).]:[Kommunikation    ]])</f>
        <v>60</v>
      </c>
      <c r="CM187" s="105"/>
      <c r="CN187" s="106"/>
      <c r="CO187" s="106">
        <v>20</v>
      </c>
      <c r="CP187" s="106">
        <v>40</v>
      </c>
      <c r="CQ187" s="106"/>
      <c r="CR187" s="106"/>
      <c r="CS187" s="106"/>
      <c r="CT187" s="106"/>
      <c r="CU187" s="108">
        <f>SUM(Tabelle4[[#This Row],[Projektverantwortung
(Lenkungsausschuss)    ]:[Kommunikation     ]])</f>
        <v>60</v>
      </c>
      <c r="CV187" s="107">
        <f>SUM(Tabelle4[[#This Row],[Total Aufwand
1. Quartal 2018]],Tabelle4[[#This Row],[Total Aufwand
2. Quartal 2018]],Tabelle4[[#This Row],[Total Aufwand
3. Quartal 2018]],Tabelle4[[#This Row],[Total Aufwand
4. Quartal 2018]])</f>
        <v>280</v>
      </c>
      <c r="CW187" s="105"/>
      <c r="CX187" s="105"/>
      <c r="CY187" s="105"/>
      <c r="CZ187" s="105"/>
      <c r="DA187" s="105"/>
      <c r="DB187" s="105"/>
      <c r="DC187" s="105"/>
      <c r="DD187" s="105"/>
      <c r="DE187" s="107">
        <f>SUM(Tabelle4[[#This Row],[Aufwand ]],Tabelle4[[#This Row],[Aufwand 2]],Tabelle4[[#This Row],[Aufwand 3]],Tabelle4[[#This Row],[Aufwand 4]])</f>
        <v>0</v>
      </c>
      <c r="DF187" s="105"/>
      <c r="DG187" s="105"/>
      <c r="DH187" s="105"/>
      <c r="DI187" s="105"/>
      <c r="DJ187" s="105"/>
      <c r="DK187" s="105"/>
      <c r="DL187" s="105"/>
      <c r="DM187" s="105"/>
      <c r="DN187" s="107">
        <f>SUM(Tabelle4[[#This Row],[Aufwand  ]],Tabelle4[[#This Row],[Aufwand  2]],Tabelle4[[#This Row],[Aufwand  3]],Tabelle4[[#This Row],[Aufwand  4]])</f>
        <v>0</v>
      </c>
      <c r="DO187" s="105"/>
      <c r="DP187" s="105"/>
      <c r="DQ187" s="105"/>
      <c r="DR187" s="105"/>
      <c r="DS187" s="105"/>
      <c r="DT187" s="105"/>
      <c r="DU187" s="105"/>
      <c r="DV187" s="105"/>
      <c r="DW187" s="107">
        <f>SUM(Tabelle4[[#This Row],[Aufwand   ]],Tabelle4[[#This Row],[Aufwand   2]],Tabelle4[[#This Row],[Aufwand   3]],Tabelle4[[#This Row],[Aufwand   4]])</f>
        <v>0</v>
      </c>
      <c r="DX187" s="105"/>
      <c r="DY187" s="105"/>
      <c r="DZ187" s="105"/>
      <c r="EA187" s="105"/>
      <c r="EB187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280</v>
      </c>
      <c r="EC187" s="122">
        <f>Tabelle4[[#This Row],[Gesamaufwand]]/2000</f>
        <v>0.14000000000000001</v>
      </c>
      <c r="ED187" s="47"/>
      <c r="EE187" s="47"/>
      <c r="EF187" s="47"/>
      <c r="EG187" s="47"/>
      <c r="EH187" s="47"/>
      <c r="EI187" s="47"/>
      <c r="EJ187" s="47"/>
      <c r="EK187" s="47"/>
      <c r="EL187" s="47"/>
    </row>
    <row r="188" spans="1:142">
      <c r="A188" s="255" t="s">
        <v>368</v>
      </c>
      <c r="B188" s="251" t="s">
        <v>103</v>
      </c>
      <c r="C188" s="254" t="s">
        <v>67</v>
      </c>
      <c r="D188" s="251" t="s">
        <v>780</v>
      </c>
      <c r="E188" s="251" t="s">
        <v>781</v>
      </c>
      <c r="F188" s="253">
        <v>1</v>
      </c>
      <c r="G188" s="253">
        <v>2</v>
      </c>
      <c r="H188" s="253"/>
      <c r="I188" s="254" t="s">
        <v>95</v>
      </c>
      <c r="J188" s="254"/>
      <c r="K188" s="105"/>
      <c r="L188" s="105"/>
      <c r="M188" s="48"/>
      <c r="N188" s="105"/>
      <c r="O188" s="255" t="s">
        <v>369</v>
      </c>
      <c r="P188" s="261">
        <v>3</v>
      </c>
      <c r="Q188" s="261">
        <v>0</v>
      </c>
      <c r="R188" s="261">
        <v>0</v>
      </c>
      <c r="S188" s="262" t="s">
        <v>207</v>
      </c>
      <c r="T188" s="263" t="s">
        <v>4</v>
      </c>
      <c r="U188" s="105"/>
      <c r="V188" s="259" t="s">
        <v>12</v>
      </c>
      <c r="W188" s="105" t="s">
        <v>6</v>
      </c>
      <c r="X188" s="105" t="s">
        <v>86</v>
      </c>
      <c r="Y188" s="105" t="s">
        <v>690</v>
      </c>
      <c r="Z188" s="105" t="s">
        <v>80</v>
      </c>
      <c r="AA188" s="105" t="s">
        <v>690</v>
      </c>
      <c r="AB188" s="110" t="s">
        <v>690</v>
      </c>
      <c r="AC188" s="105" t="s">
        <v>690</v>
      </c>
      <c r="AD188" s="105"/>
      <c r="AE188" s="105"/>
      <c r="AF188" s="105"/>
      <c r="AG188" s="105"/>
      <c r="AH188" s="260" t="s">
        <v>802</v>
      </c>
      <c r="AI188" s="115"/>
      <c r="AJ188" s="115"/>
      <c r="AK188" s="105" t="s">
        <v>1100</v>
      </c>
      <c r="AL188" s="115">
        <v>200000</v>
      </c>
      <c r="AM188" s="115"/>
      <c r="AN188" s="115">
        <v>36461</v>
      </c>
      <c r="AO188" s="260">
        <f>Tabelle4[[#This Row],[Kredit-  / Budgetsumme
(RADAR: Gesamtkosten S)]]-Tabelle4[[#This Row],[Netto-Ausgaben Vorjahre ]]</f>
        <v>163539</v>
      </c>
      <c r="AP188" s="310"/>
      <c r="AQ188" s="311"/>
      <c r="AR188" s="115">
        <f>Tabelle4[[#This Row],[Kreditrest per 1.1. aktuelles Jahr]]-Tabelle4[[#This Row],[Prognose 2018
(RADAR: Kosten 2018 S)]]</f>
        <v>163539</v>
      </c>
      <c r="AS188" s="115"/>
      <c r="AT188" s="311"/>
      <c r="AU188" s="115"/>
      <c r="AV188" s="311"/>
      <c r="AW188" s="115"/>
      <c r="AX188" s="311"/>
      <c r="AY188" s="115"/>
      <c r="AZ188" s="311"/>
      <c r="BA188" s="115"/>
      <c r="BB188" s="311"/>
      <c r="BC188" s="115"/>
      <c r="BD188" s="311"/>
      <c r="BE188" s="115"/>
      <c r="BF188" s="311"/>
      <c r="BG188" s="115"/>
      <c r="BH188" s="311"/>
      <c r="BI188" s="115"/>
      <c r="BJ188" s="115"/>
      <c r="BK188" s="264"/>
      <c r="BL188" s="105"/>
      <c r="BM188" s="106"/>
      <c r="BN188" s="106"/>
      <c r="BO188" s="106">
        <v>8</v>
      </c>
      <c r="BP188" s="106"/>
      <c r="BQ188" s="106"/>
      <c r="BR188" s="106"/>
      <c r="BS188" s="106"/>
      <c r="BT188" s="108">
        <f>SUM(Tabelle4[[#This Row],[Projektverantwortung
(Lenkungsausschuss) ]:[Kommunikation ]])</f>
        <v>8</v>
      </c>
      <c r="BU188" s="105"/>
      <c r="BV188" s="106"/>
      <c r="BW188" s="106"/>
      <c r="BX188" s="106">
        <v>20</v>
      </c>
      <c r="BY188" s="106"/>
      <c r="BZ188" s="106"/>
      <c r="CA188" s="106"/>
      <c r="CB188" s="106"/>
      <c r="CC188" s="108">
        <f>SUM(Tabelle4[[#This Row],[Projektverantwortung
(Lenkungsausschuss)   ]:[Kommunikation   ]])</f>
        <v>20</v>
      </c>
      <c r="CD188" s="105"/>
      <c r="CE188" s="106"/>
      <c r="CF188" s="106"/>
      <c r="CG188" s="106">
        <v>20</v>
      </c>
      <c r="CH188" s="106"/>
      <c r="CI188" s="106"/>
      <c r="CJ188" s="106"/>
      <c r="CK188" s="106"/>
      <c r="CL188" s="108">
        <f>SUM(Tabelle4[[#This Row],[Projektverantwortung
(Lenkungsausschuss).]:[Kommunikation    ]])</f>
        <v>20</v>
      </c>
      <c r="CM188" s="105"/>
      <c r="CN188" s="106"/>
      <c r="CO188" s="106"/>
      <c r="CP188" s="106">
        <v>8</v>
      </c>
      <c r="CQ188" s="106"/>
      <c r="CR188" s="106"/>
      <c r="CS188" s="106"/>
      <c r="CT188" s="106"/>
      <c r="CU188" s="108">
        <f>SUM(Tabelle4[[#This Row],[Projektverantwortung
(Lenkungsausschuss)    ]:[Kommunikation     ]])</f>
        <v>8</v>
      </c>
      <c r="CV188" s="107">
        <f>SUM(Tabelle4[[#This Row],[Total Aufwand
1. Quartal 2018]],Tabelle4[[#This Row],[Total Aufwand
2. Quartal 2018]],Tabelle4[[#This Row],[Total Aufwand
3. Quartal 2018]],Tabelle4[[#This Row],[Total Aufwand
4. Quartal 2018]])</f>
        <v>56</v>
      </c>
      <c r="CW188" s="105"/>
      <c r="CX188" s="105"/>
      <c r="CY188" s="105"/>
      <c r="CZ188" s="105"/>
      <c r="DA188" s="105"/>
      <c r="DB188" s="105"/>
      <c r="DC188" s="105"/>
      <c r="DD188" s="105"/>
      <c r="DE188" s="107">
        <f>SUM(Tabelle4[[#This Row],[Aufwand ]],Tabelle4[[#This Row],[Aufwand 2]],Tabelle4[[#This Row],[Aufwand 3]],Tabelle4[[#This Row],[Aufwand 4]])</f>
        <v>0</v>
      </c>
      <c r="DF188" s="105"/>
      <c r="DG188" s="105"/>
      <c r="DH188" s="105"/>
      <c r="DI188" s="105"/>
      <c r="DJ188" s="105"/>
      <c r="DK188" s="105"/>
      <c r="DL188" s="105"/>
      <c r="DM188" s="105"/>
      <c r="DN188" s="107">
        <f>SUM(Tabelle4[[#This Row],[Aufwand  ]],Tabelle4[[#This Row],[Aufwand  2]],Tabelle4[[#This Row],[Aufwand  3]],Tabelle4[[#This Row],[Aufwand  4]])</f>
        <v>0</v>
      </c>
      <c r="DO188" s="105"/>
      <c r="DP188" s="105"/>
      <c r="DQ188" s="105"/>
      <c r="DR188" s="105"/>
      <c r="DS188" s="105"/>
      <c r="DT188" s="105"/>
      <c r="DU188" s="105"/>
      <c r="DV188" s="105"/>
      <c r="DW188" s="107">
        <f>SUM(Tabelle4[[#This Row],[Aufwand   ]],Tabelle4[[#This Row],[Aufwand   2]],Tabelle4[[#This Row],[Aufwand   3]],Tabelle4[[#This Row],[Aufwand   4]])</f>
        <v>0</v>
      </c>
      <c r="DX188" s="105"/>
      <c r="DY188" s="105"/>
      <c r="DZ188" s="105"/>
      <c r="EA188" s="105"/>
      <c r="EB188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56</v>
      </c>
      <c r="EC188" s="122">
        <f>Tabelle4[[#This Row],[Gesamaufwand]]/2000</f>
        <v>2.8000000000000001E-2</v>
      </c>
      <c r="ED188" s="47"/>
      <c r="EE188" s="47"/>
      <c r="EF188" s="47"/>
      <c r="EG188" s="47"/>
      <c r="EH188" s="47"/>
      <c r="EI188" s="47"/>
      <c r="EJ188" s="47"/>
      <c r="EK188" s="47"/>
      <c r="EL188" s="47"/>
    </row>
    <row r="189" spans="1:142">
      <c r="A189" s="255" t="s">
        <v>840</v>
      </c>
      <c r="B189" s="251" t="s">
        <v>103</v>
      </c>
      <c r="C189" s="254" t="s">
        <v>67</v>
      </c>
      <c r="D189" s="251" t="s">
        <v>780</v>
      </c>
      <c r="E189" s="251" t="s">
        <v>781</v>
      </c>
      <c r="F189" s="253">
        <v>1</v>
      </c>
      <c r="G189" s="253">
        <v>2</v>
      </c>
      <c r="H189" s="253"/>
      <c r="I189" s="254" t="s">
        <v>95</v>
      </c>
      <c r="J189" s="254"/>
      <c r="K189" s="105"/>
      <c r="L189" s="105"/>
      <c r="M189" s="48"/>
      <c r="N189" s="105"/>
      <c r="O189" s="255" t="s">
        <v>369</v>
      </c>
      <c r="P189" s="261">
        <v>3</v>
      </c>
      <c r="Q189" s="261">
        <v>0</v>
      </c>
      <c r="R189" s="261">
        <v>0</v>
      </c>
      <c r="S189" s="262" t="s">
        <v>207</v>
      </c>
      <c r="T189" s="263" t="s">
        <v>4</v>
      </c>
      <c r="U189" s="105"/>
      <c r="V189" s="259" t="s">
        <v>12</v>
      </c>
      <c r="W189" s="105" t="s">
        <v>6</v>
      </c>
      <c r="X189" s="105" t="s">
        <v>86</v>
      </c>
      <c r="Y189" s="105" t="s">
        <v>690</v>
      </c>
      <c r="Z189" s="105" t="s">
        <v>80</v>
      </c>
      <c r="AA189" s="105" t="s">
        <v>690</v>
      </c>
      <c r="AB189" s="110" t="s">
        <v>690</v>
      </c>
      <c r="AC189" s="105" t="s">
        <v>690</v>
      </c>
      <c r="AD189" s="105"/>
      <c r="AE189" s="105"/>
      <c r="AF189" s="105"/>
      <c r="AG189" s="105"/>
      <c r="AH189" s="260" t="s">
        <v>802</v>
      </c>
      <c r="AI189" s="115"/>
      <c r="AJ189" s="115" t="s">
        <v>620</v>
      </c>
      <c r="AK189" s="105" t="s">
        <v>829</v>
      </c>
      <c r="AL189" s="115"/>
      <c r="AM189" s="115"/>
      <c r="AN189" s="115"/>
      <c r="AO189" s="260">
        <f>Tabelle4[[#This Row],[Kredit-  / Budgetsumme
(RADAR: Gesamtkosten S)]]-Tabelle4[[#This Row],[Netto-Ausgaben Vorjahre ]]</f>
        <v>0</v>
      </c>
      <c r="AP189" s="310"/>
      <c r="AQ189" s="311"/>
      <c r="AR189" s="115">
        <f>Tabelle4[[#This Row],[Kreditrest per 1.1. aktuelles Jahr]]-Tabelle4[[#This Row],[Prognose 2018
(RADAR: Kosten 2018 S)]]</f>
        <v>0</v>
      </c>
      <c r="AS189" s="115"/>
      <c r="AT189" s="311"/>
      <c r="AU189" s="115"/>
      <c r="AV189" s="311">
        <v>380000</v>
      </c>
      <c r="AW189" s="115"/>
      <c r="AX189" s="311">
        <v>880000</v>
      </c>
      <c r="AY189" s="115"/>
      <c r="AZ189" s="311">
        <v>880000</v>
      </c>
      <c r="BA189" s="115"/>
      <c r="BB189" s="311">
        <v>880000</v>
      </c>
      <c r="BC189" s="115"/>
      <c r="BD189" s="311">
        <v>880000</v>
      </c>
      <c r="BE189" s="115"/>
      <c r="BF189" s="311">
        <v>880000</v>
      </c>
      <c r="BG189" s="115"/>
      <c r="BH189" s="311">
        <v>880000</v>
      </c>
      <c r="BI189" s="115"/>
      <c r="BJ189" s="115"/>
      <c r="BK189" s="264"/>
      <c r="BL189" s="105"/>
      <c r="BM189" s="106"/>
      <c r="BN189" s="106"/>
      <c r="BO189" s="106"/>
      <c r="BP189" s="106"/>
      <c r="BQ189" s="106"/>
      <c r="BR189" s="106"/>
      <c r="BS189" s="106"/>
      <c r="BT189" s="108">
        <f>SUM(Tabelle4[[#This Row],[Projektverantwortung
(Lenkungsausschuss) ]:[Kommunikation ]])</f>
        <v>0</v>
      </c>
      <c r="BU189" s="105"/>
      <c r="BV189" s="106"/>
      <c r="BW189" s="106"/>
      <c r="BX189" s="106"/>
      <c r="BY189" s="106"/>
      <c r="BZ189" s="106"/>
      <c r="CA189" s="106"/>
      <c r="CB189" s="106"/>
      <c r="CC189" s="108">
        <f>SUM(Tabelle4[[#This Row],[Projektverantwortung
(Lenkungsausschuss)   ]:[Kommunikation   ]])</f>
        <v>0</v>
      </c>
      <c r="CD189" s="105"/>
      <c r="CE189" s="106"/>
      <c r="CF189" s="106"/>
      <c r="CG189" s="106"/>
      <c r="CH189" s="106"/>
      <c r="CI189" s="106"/>
      <c r="CJ189" s="106"/>
      <c r="CK189" s="106"/>
      <c r="CL189" s="108">
        <f>SUM(Tabelle4[[#This Row],[Projektverantwortung
(Lenkungsausschuss).]:[Kommunikation    ]])</f>
        <v>0</v>
      </c>
      <c r="CM189" s="105"/>
      <c r="CN189" s="106"/>
      <c r="CO189" s="106"/>
      <c r="CP189" s="106"/>
      <c r="CQ189" s="106"/>
      <c r="CR189" s="106"/>
      <c r="CS189" s="106"/>
      <c r="CT189" s="106"/>
      <c r="CU189" s="108">
        <f>SUM(Tabelle4[[#This Row],[Projektverantwortung
(Lenkungsausschuss)    ]:[Kommunikation     ]])</f>
        <v>0</v>
      </c>
      <c r="CV189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189" s="105"/>
      <c r="CX189" s="105"/>
      <c r="CY189" s="105"/>
      <c r="CZ189" s="105"/>
      <c r="DA189" s="105"/>
      <c r="DB189" s="105"/>
      <c r="DC189" s="105"/>
      <c r="DD189" s="105"/>
      <c r="DE189" s="107">
        <f>SUM(Tabelle4[[#This Row],[Aufwand ]],Tabelle4[[#This Row],[Aufwand 2]],Tabelle4[[#This Row],[Aufwand 3]],Tabelle4[[#This Row],[Aufwand 4]])</f>
        <v>0</v>
      </c>
      <c r="DF189" s="105"/>
      <c r="DG189" s="105"/>
      <c r="DH189" s="105"/>
      <c r="DI189" s="105"/>
      <c r="DJ189" s="105"/>
      <c r="DK189" s="105"/>
      <c r="DL189" s="105"/>
      <c r="DM189" s="105"/>
      <c r="DN189" s="107">
        <f>SUM(Tabelle4[[#This Row],[Aufwand  ]],Tabelle4[[#This Row],[Aufwand  2]],Tabelle4[[#This Row],[Aufwand  3]],Tabelle4[[#This Row],[Aufwand  4]])</f>
        <v>0</v>
      </c>
      <c r="DO189" s="105"/>
      <c r="DP189" s="105"/>
      <c r="DQ189" s="105"/>
      <c r="DR189" s="105"/>
      <c r="DS189" s="105"/>
      <c r="DT189" s="105"/>
      <c r="DU189" s="105"/>
      <c r="DV189" s="105"/>
      <c r="DW189" s="107">
        <f>SUM(Tabelle4[[#This Row],[Aufwand   ]],Tabelle4[[#This Row],[Aufwand   2]],Tabelle4[[#This Row],[Aufwand   3]],Tabelle4[[#This Row],[Aufwand   4]])</f>
        <v>0</v>
      </c>
      <c r="DX189" s="105"/>
      <c r="DY189" s="105"/>
      <c r="DZ189" s="105"/>
      <c r="EA189" s="105"/>
      <c r="EB189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189" s="122">
        <f>Tabelle4[[#This Row],[Gesamaufwand]]/2000</f>
        <v>0</v>
      </c>
      <c r="ED189" s="47"/>
      <c r="EE189" s="47"/>
      <c r="EF189" s="47"/>
      <c r="EG189" s="47"/>
      <c r="EH189" s="47"/>
      <c r="EI189" s="47"/>
      <c r="EJ189" s="47"/>
      <c r="EK189" s="47"/>
      <c r="EL189" s="47"/>
    </row>
    <row r="190" spans="1:142">
      <c r="A190" s="255" t="s">
        <v>540</v>
      </c>
      <c r="B190" s="251" t="s">
        <v>105</v>
      </c>
      <c r="C190" s="254" t="s">
        <v>68</v>
      </c>
      <c r="D190" s="251" t="s">
        <v>913</v>
      </c>
      <c r="E190" s="251" t="s">
        <v>695</v>
      </c>
      <c r="F190" s="253">
        <v>3</v>
      </c>
      <c r="G190" s="253">
        <v>3</v>
      </c>
      <c r="H190" s="253"/>
      <c r="I190" s="254" t="s">
        <v>95</v>
      </c>
      <c r="J190" s="254"/>
      <c r="K190" s="105"/>
      <c r="L190" s="105"/>
      <c r="M190" s="48"/>
      <c r="N190" s="105"/>
      <c r="O190" s="255" t="s">
        <v>541</v>
      </c>
      <c r="P190" s="261">
        <v>2</v>
      </c>
      <c r="Q190" s="261">
        <v>0</v>
      </c>
      <c r="R190" s="261">
        <v>0</v>
      </c>
      <c r="S190" s="262" t="s">
        <v>542</v>
      </c>
      <c r="T190" s="263" t="s">
        <v>662</v>
      </c>
      <c r="U190" s="105"/>
      <c r="V190" s="259" t="s">
        <v>607</v>
      </c>
      <c r="W190" s="105" t="s">
        <v>6</v>
      </c>
      <c r="X190" s="105" t="s">
        <v>86</v>
      </c>
      <c r="Y190" s="105" t="s">
        <v>690</v>
      </c>
      <c r="Z190" s="105" t="s">
        <v>80</v>
      </c>
      <c r="AA190" s="105" t="s">
        <v>639</v>
      </c>
      <c r="AB190" s="105" t="s">
        <v>639</v>
      </c>
      <c r="AC190" s="105" t="s">
        <v>639</v>
      </c>
      <c r="AD190" s="105"/>
      <c r="AE190" s="105"/>
      <c r="AF190" s="105"/>
      <c r="AG190" s="105"/>
      <c r="AH190" s="115" t="s">
        <v>621</v>
      </c>
      <c r="AI190" s="115"/>
      <c r="AJ190" s="115"/>
      <c r="AK190" s="105"/>
      <c r="AL190" s="115"/>
      <c r="AM190" s="115"/>
      <c r="AN190" s="115"/>
      <c r="AO190" s="260">
        <f>Tabelle4[[#This Row],[Kredit-  / Budgetsumme
(RADAR: Gesamtkosten S)]]-Tabelle4[[#This Row],[Netto-Ausgaben Vorjahre ]]</f>
        <v>0</v>
      </c>
      <c r="AP190" s="310"/>
      <c r="AQ190" s="311"/>
      <c r="AR190" s="115">
        <f>Tabelle4[[#This Row],[Kreditrest per 1.1. aktuelles Jahr]]-Tabelle4[[#This Row],[Prognose 2018
(RADAR: Kosten 2018 S)]]</f>
        <v>0</v>
      </c>
      <c r="AS190" s="115"/>
      <c r="AT190" s="311"/>
      <c r="AU190" s="115"/>
      <c r="AV190" s="311"/>
      <c r="AW190" s="115"/>
      <c r="AX190" s="311"/>
      <c r="AY190" s="115"/>
      <c r="AZ190" s="311"/>
      <c r="BA190" s="115"/>
      <c r="BB190" s="311"/>
      <c r="BC190" s="115"/>
      <c r="BD190" s="311"/>
      <c r="BE190" s="115"/>
      <c r="BF190" s="311"/>
      <c r="BG190" s="115"/>
      <c r="BH190" s="311"/>
      <c r="BI190" s="115"/>
      <c r="BJ190" s="115"/>
      <c r="BK190" s="264"/>
      <c r="BL190" s="105"/>
      <c r="BM190" s="106"/>
      <c r="BN190" s="106"/>
      <c r="BO190" s="106"/>
      <c r="BP190" s="106"/>
      <c r="BQ190" s="106"/>
      <c r="BR190" s="106"/>
      <c r="BS190" s="106"/>
      <c r="BT190" s="108">
        <f>SUM(Tabelle4[[#This Row],[Projektverantwortung
(Lenkungsausschuss) ]:[Kommunikation ]])</f>
        <v>0</v>
      </c>
      <c r="BU190" s="105"/>
      <c r="BV190" s="106"/>
      <c r="BW190" s="106"/>
      <c r="BX190" s="106"/>
      <c r="BY190" s="106"/>
      <c r="BZ190" s="106"/>
      <c r="CA190" s="106"/>
      <c r="CB190" s="106"/>
      <c r="CC190" s="108">
        <f>SUM(Tabelle4[[#This Row],[Projektverantwortung
(Lenkungsausschuss)   ]:[Kommunikation   ]])</f>
        <v>0</v>
      </c>
      <c r="CD190" s="105"/>
      <c r="CE190" s="106"/>
      <c r="CF190" s="106"/>
      <c r="CG190" s="106">
        <v>8</v>
      </c>
      <c r="CH190" s="106"/>
      <c r="CI190" s="106"/>
      <c r="CJ190" s="106"/>
      <c r="CK190" s="106"/>
      <c r="CL190" s="108">
        <f>SUM(Tabelle4[[#This Row],[Projektverantwortung
(Lenkungsausschuss).]:[Kommunikation    ]])</f>
        <v>8</v>
      </c>
      <c r="CM190" s="105"/>
      <c r="CN190" s="106"/>
      <c r="CO190" s="106"/>
      <c r="CP190" s="106">
        <v>8</v>
      </c>
      <c r="CQ190" s="106"/>
      <c r="CR190" s="106"/>
      <c r="CS190" s="106"/>
      <c r="CT190" s="106"/>
      <c r="CU190" s="108">
        <f>SUM(Tabelle4[[#This Row],[Projektverantwortung
(Lenkungsausschuss)    ]:[Kommunikation     ]])</f>
        <v>8</v>
      </c>
      <c r="CV190" s="107">
        <f>SUM(Tabelle4[[#This Row],[Total Aufwand
1. Quartal 2018]],Tabelle4[[#This Row],[Total Aufwand
2. Quartal 2018]],Tabelle4[[#This Row],[Total Aufwand
3. Quartal 2018]],Tabelle4[[#This Row],[Total Aufwand
4. Quartal 2018]])</f>
        <v>16</v>
      </c>
      <c r="CW190" s="105"/>
      <c r="CX190" s="105"/>
      <c r="CY190" s="105"/>
      <c r="CZ190" s="105"/>
      <c r="DA190" s="105"/>
      <c r="DB190" s="105"/>
      <c r="DC190" s="105"/>
      <c r="DD190" s="105"/>
      <c r="DE190" s="107">
        <f>SUM(Tabelle4[[#This Row],[Aufwand ]],Tabelle4[[#This Row],[Aufwand 2]],Tabelle4[[#This Row],[Aufwand 3]],Tabelle4[[#This Row],[Aufwand 4]])</f>
        <v>0</v>
      </c>
      <c r="DF190" s="105"/>
      <c r="DG190" s="105"/>
      <c r="DH190" s="105"/>
      <c r="DI190" s="105"/>
      <c r="DJ190" s="105"/>
      <c r="DK190" s="105"/>
      <c r="DL190" s="105"/>
      <c r="DM190" s="105"/>
      <c r="DN190" s="107">
        <f>SUM(Tabelle4[[#This Row],[Aufwand  ]],Tabelle4[[#This Row],[Aufwand  2]],Tabelle4[[#This Row],[Aufwand  3]],Tabelle4[[#This Row],[Aufwand  4]])</f>
        <v>0</v>
      </c>
      <c r="DO190" s="105"/>
      <c r="DP190" s="105"/>
      <c r="DQ190" s="105"/>
      <c r="DR190" s="105"/>
      <c r="DS190" s="105"/>
      <c r="DT190" s="105"/>
      <c r="DU190" s="105"/>
      <c r="DV190" s="105"/>
      <c r="DW190" s="107">
        <f>SUM(Tabelle4[[#This Row],[Aufwand   ]],Tabelle4[[#This Row],[Aufwand   2]],Tabelle4[[#This Row],[Aufwand   3]],Tabelle4[[#This Row],[Aufwand   4]])</f>
        <v>0</v>
      </c>
      <c r="DX190" s="105"/>
      <c r="DY190" s="105"/>
      <c r="DZ190" s="105"/>
      <c r="EA190" s="105"/>
      <c r="EB190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16</v>
      </c>
      <c r="EC190" s="122">
        <f>Tabelle4[[#This Row],[Gesamaufwand]]/2000</f>
        <v>8.0000000000000002E-3</v>
      </c>
      <c r="ED190" s="47"/>
      <c r="EE190" s="47"/>
      <c r="EF190" s="47"/>
      <c r="EG190" s="47"/>
      <c r="EH190" s="47"/>
      <c r="EI190" s="47"/>
      <c r="EJ190" s="47"/>
      <c r="EK190" s="47"/>
      <c r="EL190" s="47"/>
    </row>
    <row r="191" spans="1:142">
      <c r="A191" s="265" t="s">
        <v>370</v>
      </c>
      <c r="B191" s="251" t="s">
        <v>694</v>
      </c>
      <c r="C191" s="254" t="s">
        <v>67</v>
      </c>
      <c r="D191" s="251" t="s">
        <v>780</v>
      </c>
      <c r="E191" s="251" t="s">
        <v>778</v>
      </c>
      <c r="F191" s="253">
        <v>2</v>
      </c>
      <c r="G191" s="253">
        <v>1</v>
      </c>
      <c r="H191" s="253"/>
      <c r="I191" s="254" t="s">
        <v>95</v>
      </c>
      <c r="J191" s="254"/>
      <c r="K191" s="105"/>
      <c r="L191" s="105"/>
      <c r="M191" s="48"/>
      <c r="N191" s="105"/>
      <c r="O191" s="255" t="s">
        <v>371</v>
      </c>
      <c r="P191" s="261">
        <v>1</v>
      </c>
      <c r="Q191" s="261">
        <v>0</v>
      </c>
      <c r="R191" s="261">
        <v>0</v>
      </c>
      <c r="S191" s="262" t="s">
        <v>372</v>
      </c>
      <c r="T191" s="263" t="s">
        <v>674</v>
      </c>
      <c r="U191" s="105"/>
      <c r="V191" s="259" t="s">
        <v>12</v>
      </c>
      <c r="W191" s="105" t="s">
        <v>6</v>
      </c>
      <c r="X191" s="105" t="s">
        <v>86</v>
      </c>
      <c r="Y191" s="105" t="s">
        <v>690</v>
      </c>
      <c r="Z191" s="105" t="s">
        <v>83</v>
      </c>
      <c r="AA191" s="105" t="s">
        <v>690</v>
      </c>
      <c r="AB191" s="105" t="s">
        <v>13</v>
      </c>
      <c r="AC191" s="105" t="s">
        <v>690</v>
      </c>
      <c r="AD191" s="105"/>
      <c r="AE191" s="105"/>
      <c r="AF191" s="105"/>
      <c r="AG191" s="105"/>
      <c r="AH191" s="115" t="s">
        <v>857</v>
      </c>
      <c r="AI191" s="115" t="s">
        <v>73</v>
      </c>
      <c r="AJ191" s="115" t="s">
        <v>74</v>
      </c>
      <c r="AK191" s="105" t="s">
        <v>1105</v>
      </c>
      <c r="AL191" s="115">
        <v>151000</v>
      </c>
      <c r="AM191" s="115"/>
      <c r="AN191" s="115">
        <f>Tabelle4[[#This Row],[Kredit-  / Budgetsumme
(RADAR: Gesamtkosten S)]]-Tabelle4[[#This Row],[Kreditrest per 1.1. aktuelles Jahr]]</f>
        <v>125304</v>
      </c>
      <c r="AO191" s="260">
        <v>25696</v>
      </c>
      <c r="AP191" s="310"/>
      <c r="AQ191" s="311"/>
      <c r="AR191" s="115">
        <f>Tabelle4[[#This Row],[Kreditrest per 1.1. aktuelles Jahr]]-Tabelle4[[#This Row],[Prognose 2018
(RADAR: Kosten 2018 S)]]</f>
        <v>25696</v>
      </c>
      <c r="AS191" s="115"/>
      <c r="AT191" s="311"/>
      <c r="AU191" s="115"/>
      <c r="AV191" s="311"/>
      <c r="AW191" s="115"/>
      <c r="AX191" s="311"/>
      <c r="AY191" s="115"/>
      <c r="AZ191" s="311"/>
      <c r="BA191" s="115"/>
      <c r="BB191" s="311"/>
      <c r="BC191" s="115"/>
      <c r="BD191" s="311"/>
      <c r="BE191" s="115"/>
      <c r="BF191" s="311"/>
      <c r="BG191" s="115"/>
      <c r="BH191" s="311"/>
      <c r="BI191" s="115"/>
      <c r="BJ191" s="115"/>
      <c r="BK191" s="264"/>
      <c r="BL191" s="105"/>
      <c r="BM191" s="106"/>
      <c r="BN191" s="106"/>
      <c r="BO191" s="106">
        <v>8</v>
      </c>
      <c r="BP191" s="106"/>
      <c r="BQ191" s="106">
        <v>8</v>
      </c>
      <c r="BR191" s="106"/>
      <c r="BS191" s="106"/>
      <c r="BT191" s="108">
        <f>SUM(Tabelle4[[#This Row],[Projektverantwortung
(Lenkungsausschuss) ]:[Kommunikation ]])</f>
        <v>16</v>
      </c>
      <c r="BU191" s="105"/>
      <c r="BV191" s="106">
        <v>0</v>
      </c>
      <c r="BW191" s="106">
        <v>0</v>
      </c>
      <c r="BX191" s="106">
        <v>0</v>
      </c>
      <c r="BY191" s="106">
        <v>0</v>
      </c>
      <c r="BZ191" s="106">
        <v>0</v>
      </c>
      <c r="CA191" s="106">
        <v>0</v>
      </c>
      <c r="CB191" s="106">
        <v>0</v>
      </c>
      <c r="CC191" s="108">
        <f>SUM(Tabelle4[[#This Row],[Projektverantwortung
(Lenkungsausschuss)   ]:[Kommunikation   ]])</f>
        <v>0</v>
      </c>
      <c r="CD191" s="105"/>
      <c r="CE191" s="106">
        <v>0</v>
      </c>
      <c r="CF191" s="106">
        <v>0</v>
      </c>
      <c r="CG191" s="106">
        <v>0</v>
      </c>
      <c r="CH191" s="106">
        <v>0</v>
      </c>
      <c r="CI191" s="106">
        <v>0</v>
      </c>
      <c r="CJ191" s="106">
        <v>0</v>
      </c>
      <c r="CK191" s="106">
        <v>0</v>
      </c>
      <c r="CL191" s="108">
        <f>SUM(Tabelle4[[#This Row],[Projektverantwortung
(Lenkungsausschuss).]:[Kommunikation    ]])</f>
        <v>0</v>
      </c>
      <c r="CM191" s="105"/>
      <c r="CN191" s="106">
        <v>0</v>
      </c>
      <c r="CO191" s="106">
        <v>0</v>
      </c>
      <c r="CP191" s="106">
        <v>0</v>
      </c>
      <c r="CQ191" s="106">
        <v>0</v>
      </c>
      <c r="CR191" s="106">
        <v>0</v>
      </c>
      <c r="CS191" s="106">
        <v>0</v>
      </c>
      <c r="CT191" s="106">
        <v>0</v>
      </c>
      <c r="CU191" s="108">
        <f>SUM(Tabelle4[[#This Row],[Projektverantwortung
(Lenkungsausschuss)    ]:[Kommunikation     ]])</f>
        <v>0</v>
      </c>
      <c r="CV191" s="107">
        <f>SUM(Tabelle4[[#This Row],[Total Aufwand
1. Quartal 2018]],Tabelle4[[#This Row],[Total Aufwand
2. Quartal 2018]],Tabelle4[[#This Row],[Total Aufwand
3. Quartal 2018]],Tabelle4[[#This Row],[Total Aufwand
4. Quartal 2018]])</f>
        <v>16</v>
      </c>
      <c r="CW191" s="105"/>
      <c r="CX191" s="105"/>
      <c r="CY191" s="105"/>
      <c r="CZ191" s="105"/>
      <c r="DA191" s="105"/>
      <c r="DB191" s="105"/>
      <c r="DC191" s="105"/>
      <c r="DD191" s="105"/>
      <c r="DE191" s="107">
        <f>SUM(Tabelle4[[#This Row],[Aufwand ]],Tabelle4[[#This Row],[Aufwand 2]],Tabelle4[[#This Row],[Aufwand 3]],Tabelle4[[#This Row],[Aufwand 4]])</f>
        <v>0</v>
      </c>
      <c r="DF191" s="105"/>
      <c r="DG191" s="105"/>
      <c r="DH191" s="105"/>
      <c r="DI191" s="105"/>
      <c r="DJ191" s="105"/>
      <c r="DK191" s="105"/>
      <c r="DL191" s="105"/>
      <c r="DM191" s="105"/>
      <c r="DN191" s="107">
        <f>SUM(Tabelle4[[#This Row],[Aufwand  ]],Tabelle4[[#This Row],[Aufwand  2]],Tabelle4[[#This Row],[Aufwand  3]],Tabelle4[[#This Row],[Aufwand  4]])</f>
        <v>0</v>
      </c>
      <c r="DO191" s="105"/>
      <c r="DP191" s="105"/>
      <c r="DQ191" s="105"/>
      <c r="DR191" s="105"/>
      <c r="DS191" s="105"/>
      <c r="DT191" s="105"/>
      <c r="DU191" s="105"/>
      <c r="DV191" s="105"/>
      <c r="DW191" s="107">
        <f>SUM(Tabelle4[[#This Row],[Aufwand   ]],Tabelle4[[#This Row],[Aufwand   2]],Tabelle4[[#This Row],[Aufwand   3]],Tabelle4[[#This Row],[Aufwand   4]])</f>
        <v>0</v>
      </c>
      <c r="DX191" s="105"/>
      <c r="DY191" s="105"/>
      <c r="DZ191" s="105"/>
      <c r="EA191" s="105"/>
      <c r="EB191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16</v>
      </c>
      <c r="EC191" s="122">
        <f>Tabelle4[[#This Row],[Gesamaufwand]]/2000</f>
        <v>8.0000000000000002E-3</v>
      </c>
      <c r="ED191" s="47"/>
      <c r="EE191" s="47"/>
      <c r="EF191" s="47"/>
      <c r="EG191" s="47"/>
      <c r="EH191" s="47"/>
      <c r="EI191" s="47"/>
      <c r="EJ191" s="47"/>
      <c r="EK191" s="47"/>
      <c r="EL191" s="47"/>
    </row>
    <row r="192" spans="1:142">
      <c r="A192" s="255" t="s">
        <v>192</v>
      </c>
      <c r="B192" s="251" t="s">
        <v>75</v>
      </c>
      <c r="C192" s="254" t="s">
        <v>75</v>
      </c>
      <c r="D192" s="251" t="s">
        <v>914</v>
      </c>
      <c r="E192" s="251" t="s">
        <v>859</v>
      </c>
      <c r="F192" s="253">
        <v>2</v>
      </c>
      <c r="G192" s="253">
        <v>3</v>
      </c>
      <c r="H192" s="253"/>
      <c r="I192" s="254" t="s">
        <v>95</v>
      </c>
      <c r="J192" s="254"/>
      <c r="K192" s="105"/>
      <c r="L192" s="105"/>
      <c r="M192" s="48"/>
      <c r="N192" s="105"/>
      <c r="O192" s="255" t="s">
        <v>193</v>
      </c>
      <c r="P192" s="261">
        <v>3</v>
      </c>
      <c r="Q192" s="261">
        <v>0</v>
      </c>
      <c r="R192" s="261">
        <v>0</v>
      </c>
      <c r="S192" s="262" t="s">
        <v>140</v>
      </c>
      <c r="T192" s="263" t="s">
        <v>673</v>
      </c>
      <c r="U192" s="105"/>
      <c r="V192" s="259" t="s">
        <v>12</v>
      </c>
      <c r="W192" s="105" t="s">
        <v>8</v>
      </c>
      <c r="X192" s="105" t="s">
        <v>10</v>
      </c>
      <c r="Y192" s="105" t="s">
        <v>75</v>
      </c>
      <c r="Z192" s="105" t="s">
        <v>84</v>
      </c>
      <c r="AA192" s="105" t="s">
        <v>75</v>
      </c>
      <c r="AB192" s="105" t="s">
        <v>75</v>
      </c>
      <c r="AC192" s="105" t="s">
        <v>75</v>
      </c>
      <c r="AD192" s="105"/>
      <c r="AE192" s="105"/>
      <c r="AF192" s="105"/>
      <c r="AG192" s="105"/>
      <c r="AH192" s="115" t="s">
        <v>621</v>
      </c>
      <c r="AI192" s="115"/>
      <c r="AJ192" s="115"/>
      <c r="AK192" s="105"/>
      <c r="AL192" s="115"/>
      <c r="AM192" s="115"/>
      <c r="AN192" s="115"/>
      <c r="AO192" s="260">
        <f>Tabelle4[[#This Row],[Kredit-  / Budgetsumme
(RADAR: Gesamtkosten S)]]-Tabelle4[[#This Row],[Netto-Ausgaben Vorjahre ]]</f>
        <v>0</v>
      </c>
      <c r="AP192" s="310"/>
      <c r="AQ192" s="311"/>
      <c r="AR192" s="115">
        <f>Tabelle4[[#This Row],[Kreditrest per 1.1. aktuelles Jahr]]-Tabelle4[[#This Row],[Prognose 2018
(RADAR: Kosten 2018 S)]]</f>
        <v>0</v>
      </c>
      <c r="AS192" s="115"/>
      <c r="AT192" s="311"/>
      <c r="AU192" s="115"/>
      <c r="AV192" s="311"/>
      <c r="AW192" s="115"/>
      <c r="AX192" s="311"/>
      <c r="AY192" s="115"/>
      <c r="AZ192" s="311"/>
      <c r="BA192" s="115"/>
      <c r="BB192" s="311"/>
      <c r="BC192" s="115"/>
      <c r="BD192" s="311"/>
      <c r="BE192" s="115"/>
      <c r="BF192" s="311"/>
      <c r="BG192" s="115"/>
      <c r="BH192" s="311"/>
      <c r="BI192" s="115"/>
      <c r="BJ192" s="115"/>
      <c r="BK192" s="264"/>
      <c r="BL192" s="105"/>
      <c r="BM192" s="106"/>
      <c r="BN192" s="106"/>
      <c r="BO192" s="106"/>
      <c r="BP192" s="106"/>
      <c r="BQ192" s="106"/>
      <c r="BR192" s="106"/>
      <c r="BS192" s="106"/>
      <c r="BT192" s="108">
        <f>SUM(Tabelle4[[#This Row],[Projektverantwortung
(Lenkungsausschuss) ]:[Kommunikation ]])</f>
        <v>0</v>
      </c>
      <c r="BU192" s="105"/>
      <c r="BV192" s="106"/>
      <c r="BW192" s="106"/>
      <c r="BX192" s="106"/>
      <c r="BY192" s="106"/>
      <c r="BZ192" s="106"/>
      <c r="CA192" s="106"/>
      <c r="CB192" s="106"/>
      <c r="CC192" s="108">
        <f>SUM(Tabelle4[[#This Row],[Projektverantwortung
(Lenkungsausschuss)   ]:[Kommunikation   ]])</f>
        <v>0</v>
      </c>
      <c r="CD192" s="105"/>
      <c r="CE192" s="106"/>
      <c r="CF192" s="106"/>
      <c r="CG192" s="106"/>
      <c r="CH192" s="106"/>
      <c r="CI192" s="106"/>
      <c r="CJ192" s="106"/>
      <c r="CK192" s="106"/>
      <c r="CL192" s="108">
        <f>SUM(Tabelle4[[#This Row],[Projektverantwortung
(Lenkungsausschuss).]:[Kommunikation    ]])</f>
        <v>0</v>
      </c>
      <c r="CM192" s="105"/>
      <c r="CN192" s="106"/>
      <c r="CO192" s="106"/>
      <c r="CP192" s="106"/>
      <c r="CQ192" s="106"/>
      <c r="CR192" s="106"/>
      <c r="CS192" s="106"/>
      <c r="CT192" s="106"/>
      <c r="CU192" s="108">
        <f>SUM(Tabelle4[[#This Row],[Projektverantwortung
(Lenkungsausschuss)    ]:[Kommunikation     ]])</f>
        <v>0</v>
      </c>
      <c r="CV192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192" s="105"/>
      <c r="CX192" s="105"/>
      <c r="CY192" s="105"/>
      <c r="CZ192" s="105"/>
      <c r="DA192" s="105"/>
      <c r="DB192" s="105"/>
      <c r="DC192" s="105"/>
      <c r="DD192" s="105"/>
      <c r="DE192" s="107">
        <f>SUM(Tabelle4[[#This Row],[Aufwand ]],Tabelle4[[#This Row],[Aufwand 2]],Tabelle4[[#This Row],[Aufwand 3]],Tabelle4[[#This Row],[Aufwand 4]])</f>
        <v>0</v>
      </c>
      <c r="DF192" s="105"/>
      <c r="DG192" s="105"/>
      <c r="DH192" s="105"/>
      <c r="DI192" s="105"/>
      <c r="DJ192" s="105"/>
      <c r="DK192" s="105"/>
      <c r="DL192" s="105"/>
      <c r="DM192" s="105"/>
      <c r="DN192" s="107">
        <f>SUM(Tabelle4[[#This Row],[Aufwand  ]],Tabelle4[[#This Row],[Aufwand  2]],Tabelle4[[#This Row],[Aufwand  3]],Tabelle4[[#This Row],[Aufwand  4]])</f>
        <v>0</v>
      </c>
      <c r="DO192" s="105"/>
      <c r="DP192" s="105"/>
      <c r="DQ192" s="105"/>
      <c r="DR192" s="105"/>
      <c r="DS192" s="105"/>
      <c r="DT192" s="105"/>
      <c r="DU192" s="105"/>
      <c r="DV192" s="105"/>
      <c r="DW192" s="107">
        <f>SUM(Tabelle4[[#This Row],[Aufwand   ]],Tabelle4[[#This Row],[Aufwand   2]],Tabelle4[[#This Row],[Aufwand   3]],Tabelle4[[#This Row],[Aufwand   4]])</f>
        <v>0</v>
      </c>
      <c r="DX192" s="105"/>
      <c r="DY192" s="105"/>
      <c r="DZ192" s="105"/>
      <c r="EA192" s="105"/>
      <c r="EB192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192" s="122">
        <f>Tabelle4[[#This Row],[Gesamaufwand]]/2000</f>
        <v>0</v>
      </c>
      <c r="ED192" s="47"/>
      <c r="EE192" s="47"/>
      <c r="EF192" s="47"/>
      <c r="EG192" s="47"/>
      <c r="EH192" s="47"/>
      <c r="EI192" s="47"/>
      <c r="EJ192" s="47"/>
      <c r="EK192" s="47"/>
      <c r="EL192" s="47"/>
    </row>
    <row r="193" spans="1:142">
      <c r="A193" s="255" t="s">
        <v>543</v>
      </c>
      <c r="B193" s="251" t="s">
        <v>1331</v>
      </c>
      <c r="C193" s="254" t="s">
        <v>690</v>
      </c>
      <c r="D193" s="251"/>
      <c r="E193" s="251"/>
      <c r="F193" s="253"/>
      <c r="G193" s="253"/>
      <c r="H193" s="253"/>
      <c r="I193" s="254"/>
      <c r="J193" s="254"/>
      <c r="K193" s="105"/>
      <c r="L193" s="105"/>
      <c r="M193" s="48"/>
      <c r="N193" s="105"/>
      <c r="O193" s="255" t="s">
        <v>544</v>
      </c>
      <c r="P193" s="261">
        <v>2</v>
      </c>
      <c r="Q193" s="261">
        <v>0</v>
      </c>
      <c r="R193" s="261">
        <v>0</v>
      </c>
      <c r="S193" s="262" t="s">
        <v>545</v>
      </c>
      <c r="T193" s="263" t="s">
        <v>75</v>
      </c>
      <c r="U193" s="105"/>
      <c r="V193" s="259" t="s">
        <v>609</v>
      </c>
      <c r="W193" s="105" t="s">
        <v>75</v>
      </c>
      <c r="X193" s="105" t="s">
        <v>75</v>
      </c>
      <c r="Y193" s="105" t="s">
        <v>75</v>
      </c>
      <c r="Z193" s="105" t="s">
        <v>75</v>
      </c>
      <c r="AA193" s="105" t="s">
        <v>75</v>
      </c>
      <c r="AB193" s="105" t="s">
        <v>75</v>
      </c>
      <c r="AC193" s="105" t="s">
        <v>75</v>
      </c>
      <c r="AD193" s="105"/>
      <c r="AE193" s="105"/>
      <c r="AF193" s="105"/>
      <c r="AG193" s="105"/>
      <c r="AH193" s="115" t="s">
        <v>621</v>
      </c>
      <c r="AI193" s="115"/>
      <c r="AJ193" s="115"/>
      <c r="AK193" s="105"/>
      <c r="AL193" s="115"/>
      <c r="AM193" s="115"/>
      <c r="AN193" s="115"/>
      <c r="AO193" s="260">
        <f>Tabelle4[[#This Row],[Kredit-  / Budgetsumme
(RADAR: Gesamtkosten S)]]-Tabelle4[[#This Row],[Netto-Ausgaben Vorjahre ]]</f>
        <v>0</v>
      </c>
      <c r="AP193" s="310"/>
      <c r="AQ193" s="311"/>
      <c r="AR193" s="115">
        <f>Tabelle4[[#This Row],[Kreditrest per 1.1. aktuelles Jahr]]-Tabelle4[[#This Row],[Prognose 2018
(RADAR: Kosten 2018 S)]]</f>
        <v>0</v>
      </c>
      <c r="AS193" s="115"/>
      <c r="AT193" s="311"/>
      <c r="AU193" s="115"/>
      <c r="AV193" s="311"/>
      <c r="AW193" s="115"/>
      <c r="AX193" s="311"/>
      <c r="AY193" s="115"/>
      <c r="AZ193" s="311"/>
      <c r="BA193" s="115"/>
      <c r="BB193" s="311"/>
      <c r="BC193" s="115"/>
      <c r="BD193" s="311"/>
      <c r="BE193" s="115"/>
      <c r="BF193" s="311"/>
      <c r="BG193" s="115"/>
      <c r="BH193" s="311"/>
      <c r="BI193" s="115"/>
      <c r="BJ193" s="115"/>
      <c r="BK193" s="264"/>
      <c r="BL193" s="105"/>
      <c r="BM193" s="106"/>
      <c r="BN193" s="106"/>
      <c r="BO193" s="106"/>
      <c r="BP193" s="106"/>
      <c r="BQ193" s="106"/>
      <c r="BR193" s="106"/>
      <c r="BS193" s="106"/>
      <c r="BT193" s="108">
        <f>SUM(Tabelle4[[#This Row],[Projektverantwortung
(Lenkungsausschuss) ]:[Kommunikation ]])</f>
        <v>0</v>
      </c>
      <c r="BU193" s="105"/>
      <c r="BV193" s="106"/>
      <c r="BW193" s="106"/>
      <c r="BX193" s="106"/>
      <c r="BY193" s="106"/>
      <c r="BZ193" s="106"/>
      <c r="CA193" s="106"/>
      <c r="CB193" s="106"/>
      <c r="CC193" s="108">
        <f>SUM(Tabelle4[[#This Row],[Projektverantwortung
(Lenkungsausschuss)   ]:[Kommunikation   ]])</f>
        <v>0</v>
      </c>
      <c r="CD193" s="105"/>
      <c r="CE193" s="106"/>
      <c r="CF193" s="106"/>
      <c r="CG193" s="106"/>
      <c r="CH193" s="106"/>
      <c r="CI193" s="106"/>
      <c r="CJ193" s="106"/>
      <c r="CK193" s="106"/>
      <c r="CL193" s="108">
        <f>SUM(Tabelle4[[#This Row],[Projektverantwortung
(Lenkungsausschuss).]:[Kommunikation    ]])</f>
        <v>0</v>
      </c>
      <c r="CM193" s="105"/>
      <c r="CN193" s="106"/>
      <c r="CO193" s="106"/>
      <c r="CP193" s="106"/>
      <c r="CQ193" s="106"/>
      <c r="CR193" s="106"/>
      <c r="CS193" s="106"/>
      <c r="CT193" s="106"/>
      <c r="CU193" s="108">
        <f>SUM(Tabelle4[[#This Row],[Projektverantwortung
(Lenkungsausschuss)    ]:[Kommunikation     ]])</f>
        <v>0</v>
      </c>
      <c r="CV193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193" s="105"/>
      <c r="CX193" s="105"/>
      <c r="CY193" s="105"/>
      <c r="CZ193" s="105"/>
      <c r="DA193" s="105"/>
      <c r="DB193" s="105"/>
      <c r="DC193" s="105"/>
      <c r="DD193" s="105"/>
      <c r="DE193" s="107">
        <f>SUM(Tabelle4[[#This Row],[Aufwand ]],Tabelle4[[#This Row],[Aufwand 2]],Tabelle4[[#This Row],[Aufwand 3]],Tabelle4[[#This Row],[Aufwand 4]])</f>
        <v>0</v>
      </c>
      <c r="DF193" s="105"/>
      <c r="DG193" s="105"/>
      <c r="DH193" s="105"/>
      <c r="DI193" s="105"/>
      <c r="DJ193" s="105"/>
      <c r="DK193" s="105"/>
      <c r="DL193" s="105"/>
      <c r="DM193" s="105"/>
      <c r="DN193" s="107">
        <f>SUM(Tabelle4[[#This Row],[Aufwand  ]],Tabelle4[[#This Row],[Aufwand  2]],Tabelle4[[#This Row],[Aufwand  3]],Tabelle4[[#This Row],[Aufwand  4]])</f>
        <v>0</v>
      </c>
      <c r="DO193" s="105"/>
      <c r="DP193" s="105"/>
      <c r="DQ193" s="105"/>
      <c r="DR193" s="105"/>
      <c r="DS193" s="105"/>
      <c r="DT193" s="105"/>
      <c r="DU193" s="105"/>
      <c r="DV193" s="105"/>
      <c r="DW193" s="107">
        <f>SUM(Tabelle4[[#This Row],[Aufwand   ]],Tabelle4[[#This Row],[Aufwand   2]],Tabelle4[[#This Row],[Aufwand   3]],Tabelle4[[#This Row],[Aufwand   4]])</f>
        <v>0</v>
      </c>
      <c r="DX193" s="105"/>
      <c r="DY193" s="105"/>
      <c r="DZ193" s="105"/>
      <c r="EA193" s="105"/>
      <c r="EB193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193" s="122">
        <f>Tabelle4[[#This Row],[Gesamaufwand]]/2000</f>
        <v>0</v>
      </c>
      <c r="ED193" s="47"/>
      <c r="EE193" s="47"/>
      <c r="EF193" s="47"/>
      <c r="EG193" s="47"/>
      <c r="EH193" s="47"/>
      <c r="EI193" s="47"/>
      <c r="EJ193" s="47"/>
      <c r="EK193" s="47"/>
      <c r="EL193" s="47"/>
    </row>
    <row r="194" spans="1:142">
      <c r="A194" s="255" t="s">
        <v>546</v>
      </c>
      <c r="B194" s="251" t="s">
        <v>1331</v>
      </c>
      <c r="C194" s="254" t="s">
        <v>690</v>
      </c>
      <c r="D194" s="251"/>
      <c r="E194" s="251"/>
      <c r="F194" s="253"/>
      <c r="G194" s="253"/>
      <c r="H194" s="253"/>
      <c r="I194" s="254"/>
      <c r="J194" s="254"/>
      <c r="K194" s="105"/>
      <c r="L194" s="105"/>
      <c r="M194" s="48"/>
      <c r="N194" s="105"/>
      <c r="O194" s="255" t="s">
        <v>547</v>
      </c>
      <c r="P194" s="261">
        <v>2</v>
      </c>
      <c r="Q194" s="261">
        <v>0</v>
      </c>
      <c r="R194" s="261">
        <v>0</v>
      </c>
      <c r="S194" s="262" t="s">
        <v>264</v>
      </c>
      <c r="T194" s="263" t="s">
        <v>75</v>
      </c>
      <c r="U194" s="105"/>
      <c r="V194" s="259" t="s">
        <v>615</v>
      </c>
      <c r="W194" s="105" t="s">
        <v>75</v>
      </c>
      <c r="X194" s="105" t="s">
        <v>75</v>
      </c>
      <c r="Y194" s="105" t="s">
        <v>75</v>
      </c>
      <c r="Z194" s="105" t="s">
        <v>75</v>
      </c>
      <c r="AA194" s="105" t="s">
        <v>75</v>
      </c>
      <c r="AB194" s="105" t="s">
        <v>75</v>
      </c>
      <c r="AC194" s="105" t="s">
        <v>75</v>
      </c>
      <c r="AD194" s="105"/>
      <c r="AE194" s="105"/>
      <c r="AF194" s="105"/>
      <c r="AG194" s="105"/>
      <c r="AH194" s="115" t="s">
        <v>621</v>
      </c>
      <c r="AI194" s="115"/>
      <c r="AJ194" s="115"/>
      <c r="AK194" s="105"/>
      <c r="AL194" s="115"/>
      <c r="AM194" s="115"/>
      <c r="AN194" s="115"/>
      <c r="AO194" s="260">
        <f>Tabelle4[[#This Row],[Kredit-  / Budgetsumme
(RADAR: Gesamtkosten S)]]-Tabelle4[[#This Row],[Netto-Ausgaben Vorjahre ]]</f>
        <v>0</v>
      </c>
      <c r="AP194" s="310"/>
      <c r="AQ194" s="311"/>
      <c r="AR194" s="115">
        <f>Tabelle4[[#This Row],[Kreditrest per 1.1. aktuelles Jahr]]-Tabelle4[[#This Row],[Prognose 2018
(RADAR: Kosten 2018 S)]]</f>
        <v>0</v>
      </c>
      <c r="AS194" s="115"/>
      <c r="AT194" s="311"/>
      <c r="AU194" s="115"/>
      <c r="AV194" s="311"/>
      <c r="AW194" s="115"/>
      <c r="AX194" s="311"/>
      <c r="AY194" s="115"/>
      <c r="AZ194" s="311"/>
      <c r="BA194" s="115"/>
      <c r="BB194" s="311"/>
      <c r="BC194" s="115"/>
      <c r="BD194" s="311"/>
      <c r="BE194" s="115"/>
      <c r="BF194" s="311"/>
      <c r="BG194" s="115"/>
      <c r="BH194" s="311"/>
      <c r="BI194" s="115"/>
      <c r="BJ194" s="115"/>
      <c r="BK194" s="264"/>
      <c r="BL194" s="105"/>
      <c r="BM194" s="106"/>
      <c r="BN194" s="106"/>
      <c r="BO194" s="106"/>
      <c r="BP194" s="106"/>
      <c r="BQ194" s="106"/>
      <c r="BR194" s="106"/>
      <c r="BS194" s="106"/>
      <c r="BT194" s="108">
        <f>SUM(Tabelle4[[#This Row],[Projektverantwortung
(Lenkungsausschuss) ]:[Kommunikation ]])</f>
        <v>0</v>
      </c>
      <c r="BU194" s="105"/>
      <c r="BV194" s="106"/>
      <c r="BW194" s="106"/>
      <c r="BX194" s="106"/>
      <c r="BY194" s="106"/>
      <c r="BZ194" s="106"/>
      <c r="CA194" s="106"/>
      <c r="CB194" s="106"/>
      <c r="CC194" s="108">
        <f>SUM(Tabelle4[[#This Row],[Projektverantwortung
(Lenkungsausschuss)   ]:[Kommunikation   ]])</f>
        <v>0</v>
      </c>
      <c r="CD194" s="105"/>
      <c r="CE194" s="106"/>
      <c r="CF194" s="106"/>
      <c r="CG194" s="106"/>
      <c r="CH194" s="106"/>
      <c r="CI194" s="106"/>
      <c r="CJ194" s="106"/>
      <c r="CK194" s="106"/>
      <c r="CL194" s="108">
        <f>SUM(Tabelle4[[#This Row],[Projektverantwortung
(Lenkungsausschuss).]:[Kommunikation    ]])</f>
        <v>0</v>
      </c>
      <c r="CM194" s="105"/>
      <c r="CN194" s="106"/>
      <c r="CO194" s="106"/>
      <c r="CP194" s="106"/>
      <c r="CQ194" s="106"/>
      <c r="CR194" s="106"/>
      <c r="CS194" s="106"/>
      <c r="CT194" s="106"/>
      <c r="CU194" s="108">
        <f>SUM(Tabelle4[[#This Row],[Projektverantwortung
(Lenkungsausschuss)    ]:[Kommunikation     ]])</f>
        <v>0</v>
      </c>
      <c r="CV194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194" s="105"/>
      <c r="CX194" s="105"/>
      <c r="CY194" s="105"/>
      <c r="CZ194" s="105"/>
      <c r="DA194" s="105"/>
      <c r="DB194" s="105"/>
      <c r="DC194" s="105"/>
      <c r="DD194" s="105"/>
      <c r="DE194" s="107">
        <f>SUM(Tabelle4[[#This Row],[Aufwand ]],Tabelle4[[#This Row],[Aufwand 2]],Tabelle4[[#This Row],[Aufwand 3]],Tabelle4[[#This Row],[Aufwand 4]])</f>
        <v>0</v>
      </c>
      <c r="DF194" s="105"/>
      <c r="DG194" s="105"/>
      <c r="DH194" s="105"/>
      <c r="DI194" s="105"/>
      <c r="DJ194" s="105"/>
      <c r="DK194" s="105"/>
      <c r="DL194" s="105"/>
      <c r="DM194" s="105"/>
      <c r="DN194" s="107">
        <f>SUM(Tabelle4[[#This Row],[Aufwand  ]],Tabelle4[[#This Row],[Aufwand  2]],Tabelle4[[#This Row],[Aufwand  3]],Tabelle4[[#This Row],[Aufwand  4]])</f>
        <v>0</v>
      </c>
      <c r="DO194" s="105"/>
      <c r="DP194" s="105"/>
      <c r="DQ194" s="105"/>
      <c r="DR194" s="105"/>
      <c r="DS194" s="105"/>
      <c r="DT194" s="105"/>
      <c r="DU194" s="105"/>
      <c r="DV194" s="105"/>
      <c r="DW194" s="107">
        <f>SUM(Tabelle4[[#This Row],[Aufwand   ]],Tabelle4[[#This Row],[Aufwand   2]],Tabelle4[[#This Row],[Aufwand   3]],Tabelle4[[#This Row],[Aufwand   4]])</f>
        <v>0</v>
      </c>
      <c r="DX194" s="105"/>
      <c r="DY194" s="105"/>
      <c r="DZ194" s="105"/>
      <c r="EA194" s="105"/>
      <c r="EB194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194" s="122">
        <f>Tabelle4[[#This Row],[Gesamaufwand]]/2000</f>
        <v>0</v>
      </c>
      <c r="ED194" s="47"/>
      <c r="EE194" s="47"/>
      <c r="EF194" s="47"/>
      <c r="EG194" s="47"/>
      <c r="EH194" s="47"/>
      <c r="EI194" s="47"/>
      <c r="EJ194" s="47"/>
      <c r="EK194" s="47"/>
      <c r="EL194" s="47"/>
    </row>
    <row r="195" spans="1:142">
      <c r="A195" s="255" t="s">
        <v>849</v>
      </c>
      <c r="B195" s="251"/>
      <c r="C195" s="254"/>
      <c r="D195" s="251" t="s">
        <v>914</v>
      </c>
      <c r="E195" s="251" t="s">
        <v>859</v>
      </c>
      <c r="F195" s="253">
        <v>2</v>
      </c>
      <c r="G195" s="253">
        <v>1</v>
      </c>
      <c r="H195" s="253"/>
      <c r="I195" s="254" t="s">
        <v>95</v>
      </c>
      <c r="J195" s="254"/>
      <c r="K195" s="105"/>
      <c r="L195" s="105"/>
      <c r="M195" s="48"/>
      <c r="N195" s="105"/>
      <c r="O195" s="255" t="s">
        <v>225</v>
      </c>
      <c r="P195" s="261">
        <v>5</v>
      </c>
      <c r="Q195" s="261">
        <v>0</v>
      </c>
      <c r="R195" s="261">
        <v>0</v>
      </c>
      <c r="S195" s="262" t="s">
        <v>226</v>
      </c>
      <c r="T195" s="263" t="s">
        <v>75</v>
      </c>
      <c r="U195" s="105"/>
      <c r="V195" s="259"/>
      <c r="W195" s="105" t="s">
        <v>8</v>
      </c>
      <c r="X195" s="105"/>
      <c r="Y195" s="105"/>
      <c r="Z195" s="105"/>
      <c r="AA195" s="105"/>
      <c r="AB195" s="105"/>
      <c r="AC195" s="105"/>
      <c r="AD195" s="105"/>
      <c r="AE195" s="105"/>
      <c r="AF195" s="105"/>
      <c r="AG195" s="105"/>
      <c r="AH195" s="115" t="s">
        <v>1092</v>
      </c>
      <c r="AI195" s="115"/>
      <c r="AJ195" s="115"/>
      <c r="AK195" s="105"/>
      <c r="AL195" s="115"/>
      <c r="AM195" s="115"/>
      <c r="AN195" s="115"/>
      <c r="AO195" s="115"/>
      <c r="AP195" s="311"/>
      <c r="AQ195" s="311">
        <v>2500</v>
      </c>
      <c r="AR195" s="115"/>
      <c r="AS195" s="115"/>
      <c r="AT195" s="311">
        <v>2500</v>
      </c>
      <c r="AU195" s="115"/>
      <c r="AV195" s="311">
        <v>2500</v>
      </c>
      <c r="AW195" s="115"/>
      <c r="AX195" s="311">
        <v>2500</v>
      </c>
      <c r="AY195" s="115"/>
      <c r="AZ195" s="311">
        <v>2500</v>
      </c>
      <c r="BA195" s="115"/>
      <c r="BB195" s="311">
        <v>2500</v>
      </c>
      <c r="BC195" s="115"/>
      <c r="BD195" s="311">
        <v>2500</v>
      </c>
      <c r="BE195" s="115"/>
      <c r="BF195" s="311">
        <v>2500</v>
      </c>
      <c r="BG195" s="115"/>
      <c r="BH195" s="311">
        <v>2500</v>
      </c>
      <c r="BI195" s="115"/>
      <c r="BJ195" s="115"/>
      <c r="BK195" s="115"/>
      <c r="BL195" s="105"/>
      <c r="BM195" s="106"/>
      <c r="BN195" s="106"/>
      <c r="BO195" s="106"/>
      <c r="BP195" s="106"/>
      <c r="BQ195" s="106"/>
      <c r="BR195" s="106"/>
      <c r="BS195" s="106"/>
      <c r="BT195" s="108">
        <f>SUM(Tabelle4[[#This Row],[Projektverantwortung
(Lenkungsausschuss) ]:[Kommunikation ]])</f>
        <v>0</v>
      </c>
      <c r="BU195" s="108"/>
      <c r="BV195" s="151"/>
      <c r="BW195" s="151"/>
      <c r="BX195" s="151"/>
      <c r="BY195" s="151"/>
      <c r="BZ195" s="151"/>
      <c r="CA195" s="151"/>
      <c r="CB195" s="151"/>
      <c r="CC195" s="108">
        <f>SUM(Tabelle4[[#This Row],[Projektverantwortung
(Lenkungsausschuss)   ]:[Kommunikation   ]])</f>
        <v>0</v>
      </c>
      <c r="CD195" s="108"/>
      <c r="CE195" s="151"/>
      <c r="CF195" s="151"/>
      <c r="CG195" s="151"/>
      <c r="CH195" s="151"/>
      <c r="CI195" s="151"/>
      <c r="CJ195" s="151"/>
      <c r="CK195" s="151"/>
      <c r="CL195" s="108">
        <f>SUM(Tabelle4[[#This Row],[Projektverantwortung
(Lenkungsausschuss).]:[Kommunikation    ]])</f>
        <v>0</v>
      </c>
      <c r="CM195" s="108"/>
      <c r="CN195" s="151"/>
      <c r="CO195" s="151"/>
      <c r="CP195" s="151"/>
      <c r="CQ195" s="151"/>
      <c r="CR195" s="151"/>
      <c r="CS195" s="151"/>
      <c r="CT195" s="151"/>
      <c r="CU195" s="108">
        <f>SUM(Tabelle4[[#This Row],[Projektverantwortung
(Lenkungsausschuss)    ]:[Kommunikation     ]])</f>
        <v>0</v>
      </c>
      <c r="CV195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195" s="105"/>
      <c r="CX195" s="105"/>
      <c r="CY195" s="116"/>
      <c r="CZ195" s="105"/>
      <c r="DA195" s="116"/>
      <c r="DB195" s="105"/>
      <c r="DC195" s="116"/>
      <c r="DD195" s="105"/>
      <c r="DE195" s="107">
        <f>SUM(Tabelle4[[#This Row],[Aufwand ]],Tabelle4[[#This Row],[Aufwand 2]],Tabelle4[[#This Row],[Aufwand 3]],Tabelle4[[#This Row],[Aufwand 4]])</f>
        <v>0</v>
      </c>
      <c r="DF195" s="116"/>
      <c r="DG195" s="105"/>
      <c r="DH195" s="105"/>
      <c r="DI195" s="116"/>
      <c r="DJ195" s="105"/>
      <c r="DK195" s="116"/>
      <c r="DL195" s="105"/>
      <c r="DM195" s="116"/>
      <c r="DN195" s="107">
        <f>SUM(Tabelle4[[#This Row],[Aufwand  ]],Tabelle4[[#This Row],[Aufwand  2]],Tabelle4[[#This Row],[Aufwand  3]],Tabelle4[[#This Row],[Aufwand  4]])</f>
        <v>0</v>
      </c>
      <c r="DO195" s="116"/>
      <c r="DP195" s="116"/>
      <c r="DQ195" s="116"/>
      <c r="DR195" s="105"/>
      <c r="DS195" s="105"/>
      <c r="DT195" s="116"/>
      <c r="DU195" s="105"/>
      <c r="DV195" s="116"/>
      <c r="DW195" s="107" t="e">
        <f>#REF!</f>
        <v>#REF!</v>
      </c>
      <c r="DX195" s="116"/>
      <c r="DY195" s="152"/>
      <c r="DZ195" s="105"/>
      <c r="EA195" s="180"/>
      <c r="EB195" s="181" t="e">
        <f>#REF!</f>
        <v>#REF!</v>
      </c>
      <c r="EC195" s="109"/>
      <c r="ED195" s="47"/>
      <c r="EE195" s="47"/>
      <c r="EF195" s="47"/>
      <c r="EG195" s="47"/>
      <c r="EH195" s="47"/>
      <c r="EI195" s="47"/>
      <c r="EJ195" s="47"/>
      <c r="EK195" s="47"/>
      <c r="EL195" s="47"/>
    </row>
    <row r="196" spans="1:142">
      <c r="A196" s="255" t="s">
        <v>849</v>
      </c>
      <c r="B196" s="251" t="s">
        <v>75</v>
      </c>
      <c r="C196" s="254" t="s">
        <v>75</v>
      </c>
      <c r="D196" s="251" t="s">
        <v>914</v>
      </c>
      <c r="E196" s="251" t="s">
        <v>859</v>
      </c>
      <c r="F196" s="253">
        <v>2</v>
      </c>
      <c r="G196" s="253">
        <v>1</v>
      </c>
      <c r="H196" s="253"/>
      <c r="I196" s="254" t="s">
        <v>95</v>
      </c>
      <c r="J196" s="254"/>
      <c r="K196" s="105"/>
      <c r="L196" s="105"/>
      <c r="M196" s="48"/>
      <c r="N196" s="105"/>
      <c r="O196" s="255" t="s">
        <v>225</v>
      </c>
      <c r="P196" s="261">
        <v>5</v>
      </c>
      <c r="Q196" s="261">
        <v>0</v>
      </c>
      <c r="R196" s="261">
        <v>0</v>
      </c>
      <c r="S196" s="262" t="s">
        <v>226</v>
      </c>
      <c r="T196" s="263" t="s">
        <v>75</v>
      </c>
      <c r="U196" s="105"/>
      <c r="V196" s="259" t="s">
        <v>75</v>
      </c>
      <c r="W196" s="105" t="s">
        <v>8</v>
      </c>
      <c r="X196" s="105" t="s">
        <v>10</v>
      </c>
      <c r="Y196" s="105" t="s">
        <v>75</v>
      </c>
      <c r="Z196" s="105" t="s">
        <v>84</v>
      </c>
      <c r="AA196" s="105" t="s">
        <v>75</v>
      </c>
      <c r="AB196" s="105" t="s">
        <v>75</v>
      </c>
      <c r="AC196" s="105" t="s">
        <v>75</v>
      </c>
      <c r="AD196" s="105"/>
      <c r="AE196" s="105"/>
      <c r="AF196" s="105"/>
      <c r="AG196" s="105"/>
      <c r="AH196" s="115" t="s">
        <v>798</v>
      </c>
      <c r="AI196" s="115"/>
      <c r="AJ196" s="115"/>
      <c r="AK196" s="105"/>
      <c r="AL196" s="115">
        <v>35000</v>
      </c>
      <c r="AM196" s="115"/>
      <c r="AN196" s="115"/>
      <c r="AO196" s="260">
        <f>Tabelle4[[#This Row],[Kredit-  / Budgetsumme
(RADAR: Gesamtkosten S)]]-Tabelle4[[#This Row],[Netto-Ausgaben Vorjahre ]]</f>
        <v>35000</v>
      </c>
      <c r="AP196" s="310"/>
      <c r="AQ196" s="311"/>
      <c r="AR196" s="115">
        <f>Tabelle4[[#This Row],[Kreditrest per 1.1. aktuelles Jahr]]-Tabelle4[[#This Row],[Prognose 2018
(RADAR: Kosten 2018 S)]]</f>
        <v>35000</v>
      </c>
      <c r="AS196" s="115"/>
      <c r="AT196" s="311"/>
      <c r="AU196" s="115"/>
      <c r="AV196" s="311"/>
      <c r="AW196" s="115"/>
      <c r="AX196" s="311"/>
      <c r="AY196" s="115"/>
      <c r="AZ196" s="311"/>
      <c r="BA196" s="115"/>
      <c r="BB196" s="311"/>
      <c r="BC196" s="115"/>
      <c r="BD196" s="311"/>
      <c r="BE196" s="115"/>
      <c r="BF196" s="311"/>
      <c r="BG196" s="115"/>
      <c r="BH196" s="311"/>
      <c r="BI196" s="115"/>
      <c r="BJ196" s="115" t="s">
        <v>850</v>
      </c>
      <c r="BK196" s="264"/>
      <c r="BL196" s="105"/>
      <c r="BM196" s="106"/>
      <c r="BN196" s="106"/>
      <c r="BO196" s="106"/>
      <c r="BP196" s="106"/>
      <c r="BQ196" s="106"/>
      <c r="BR196" s="106"/>
      <c r="BS196" s="106"/>
      <c r="BT196" s="108">
        <f>SUM(Tabelle4[[#This Row],[Projektverantwortung
(Lenkungsausschuss) ]:[Kommunikation ]])</f>
        <v>0</v>
      </c>
      <c r="BU196" s="105"/>
      <c r="BV196" s="106"/>
      <c r="BW196" s="106"/>
      <c r="BX196" s="106"/>
      <c r="BY196" s="106"/>
      <c r="BZ196" s="106"/>
      <c r="CA196" s="106"/>
      <c r="CB196" s="106"/>
      <c r="CC196" s="108">
        <f>SUM(Tabelle4[[#This Row],[Projektverantwortung
(Lenkungsausschuss)   ]:[Kommunikation   ]])</f>
        <v>0</v>
      </c>
      <c r="CD196" s="105"/>
      <c r="CE196" s="106"/>
      <c r="CF196" s="106"/>
      <c r="CG196" s="106"/>
      <c r="CH196" s="106"/>
      <c r="CI196" s="106"/>
      <c r="CJ196" s="106"/>
      <c r="CK196" s="106"/>
      <c r="CL196" s="108">
        <f>SUM(Tabelle4[[#This Row],[Projektverantwortung
(Lenkungsausschuss).]:[Kommunikation    ]])</f>
        <v>0</v>
      </c>
      <c r="CM196" s="105"/>
      <c r="CN196" s="106"/>
      <c r="CO196" s="106"/>
      <c r="CP196" s="106"/>
      <c r="CQ196" s="106"/>
      <c r="CR196" s="106"/>
      <c r="CS196" s="106"/>
      <c r="CT196" s="106"/>
      <c r="CU196" s="108">
        <f>SUM(Tabelle4[[#This Row],[Projektverantwortung
(Lenkungsausschuss)    ]:[Kommunikation     ]])</f>
        <v>0</v>
      </c>
      <c r="CV196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196" s="105"/>
      <c r="CX196" s="105"/>
      <c r="CY196" s="105"/>
      <c r="CZ196" s="105"/>
      <c r="DA196" s="105"/>
      <c r="DB196" s="105"/>
      <c r="DC196" s="105"/>
      <c r="DD196" s="105"/>
      <c r="DE196" s="107">
        <f>SUM(Tabelle4[[#This Row],[Aufwand ]],Tabelle4[[#This Row],[Aufwand 2]],Tabelle4[[#This Row],[Aufwand 3]],Tabelle4[[#This Row],[Aufwand 4]])</f>
        <v>0</v>
      </c>
      <c r="DF196" s="105"/>
      <c r="DG196" s="105"/>
      <c r="DH196" s="105"/>
      <c r="DI196" s="105"/>
      <c r="DJ196" s="105"/>
      <c r="DK196" s="105"/>
      <c r="DL196" s="105"/>
      <c r="DM196" s="105"/>
      <c r="DN196" s="107">
        <f>SUM(Tabelle4[[#This Row],[Aufwand  ]],Tabelle4[[#This Row],[Aufwand  2]],Tabelle4[[#This Row],[Aufwand  3]],Tabelle4[[#This Row],[Aufwand  4]])</f>
        <v>0</v>
      </c>
      <c r="DO196" s="105"/>
      <c r="DP196" s="105"/>
      <c r="DQ196" s="105"/>
      <c r="DR196" s="105"/>
      <c r="DS196" s="105"/>
      <c r="DT196" s="105"/>
      <c r="DU196" s="105"/>
      <c r="DV196" s="105"/>
      <c r="DW196" s="107">
        <f>SUM(Tabelle4[[#This Row],[Aufwand   ]],Tabelle4[[#This Row],[Aufwand   2]],Tabelle4[[#This Row],[Aufwand   3]],Tabelle4[[#This Row],[Aufwand   4]])</f>
        <v>0</v>
      </c>
      <c r="DX196" s="105"/>
      <c r="DY196" s="105"/>
      <c r="DZ196" s="105"/>
      <c r="EA196" s="105"/>
      <c r="EB196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196" s="122">
        <f>Tabelle4[[#This Row],[Gesamaufwand]]/2000</f>
        <v>0</v>
      </c>
      <c r="ED196" s="47"/>
      <c r="EE196" s="47"/>
      <c r="EF196" s="47"/>
      <c r="EG196" s="47"/>
      <c r="EH196" s="47"/>
      <c r="EI196" s="47"/>
      <c r="EJ196" s="47"/>
      <c r="EK196" s="47"/>
      <c r="EL196" s="47"/>
    </row>
    <row r="197" spans="1:142">
      <c r="A197" s="255" t="s">
        <v>548</v>
      </c>
      <c r="B197" s="251" t="s">
        <v>105</v>
      </c>
      <c r="C197" s="254" t="s">
        <v>68</v>
      </c>
      <c r="D197" s="251" t="s">
        <v>913</v>
      </c>
      <c r="E197" s="251" t="s">
        <v>695</v>
      </c>
      <c r="F197" s="253">
        <v>2</v>
      </c>
      <c r="G197" s="253">
        <v>2</v>
      </c>
      <c r="H197" s="253"/>
      <c r="I197" s="254" t="s">
        <v>95</v>
      </c>
      <c r="J197" s="254"/>
      <c r="K197" s="105"/>
      <c r="L197" s="105"/>
      <c r="M197" s="48"/>
      <c r="N197" s="105"/>
      <c r="O197" s="255" t="s">
        <v>549</v>
      </c>
      <c r="P197" s="261">
        <v>2</v>
      </c>
      <c r="Q197" s="261">
        <v>0</v>
      </c>
      <c r="R197" s="261">
        <v>0</v>
      </c>
      <c r="S197" s="262" t="s">
        <v>301</v>
      </c>
      <c r="T197" s="263" t="s">
        <v>75</v>
      </c>
      <c r="U197" s="259" t="s">
        <v>607</v>
      </c>
      <c r="V197" s="259" t="s">
        <v>607</v>
      </c>
      <c r="W197" s="105" t="s">
        <v>6</v>
      </c>
      <c r="X197" s="105" t="s">
        <v>86</v>
      </c>
      <c r="Y197" s="105" t="s">
        <v>690</v>
      </c>
      <c r="Z197" s="105" t="s">
        <v>80</v>
      </c>
      <c r="AA197" s="105" t="s">
        <v>639</v>
      </c>
      <c r="AB197" s="105" t="s">
        <v>639</v>
      </c>
      <c r="AC197" s="105" t="s">
        <v>639</v>
      </c>
      <c r="AD197" s="105"/>
      <c r="AE197" s="105"/>
      <c r="AF197" s="105"/>
      <c r="AG197" s="105"/>
      <c r="AH197" s="115" t="s">
        <v>621</v>
      </c>
      <c r="AI197" s="115"/>
      <c r="AJ197" s="115"/>
      <c r="AK197" s="105"/>
      <c r="AL197" s="115"/>
      <c r="AM197" s="115"/>
      <c r="AN197" s="115"/>
      <c r="AO197" s="260">
        <f>Tabelle4[[#This Row],[Kredit-  / Budgetsumme
(RADAR: Gesamtkosten S)]]-Tabelle4[[#This Row],[Netto-Ausgaben Vorjahre ]]</f>
        <v>0</v>
      </c>
      <c r="AP197" s="310"/>
      <c r="AQ197" s="311"/>
      <c r="AR197" s="115">
        <f>Tabelle4[[#This Row],[Kreditrest per 1.1. aktuelles Jahr]]-Tabelle4[[#This Row],[Prognose 2018
(RADAR: Kosten 2018 S)]]</f>
        <v>0</v>
      </c>
      <c r="AS197" s="115"/>
      <c r="AT197" s="311"/>
      <c r="AU197" s="115"/>
      <c r="AV197" s="311"/>
      <c r="AW197" s="115"/>
      <c r="AX197" s="311"/>
      <c r="AY197" s="115"/>
      <c r="AZ197" s="311"/>
      <c r="BA197" s="115"/>
      <c r="BB197" s="311"/>
      <c r="BC197" s="115"/>
      <c r="BD197" s="311"/>
      <c r="BE197" s="115"/>
      <c r="BF197" s="311"/>
      <c r="BG197" s="115"/>
      <c r="BH197" s="311"/>
      <c r="BI197" s="115"/>
      <c r="BJ197" s="115"/>
      <c r="BK197" s="264"/>
      <c r="BL197" s="105"/>
      <c r="BM197" s="106"/>
      <c r="BN197" s="106"/>
      <c r="BO197" s="106">
        <v>8</v>
      </c>
      <c r="BP197" s="106"/>
      <c r="BQ197" s="106"/>
      <c r="BR197" s="106"/>
      <c r="BS197" s="106"/>
      <c r="BT197" s="108">
        <f>SUM(Tabelle4[[#This Row],[Projektverantwortung
(Lenkungsausschuss) ]:[Kommunikation ]])</f>
        <v>8</v>
      </c>
      <c r="BU197" s="105"/>
      <c r="BV197" s="106"/>
      <c r="BW197" s="106"/>
      <c r="BX197" s="106">
        <v>8</v>
      </c>
      <c r="BY197" s="106"/>
      <c r="BZ197" s="106"/>
      <c r="CA197" s="106"/>
      <c r="CB197" s="106"/>
      <c r="CC197" s="108">
        <f>SUM(Tabelle4[[#This Row],[Projektverantwortung
(Lenkungsausschuss)   ]:[Kommunikation   ]])</f>
        <v>8</v>
      </c>
      <c r="CD197" s="105"/>
      <c r="CE197" s="106"/>
      <c r="CF197" s="106"/>
      <c r="CG197" s="106">
        <v>8</v>
      </c>
      <c r="CH197" s="106"/>
      <c r="CI197" s="106"/>
      <c r="CJ197" s="106"/>
      <c r="CK197" s="106"/>
      <c r="CL197" s="108">
        <f>SUM(Tabelle4[[#This Row],[Projektverantwortung
(Lenkungsausschuss).]:[Kommunikation    ]])</f>
        <v>8</v>
      </c>
      <c r="CM197" s="105"/>
      <c r="CN197" s="106"/>
      <c r="CO197" s="106"/>
      <c r="CP197" s="106">
        <v>8</v>
      </c>
      <c r="CQ197" s="106"/>
      <c r="CR197" s="106"/>
      <c r="CS197" s="106"/>
      <c r="CT197" s="106"/>
      <c r="CU197" s="108">
        <f>SUM(Tabelle4[[#This Row],[Projektverantwortung
(Lenkungsausschuss)    ]:[Kommunikation     ]])</f>
        <v>8</v>
      </c>
      <c r="CV197" s="107">
        <f>SUM(Tabelle4[[#This Row],[Total Aufwand
1. Quartal 2018]],Tabelle4[[#This Row],[Total Aufwand
2. Quartal 2018]],Tabelle4[[#This Row],[Total Aufwand
3. Quartal 2018]],Tabelle4[[#This Row],[Total Aufwand
4. Quartal 2018]])</f>
        <v>32</v>
      </c>
      <c r="CW197" s="105"/>
      <c r="CX197" s="105"/>
      <c r="CY197" s="105"/>
      <c r="CZ197" s="105"/>
      <c r="DA197" s="105"/>
      <c r="DB197" s="105"/>
      <c r="DC197" s="105"/>
      <c r="DD197" s="105"/>
      <c r="DE197" s="107">
        <f>SUM(Tabelle4[[#This Row],[Aufwand ]],Tabelle4[[#This Row],[Aufwand 2]],Tabelle4[[#This Row],[Aufwand 3]],Tabelle4[[#This Row],[Aufwand 4]])</f>
        <v>0</v>
      </c>
      <c r="DF197" s="105"/>
      <c r="DG197" s="105"/>
      <c r="DH197" s="105"/>
      <c r="DI197" s="105"/>
      <c r="DJ197" s="105"/>
      <c r="DK197" s="105"/>
      <c r="DL197" s="105"/>
      <c r="DM197" s="105"/>
      <c r="DN197" s="107">
        <f>SUM(Tabelle4[[#This Row],[Aufwand  ]],Tabelle4[[#This Row],[Aufwand  2]],Tabelle4[[#This Row],[Aufwand  3]],Tabelle4[[#This Row],[Aufwand  4]])</f>
        <v>0</v>
      </c>
      <c r="DO197" s="105"/>
      <c r="DP197" s="105"/>
      <c r="DQ197" s="105"/>
      <c r="DR197" s="105"/>
      <c r="DS197" s="105"/>
      <c r="DT197" s="105"/>
      <c r="DU197" s="105"/>
      <c r="DV197" s="105"/>
      <c r="DW197" s="107">
        <f>SUM(Tabelle4[[#This Row],[Aufwand   ]],Tabelle4[[#This Row],[Aufwand   2]],Tabelle4[[#This Row],[Aufwand   3]],Tabelle4[[#This Row],[Aufwand   4]])</f>
        <v>0</v>
      </c>
      <c r="DX197" s="105"/>
      <c r="DY197" s="105"/>
      <c r="DZ197" s="105"/>
      <c r="EA197" s="105"/>
      <c r="EB197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32</v>
      </c>
      <c r="EC197" s="122">
        <f>Tabelle4[[#This Row],[Gesamaufwand]]/2000</f>
        <v>1.6E-2</v>
      </c>
      <c r="ED197" s="47"/>
      <c r="EE197" s="47"/>
      <c r="EF197" s="47"/>
      <c r="EG197" s="47"/>
      <c r="EH197" s="47"/>
      <c r="EI197" s="47"/>
      <c r="EJ197" s="47"/>
      <c r="EK197" s="47"/>
      <c r="EL197" s="47"/>
    </row>
    <row r="198" spans="1:142">
      <c r="A198" s="255" t="s">
        <v>550</v>
      </c>
      <c r="B198" s="251" t="s">
        <v>105</v>
      </c>
      <c r="C198" s="254" t="s">
        <v>68</v>
      </c>
      <c r="D198" s="251" t="s">
        <v>913</v>
      </c>
      <c r="E198" s="251" t="s">
        <v>695</v>
      </c>
      <c r="F198" s="253">
        <v>2</v>
      </c>
      <c r="G198" s="253">
        <v>1</v>
      </c>
      <c r="H198" s="253"/>
      <c r="I198" s="254" t="s">
        <v>95</v>
      </c>
      <c r="J198" s="254"/>
      <c r="K198" s="105"/>
      <c r="L198" s="105"/>
      <c r="M198" s="48"/>
      <c r="N198" s="105"/>
      <c r="O198" s="255" t="s">
        <v>551</v>
      </c>
      <c r="P198" s="261">
        <v>2</v>
      </c>
      <c r="Q198" s="261">
        <v>0</v>
      </c>
      <c r="R198" s="261">
        <v>1</v>
      </c>
      <c r="S198" s="262" t="s">
        <v>304</v>
      </c>
      <c r="T198" s="263" t="s">
        <v>664</v>
      </c>
      <c r="U198" s="105"/>
      <c r="V198" s="259" t="s">
        <v>607</v>
      </c>
      <c r="W198" s="105" t="s">
        <v>6</v>
      </c>
      <c r="X198" s="105" t="s">
        <v>86</v>
      </c>
      <c r="Y198" s="105" t="s">
        <v>690</v>
      </c>
      <c r="Z198" s="105" t="s">
        <v>81</v>
      </c>
      <c r="AA198" s="105" t="s">
        <v>639</v>
      </c>
      <c r="AB198" s="105" t="s">
        <v>13</v>
      </c>
      <c r="AC198" s="105" t="s">
        <v>639</v>
      </c>
      <c r="AD198" s="105"/>
      <c r="AE198" s="105"/>
      <c r="AF198" s="105"/>
      <c r="AG198" s="105"/>
      <c r="AH198" s="115" t="s">
        <v>799</v>
      </c>
      <c r="AI198" s="115"/>
      <c r="AJ198" s="115"/>
      <c r="AK198" s="105" t="s">
        <v>1104</v>
      </c>
      <c r="AL198" s="115">
        <v>60000</v>
      </c>
      <c r="AM198" s="115"/>
      <c r="AN198" s="115"/>
      <c r="AO198" s="260">
        <f>Tabelle4[[#This Row],[Kredit-  / Budgetsumme
(RADAR: Gesamtkosten S)]]-Tabelle4[[#This Row],[Netto-Ausgaben Vorjahre ]]</f>
        <v>60000</v>
      </c>
      <c r="AP198" s="310"/>
      <c r="AQ198" s="311"/>
      <c r="AR198" s="115">
        <f>Tabelle4[[#This Row],[Kreditrest per 1.1. aktuelles Jahr]]-Tabelle4[[#This Row],[Prognose 2018
(RADAR: Kosten 2018 S)]]</f>
        <v>60000</v>
      </c>
      <c r="AS198" s="115"/>
      <c r="AT198" s="311">
        <v>60000</v>
      </c>
      <c r="AU198" s="115"/>
      <c r="AV198" s="311"/>
      <c r="AW198" s="115"/>
      <c r="AX198" s="311"/>
      <c r="AY198" s="115"/>
      <c r="AZ198" s="311"/>
      <c r="BA198" s="115"/>
      <c r="BB198" s="311"/>
      <c r="BC198" s="115"/>
      <c r="BD198" s="311"/>
      <c r="BE198" s="115"/>
      <c r="BF198" s="311"/>
      <c r="BG198" s="115"/>
      <c r="BH198" s="311"/>
      <c r="BI198" s="115"/>
      <c r="BJ198" s="115"/>
      <c r="BK198" s="264"/>
      <c r="BL198" s="105"/>
      <c r="BM198" s="106"/>
      <c r="BN198" s="106"/>
      <c r="BO198" s="106">
        <v>20</v>
      </c>
      <c r="BP198" s="106"/>
      <c r="BQ198" s="106"/>
      <c r="BR198" s="106"/>
      <c r="BS198" s="106"/>
      <c r="BT198" s="108">
        <f>SUM(Tabelle4[[#This Row],[Projektverantwortung
(Lenkungsausschuss) ]:[Kommunikation ]])</f>
        <v>20</v>
      </c>
      <c r="BU198" s="105"/>
      <c r="BV198" s="106"/>
      <c r="BW198" s="106"/>
      <c r="BX198" s="106">
        <v>8</v>
      </c>
      <c r="BY198" s="106"/>
      <c r="BZ198" s="106">
        <v>60</v>
      </c>
      <c r="CA198" s="106"/>
      <c r="CB198" s="106"/>
      <c r="CC198" s="108">
        <f>SUM(Tabelle4[[#This Row],[Projektverantwortung
(Lenkungsausschuss)   ]:[Kommunikation   ]])</f>
        <v>68</v>
      </c>
      <c r="CD198" s="105"/>
      <c r="CE198" s="106"/>
      <c r="CF198" s="106"/>
      <c r="CG198" s="106">
        <v>8</v>
      </c>
      <c r="CH198" s="106"/>
      <c r="CI198" s="106">
        <v>60</v>
      </c>
      <c r="CJ198" s="106"/>
      <c r="CK198" s="106"/>
      <c r="CL198" s="108">
        <f>SUM(Tabelle4[[#This Row],[Projektverantwortung
(Lenkungsausschuss).]:[Kommunikation    ]])</f>
        <v>68</v>
      </c>
      <c r="CM198" s="105"/>
      <c r="CN198" s="106"/>
      <c r="CO198" s="106"/>
      <c r="CP198" s="106">
        <v>8</v>
      </c>
      <c r="CQ198" s="106"/>
      <c r="CR198" s="106">
        <v>60</v>
      </c>
      <c r="CS198" s="106"/>
      <c r="CT198" s="106"/>
      <c r="CU198" s="108">
        <f>SUM(Tabelle4[[#This Row],[Projektverantwortung
(Lenkungsausschuss)    ]:[Kommunikation     ]])</f>
        <v>68</v>
      </c>
      <c r="CV198" s="107">
        <f>SUM(Tabelle4[[#This Row],[Total Aufwand
1. Quartal 2018]],Tabelle4[[#This Row],[Total Aufwand
2. Quartal 2018]],Tabelle4[[#This Row],[Total Aufwand
3. Quartal 2018]],Tabelle4[[#This Row],[Total Aufwand
4. Quartal 2018]])</f>
        <v>224</v>
      </c>
      <c r="CW198" s="105"/>
      <c r="CX198" s="105">
        <v>60</v>
      </c>
      <c r="CY198" s="105"/>
      <c r="CZ198" s="105">
        <v>60</v>
      </c>
      <c r="DA198" s="105"/>
      <c r="DB198" s="105">
        <v>40</v>
      </c>
      <c r="DC198" s="105"/>
      <c r="DD198" s="105">
        <v>0</v>
      </c>
      <c r="DE198" s="107">
        <f>SUM(Tabelle4[[#This Row],[Aufwand ]],Tabelle4[[#This Row],[Aufwand 2]],Tabelle4[[#This Row],[Aufwand 3]],Tabelle4[[#This Row],[Aufwand 4]])</f>
        <v>160</v>
      </c>
      <c r="DF198" s="105"/>
      <c r="DG198" s="105"/>
      <c r="DH198" s="105"/>
      <c r="DI198" s="105"/>
      <c r="DJ198" s="105"/>
      <c r="DK198" s="105"/>
      <c r="DL198" s="105"/>
      <c r="DM198" s="105"/>
      <c r="DN198" s="107">
        <f>SUM(Tabelle4[[#This Row],[Aufwand  ]],Tabelle4[[#This Row],[Aufwand  2]],Tabelle4[[#This Row],[Aufwand  3]],Tabelle4[[#This Row],[Aufwand  4]])</f>
        <v>0</v>
      </c>
      <c r="DO198" s="105"/>
      <c r="DP198" s="105"/>
      <c r="DQ198" s="105"/>
      <c r="DR198" s="105"/>
      <c r="DS198" s="105"/>
      <c r="DT198" s="105"/>
      <c r="DU198" s="105"/>
      <c r="DV198" s="105"/>
      <c r="DW198" s="107">
        <f>SUM(Tabelle4[[#This Row],[Aufwand   ]],Tabelle4[[#This Row],[Aufwand   2]],Tabelle4[[#This Row],[Aufwand   3]],Tabelle4[[#This Row],[Aufwand   4]])</f>
        <v>0</v>
      </c>
      <c r="DX198" s="105"/>
      <c r="DY198" s="105"/>
      <c r="DZ198" s="105"/>
      <c r="EA198" s="105"/>
      <c r="EB198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384</v>
      </c>
      <c r="EC198" s="122">
        <f>Tabelle4[[#This Row],[Gesamaufwand]]/2000</f>
        <v>0.192</v>
      </c>
      <c r="ED198" s="47"/>
      <c r="EE198" s="47"/>
      <c r="EF198" s="47"/>
      <c r="EG198" s="47"/>
      <c r="EH198" s="47"/>
      <c r="EI198" s="47"/>
      <c r="EJ198" s="47"/>
      <c r="EK198" s="47"/>
      <c r="EL198" s="47"/>
    </row>
    <row r="199" spans="1:142">
      <c r="A199" s="255" t="s">
        <v>655</v>
      </c>
      <c r="B199" s="251" t="s">
        <v>694</v>
      </c>
      <c r="C199" s="254" t="s">
        <v>68</v>
      </c>
      <c r="D199" s="251" t="s">
        <v>913</v>
      </c>
      <c r="E199" s="251" t="s">
        <v>635</v>
      </c>
      <c r="F199" s="253">
        <v>2</v>
      </c>
      <c r="G199" s="253">
        <v>2</v>
      </c>
      <c r="H199" s="253"/>
      <c r="I199" s="254" t="s">
        <v>95</v>
      </c>
      <c r="J199" s="254"/>
      <c r="K199" s="105"/>
      <c r="L199" s="105"/>
      <c r="M199" s="48"/>
      <c r="N199" s="105"/>
      <c r="O199" s="255" t="s">
        <v>552</v>
      </c>
      <c r="P199" s="261">
        <v>2</v>
      </c>
      <c r="Q199" s="261">
        <v>0</v>
      </c>
      <c r="R199" s="261">
        <v>0</v>
      </c>
      <c r="S199" s="262" t="s">
        <v>372</v>
      </c>
      <c r="T199" s="263" t="s">
        <v>4</v>
      </c>
      <c r="U199" s="105"/>
      <c r="V199" s="259" t="s">
        <v>609</v>
      </c>
      <c r="W199" s="105" t="s">
        <v>6</v>
      </c>
      <c r="X199" s="105" t="s">
        <v>11</v>
      </c>
      <c r="Y199" s="105" t="s">
        <v>690</v>
      </c>
      <c r="Z199" s="105" t="s">
        <v>86</v>
      </c>
      <c r="AA199" s="105" t="s">
        <v>639</v>
      </c>
      <c r="AB199" s="105" t="s">
        <v>639</v>
      </c>
      <c r="AC199" s="105" t="s">
        <v>639</v>
      </c>
      <c r="AD199" s="105"/>
      <c r="AE199" s="105"/>
      <c r="AF199" s="105"/>
      <c r="AG199" s="105"/>
      <c r="AH199" s="115" t="s">
        <v>1090</v>
      </c>
      <c r="AI199" s="115"/>
      <c r="AJ199" s="115"/>
      <c r="AK199" s="105"/>
      <c r="AL199" s="115"/>
      <c r="AM199" s="115"/>
      <c r="AN199" s="115"/>
      <c r="AO199" s="260"/>
      <c r="AP199" s="310"/>
      <c r="AQ199" s="311"/>
      <c r="AR199" s="115"/>
      <c r="AS199" s="115"/>
      <c r="AT199" s="311"/>
      <c r="AU199" s="115"/>
      <c r="AV199" s="311"/>
      <c r="AW199" s="115"/>
      <c r="AX199" s="311"/>
      <c r="AY199" s="115"/>
      <c r="AZ199" s="311"/>
      <c r="BA199" s="115"/>
      <c r="BB199" s="311"/>
      <c r="BC199" s="115"/>
      <c r="BD199" s="311"/>
      <c r="BE199" s="115"/>
      <c r="BF199" s="311"/>
      <c r="BG199" s="115"/>
      <c r="BH199" s="311"/>
      <c r="BI199" s="115"/>
      <c r="BJ199" s="115"/>
      <c r="BK199" s="264"/>
      <c r="BL199" s="105"/>
      <c r="BM199" s="106"/>
      <c r="BN199" s="106"/>
      <c r="BO199" s="106"/>
      <c r="BP199" s="106"/>
      <c r="BQ199" s="106"/>
      <c r="BR199" s="106"/>
      <c r="BS199" s="106"/>
      <c r="BT199" s="108">
        <f>SUM(Tabelle4[[#This Row],[Projektverantwortung
(Lenkungsausschuss) ]:[Kommunikation ]])</f>
        <v>0</v>
      </c>
      <c r="BU199" s="105"/>
      <c r="BV199" s="106"/>
      <c r="BW199" s="106"/>
      <c r="BX199" s="106"/>
      <c r="BY199" s="106"/>
      <c r="BZ199" s="106"/>
      <c r="CA199" s="106"/>
      <c r="CB199" s="106"/>
      <c r="CC199" s="108">
        <f>SUM(Tabelle4[[#This Row],[Projektverantwortung
(Lenkungsausschuss)   ]:[Kommunikation   ]])</f>
        <v>0</v>
      </c>
      <c r="CD199" s="105"/>
      <c r="CE199" s="106"/>
      <c r="CF199" s="106"/>
      <c r="CG199" s="106"/>
      <c r="CH199" s="106"/>
      <c r="CI199" s="106"/>
      <c r="CJ199" s="106"/>
      <c r="CK199" s="106"/>
      <c r="CL199" s="108">
        <f>SUM(Tabelle4[[#This Row],[Projektverantwortung
(Lenkungsausschuss).]:[Kommunikation    ]])</f>
        <v>0</v>
      </c>
      <c r="CM199" s="105"/>
      <c r="CN199" s="106"/>
      <c r="CO199" s="106"/>
      <c r="CP199" s="106"/>
      <c r="CQ199" s="106"/>
      <c r="CR199" s="106"/>
      <c r="CS199" s="106"/>
      <c r="CT199" s="106"/>
      <c r="CU199" s="108">
        <f>SUM(Tabelle4[[#This Row],[Projektverantwortung
(Lenkungsausschuss)    ]:[Kommunikation     ]])</f>
        <v>0</v>
      </c>
      <c r="CV199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199" s="105"/>
      <c r="CX199" s="105"/>
      <c r="CY199" s="105"/>
      <c r="CZ199" s="105"/>
      <c r="DA199" s="105"/>
      <c r="DB199" s="105"/>
      <c r="DC199" s="105"/>
      <c r="DD199" s="105"/>
      <c r="DE199" s="107">
        <f>SUM(Tabelle4[[#This Row],[Aufwand ]],Tabelle4[[#This Row],[Aufwand 2]],Tabelle4[[#This Row],[Aufwand 3]],Tabelle4[[#This Row],[Aufwand 4]])</f>
        <v>0</v>
      </c>
      <c r="DF199" s="105"/>
      <c r="DG199" s="105"/>
      <c r="DH199" s="105"/>
      <c r="DI199" s="105"/>
      <c r="DJ199" s="105"/>
      <c r="DK199" s="105"/>
      <c r="DL199" s="105"/>
      <c r="DM199" s="105"/>
      <c r="DN199" s="107">
        <f>SUM(Tabelle4[[#This Row],[Aufwand  ]],Tabelle4[[#This Row],[Aufwand  2]],Tabelle4[[#This Row],[Aufwand  3]],Tabelle4[[#This Row],[Aufwand  4]])</f>
        <v>0</v>
      </c>
      <c r="DO199" s="105"/>
      <c r="DP199" s="105"/>
      <c r="DQ199" s="105"/>
      <c r="DR199" s="105"/>
      <c r="DS199" s="105"/>
      <c r="DT199" s="105"/>
      <c r="DU199" s="105"/>
      <c r="DV199" s="105"/>
      <c r="DW199" s="107">
        <f>SUM(Tabelle4[[#This Row],[Aufwand   ]],Tabelle4[[#This Row],[Aufwand   2]],Tabelle4[[#This Row],[Aufwand   3]],Tabelle4[[#This Row],[Aufwand   4]])</f>
        <v>0</v>
      </c>
      <c r="DX199" s="105"/>
      <c r="DY199" s="105"/>
      <c r="DZ199" s="105"/>
      <c r="EA199" s="105"/>
      <c r="EB199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199" s="122">
        <f>Tabelle4[[#This Row],[Gesamaufwand]]/2000</f>
        <v>0</v>
      </c>
      <c r="ED199" s="47"/>
      <c r="EE199" s="47"/>
      <c r="EF199" s="47"/>
      <c r="EG199" s="47"/>
      <c r="EH199" s="47"/>
      <c r="EI199" s="47"/>
      <c r="EJ199" s="47"/>
      <c r="EK199" s="47"/>
      <c r="EL199" s="47"/>
    </row>
    <row r="200" spans="1:142">
      <c r="A200" s="255" t="s">
        <v>553</v>
      </c>
      <c r="B200" s="251" t="s">
        <v>1331</v>
      </c>
      <c r="C200" s="254" t="s">
        <v>690</v>
      </c>
      <c r="D200" s="251"/>
      <c r="E200" s="251" t="s">
        <v>75</v>
      </c>
      <c r="F200" s="253"/>
      <c r="G200" s="253"/>
      <c r="H200" s="253"/>
      <c r="I200" s="254"/>
      <c r="J200" s="254"/>
      <c r="K200" s="105"/>
      <c r="L200" s="105"/>
      <c r="M200" s="48"/>
      <c r="N200" s="105"/>
      <c r="O200" s="255" t="s">
        <v>554</v>
      </c>
      <c r="P200" s="261">
        <v>2</v>
      </c>
      <c r="Q200" s="261">
        <v>0</v>
      </c>
      <c r="R200" s="261">
        <v>0</v>
      </c>
      <c r="S200" s="262" t="s">
        <v>555</v>
      </c>
      <c r="T200" s="263" t="s">
        <v>75</v>
      </c>
      <c r="U200" s="105"/>
      <c r="V200" s="259" t="s">
        <v>610</v>
      </c>
      <c r="W200" s="105" t="s">
        <v>75</v>
      </c>
      <c r="X200" s="105" t="s">
        <v>75</v>
      </c>
      <c r="Y200" s="105" t="s">
        <v>75</v>
      </c>
      <c r="Z200" s="105" t="s">
        <v>75</v>
      </c>
      <c r="AA200" s="105" t="s">
        <v>75</v>
      </c>
      <c r="AB200" s="105" t="s">
        <v>75</v>
      </c>
      <c r="AC200" s="105" t="s">
        <v>75</v>
      </c>
      <c r="AD200" s="105"/>
      <c r="AE200" s="105"/>
      <c r="AF200" s="105"/>
      <c r="AG200" s="105"/>
      <c r="AH200" s="115" t="s">
        <v>621</v>
      </c>
      <c r="AI200" s="115"/>
      <c r="AJ200" s="115"/>
      <c r="AK200" s="105"/>
      <c r="AL200" s="115"/>
      <c r="AM200" s="115"/>
      <c r="AN200" s="115"/>
      <c r="AO200" s="260">
        <f>Tabelle4[[#This Row],[Kredit-  / Budgetsumme
(RADAR: Gesamtkosten S)]]-Tabelle4[[#This Row],[Netto-Ausgaben Vorjahre ]]</f>
        <v>0</v>
      </c>
      <c r="AP200" s="310"/>
      <c r="AQ200" s="311"/>
      <c r="AR200" s="115">
        <f>Tabelle4[[#This Row],[Kreditrest per 1.1. aktuelles Jahr]]-Tabelle4[[#This Row],[Prognose 2018
(RADAR: Kosten 2018 S)]]</f>
        <v>0</v>
      </c>
      <c r="AS200" s="115"/>
      <c r="AT200" s="311"/>
      <c r="AU200" s="115"/>
      <c r="AV200" s="311"/>
      <c r="AW200" s="115"/>
      <c r="AX200" s="311"/>
      <c r="AY200" s="115"/>
      <c r="AZ200" s="311"/>
      <c r="BA200" s="115"/>
      <c r="BB200" s="311"/>
      <c r="BC200" s="115"/>
      <c r="BD200" s="311"/>
      <c r="BE200" s="115"/>
      <c r="BF200" s="311"/>
      <c r="BG200" s="115"/>
      <c r="BH200" s="311"/>
      <c r="BI200" s="115"/>
      <c r="BJ200" s="115"/>
      <c r="BK200" s="264"/>
      <c r="BL200" s="105"/>
      <c r="BM200" s="106"/>
      <c r="BN200" s="106"/>
      <c r="BO200" s="106"/>
      <c r="BP200" s="106"/>
      <c r="BQ200" s="106"/>
      <c r="BR200" s="106"/>
      <c r="BS200" s="106"/>
      <c r="BT200" s="108">
        <f>SUM(Tabelle4[[#This Row],[Projektverantwortung
(Lenkungsausschuss) ]:[Kommunikation ]])</f>
        <v>0</v>
      </c>
      <c r="BU200" s="105"/>
      <c r="BV200" s="106"/>
      <c r="BW200" s="106"/>
      <c r="BX200" s="106"/>
      <c r="BY200" s="106"/>
      <c r="BZ200" s="106"/>
      <c r="CA200" s="106"/>
      <c r="CB200" s="106"/>
      <c r="CC200" s="108">
        <f>SUM(Tabelle4[[#This Row],[Projektverantwortung
(Lenkungsausschuss)   ]:[Kommunikation   ]])</f>
        <v>0</v>
      </c>
      <c r="CD200" s="105"/>
      <c r="CE200" s="106"/>
      <c r="CF200" s="106"/>
      <c r="CG200" s="106"/>
      <c r="CH200" s="106"/>
      <c r="CI200" s="106"/>
      <c r="CJ200" s="106"/>
      <c r="CK200" s="106"/>
      <c r="CL200" s="108">
        <f>SUM(Tabelle4[[#This Row],[Projektverantwortung
(Lenkungsausschuss).]:[Kommunikation    ]])</f>
        <v>0</v>
      </c>
      <c r="CM200" s="105"/>
      <c r="CN200" s="106"/>
      <c r="CO200" s="106"/>
      <c r="CP200" s="106"/>
      <c r="CQ200" s="106"/>
      <c r="CR200" s="106"/>
      <c r="CS200" s="106"/>
      <c r="CT200" s="106"/>
      <c r="CU200" s="108">
        <f>SUM(Tabelle4[[#This Row],[Projektverantwortung
(Lenkungsausschuss)    ]:[Kommunikation     ]])</f>
        <v>0</v>
      </c>
      <c r="CV200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200" s="105"/>
      <c r="CX200" s="105"/>
      <c r="CY200" s="105"/>
      <c r="CZ200" s="105"/>
      <c r="DA200" s="105"/>
      <c r="DB200" s="105"/>
      <c r="DC200" s="105"/>
      <c r="DD200" s="105"/>
      <c r="DE200" s="107">
        <f>SUM(Tabelle4[[#This Row],[Aufwand ]],Tabelle4[[#This Row],[Aufwand 2]],Tabelle4[[#This Row],[Aufwand 3]],Tabelle4[[#This Row],[Aufwand 4]])</f>
        <v>0</v>
      </c>
      <c r="DF200" s="105"/>
      <c r="DG200" s="105"/>
      <c r="DH200" s="105"/>
      <c r="DI200" s="105"/>
      <c r="DJ200" s="105"/>
      <c r="DK200" s="105"/>
      <c r="DL200" s="105"/>
      <c r="DM200" s="105"/>
      <c r="DN200" s="107">
        <f>SUM(Tabelle4[[#This Row],[Aufwand  ]],Tabelle4[[#This Row],[Aufwand  2]],Tabelle4[[#This Row],[Aufwand  3]],Tabelle4[[#This Row],[Aufwand  4]])</f>
        <v>0</v>
      </c>
      <c r="DO200" s="105"/>
      <c r="DP200" s="105"/>
      <c r="DQ200" s="105"/>
      <c r="DR200" s="105"/>
      <c r="DS200" s="105"/>
      <c r="DT200" s="105"/>
      <c r="DU200" s="105"/>
      <c r="DV200" s="105"/>
      <c r="DW200" s="107">
        <f>SUM(Tabelle4[[#This Row],[Aufwand   ]],Tabelle4[[#This Row],[Aufwand   2]],Tabelle4[[#This Row],[Aufwand   3]],Tabelle4[[#This Row],[Aufwand   4]])</f>
        <v>0</v>
      </c>
      <c r="DX200" s="105"/>
      <c r="DY200" s="105"/>
      <c r="DZ200" s="105"/>
      <c r="EA200" s="105"/>
      <c r="EB200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200" s="122">
        <f>Tabelle4[[#This Row],[Gesamaufwand]]/2000</f>
        <v>0</v>
      </c>
      <c r="ED200" s="47"/>
      <c r="EE200" s="47"/>
      <c r="EF200" s="47"/>
      <c r="EG200" s="47"/>
      <c r="EH200" s="47"/>
      <c r="EI200" s="47"/>
      <c r="EJ200" s="47"/>
      <c r="EK200" s="47"/>
      <c r="EL200" s="47"/>
    </row>
    <row r="201" spans="1:142">
      <c r="A201" s="255" t="s">
        <v>556</v>
      </c>
      <c r="B201" s="251" t="s">
        <v>105</v>
      </c>
      <c r="C201" s="254" t="s">
        <v>68</v>
      </c>
      <c r="D201" s="251" t="s">
        <v>913</v>
      </c>
      <c r="E201" s="251" t="s">
        <v>97</v>
      </c>
      <c r="F201" s="253">
        <v>2</v>
      </c>
      <c r="G201" s="253">
        <v>2</v>
      </c>
      <c r="H201" s="253"/>
      <c r="I201" s="254" t="s">
        <v>95</v>
      </c>
      <c r="J201" s="254"/>
      <c r="K201" s="105"/>
      <c r="L201" s="105"/>
      <c r="M201" s="48"/>
      <c r="N201" s="105"/>
      <c r="O201" s="255" t="s">
        <v>557</v>
      </c>
      <c r="P201" s="261">
        <v>2</v>
      </c>
      <c r="Q201" s="261">
        <v>0</v>
      </c>
      <c r="R201" s="261">
        <v>0</v>
      </c>
      <c r="S201" s="262" t="s">
        <v>423</v>
      </c>
      <c r="T201" s="263" t="s">
        <v>662</v>
      </c>
      <c r="U201" s="105"/>
      <c r="V201" s="259" t="s">
        <v>610</v>
      </c>
      <c r="W201" s="105" t="s">
        <v>6</v>
      </c>
      <c r="X201" s="105" t="s">
        <v>11</v>
      </c>
      <c r="Y201" s="105" t="s">
        <v>690</v>
      </c>
      <c r="Z201" s="105" t="s">
        <v>86</v>
      </c>
      <c r="AA201" s="105" t="s">
        <v>639</v>
      </c>
      <c r="AB201" s="105" t="s">
        <v>639</v>
      </c>
      <c r="AC201" s="105" t="s">
        <v>639</v>
      </c>
      <c r="AD201" s="105"/>
      <c r="AE201" s="105"/>
      <c r="AF201" s="105"/>
      <c r="AG201" s="105"/>
      <c r="AH201" s="115" t="s">
        <v>621</v>
      </c>
      <c r="AI201" s="115"/>
      <c r="AJ201" s="115"/>
      <c r="AK201" s="105"/>
      <c r="AL201" s="115"/>
      <c r="AM201" s="115"/>
      <c r="AN201" s="115"/>
      <c r="AO201" s="260">
        <f>Tabelle4[[#This Row],[Kredit-  / Budgetsumme
(RADAR: Gesamtkosten S)]]-Tabelle4[[#This Row],[Netto-Ausgaben Vorjahre ]]</f>
        <v>0</v>
      </c>
      <c r="AP201" s="310"/>
      <c r="AQ201" s="311"/>
      <c r="AR201" s="115">
        <f>Tabelle4[[#This Row],[Kreditrest per 1.1. aktuelles Jahr]]-Tabelle4[[#This Row],[Prognose 2018
(RADAR: Kosten 2018 S)]]</f>
        <v>0</v>
      </c>
      <c r="AS201" s="115"/>
      <c r="AT201" s="311"/>
      <c r="AU201" s="115"/>
      <c r="AV201" s="311"/>
      <c r="AW201" s="115"/>
      <c r="AX201" s="311"/>
      <c r="AY201" s="115"/>
      <c r="AZ201" s="311"/>
      <c r="BA201" s="115"/>
      <c r="BB201" s="311"/>
      <c r="BC201" s="115"/>
      <c r="BD201" s="311"/>
      <c r="BE201" s="115"/>
      <c r="BF201" s="311"/>
      <c r="BG201" s="115"/>
      <c r="BH201" s="311"/>
      <c r="BI201" s="115"/>
      <c r="BJ201" s="115"/>
      <c r="BK201" s="264"/>
      <c r="BL201" s="105"/>
      <c r="BM201" s="106"/>
      <c r="BN201" s="106"/>
      <c r="BO201" s="106">
        <v>20</v>
      </c>
      <c r="BP201" s="106"/>
      <c r="BQ201" s="106"/>
      <c r="BR201" s="106"/>
      <c r="BS201" s="106"/>
      <c r="BT201" s="108">
        <f>SUM(Tabelle4[[#This Row],[Projektverantwortung
(Lenkungsausschuss) ]:[Kommunikation ]])</f>
        <v>20</v>
      </c>
      <c r="BU201" s="105"/>
      <c r="BV201" s="106"/>
      <c r="BW201" s="106"/>
      <c r="BX201" s="106">
        <v>20</v>
      </c>
      <c r="BY201" s="106"/>
      <c r="BZ201" s="106"/>
      <c r="CA201" s="106"/>
      <c r="CB201" s="106"/>
      <c r="CC201" s="108">
        <f>SUM(Tabelle4[[#This Row],[Projektverantwortung
(Lenkungsausschuss)   ]:[Kommunikation   ]])</f>
        <v>20</v>
      </c>
      <c r="CD201" s="105"/>
      <c r="CE201" s="106"/>
      <c r="CF201" s="106"/>
      <c r="CG201" s="106">
        <v>40</v>
      </c>
      <c r="CH201" s="106"/>
      <c r="CI201" s="106"/>
      <c r="CJ201" s="106"/>
      <c r="CK201" s="106"/>
      <c r="CL201" s="108">
        <f>SUM(Tabelle4[[#This Row],[Projektverantwortung
(Lenkungsausschuss).]:[Kommunikation    ]])</f>
        <v>40</v>
      </c>
      <c r="CM201" s="105"/>
      <c r="CN201" s="106"/>
      <c r="CO201" s="106"/>
      <c r="CP201" s="106">
        <v>40</v>
      </c>
      <c r="CQ201" s="106"/>
      <c r="CR201" s="106"/>
      <c r="CS201" s="106"/>
      <c r="CT201" s="106"/>
      <c r="CU201" s="108">
        <f>SUM(Tabelle4[[#This Row],[Projektverantwortung
(Lenkungsausschuss)    ]:[Kommunikation     ]])</f>
        <v>40</v>
      </c>
      <c r="CV201" s="107">
        <f>SUM(Tabelle4[[#This Row],[Total Aufwand
1. Quartal 2018]],Tabelle4[[#This Row],[Total Aufwand
2. Quartal 2018]],Tabelle4[[#This Row],[Total Aufwand
3. Quartal 2018]],Tabelle4[[#This Row],[Total Aufwand
4. Quartal 2018]])</f>
        <v>120</v>
      </c>
      <c r="CW201" s="105"/>
      <c r="CX201" s="105"/>
      <c r="CY201" s="105"/>
      <c r="CZ201" s="105"/>
      <c r="DA201" s="105"/>
      <c r="DB201" s="105"/>
      <c r="DC201" s="105"/>
      <c r="DD201" s="105"/>
      <c r="DE201" s="107">
        <f>SUM(Tabelle4[[#This Row],[Aufwand ]],Tabelle4[[#This Row],[Aufwand 2]],Tabelle4[[#This Row],[Aufwand 3]],Tabelle4[[#This Row],[Aufwand 4]])</f>
        <v>0</v>
      </c>
      <c r="DF201" s="105"/>
      <c r="DG201" s="105"/>
      <c r="DH201" s="105"/>
      <c r="DI201" s="105"/>
      <c r="DJ201" s="105"/>
      <c r="DK201" s="105"/>
      <c r="DL201" s="105"/>
      <c r="DM201" s="105"/>
      <c r="DN201" s="107">
        <f>SUM(Tabelle4[[#This Row],[Aufwand  ]],Tabelle4[[#This Row],[Aufwand  2]],Tabelle4[[#This Row],[Aufwand  3]],Tabelle4[[#This Row],[Aufwand  4]])</f>
        <v>0</v>
      </c>
      <c r="DO201" s="105"/>
      <c r="DP201" s="105"/>
      <c r="DQ201" s="105"/>
      <c r="DR201" s="105"/>
      <c r="DS201" s="105"/>
      <c r="DT201" s="105"/>
      <c r="DU201" s="105"/>
      <c r="DV201" s="105"/>
      <c r="DW201" s="107">
        <f>SUM(Tabelle4[[#This Row],[Aufwand   ]],Tabelle4[[#This Row],[Aufwand   2]],Tabelle4[[#This Row],[Aufwand   3]],Tabelle4[[#This Row],[Aufwand   4]])</f>
        <v>0</v>
      </c>
      <c r="DX201" s="105"/>
      <c r="DY201" s="105"/>
      <c r="DZ201" s="105"/>
      <c r="EA201" s="105"/>
      <c r="EB201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120</v>
      </c>
      <c r="EC201" s="122">
        <f>Tabelle4[[#This Row],[Gesamaufwand]]/2000</f>
        <v>0.06</v>
      </c>
      <c r="ED201" s="47"/>
      <c r="EE201" s="47"/>
      <c r="EF201" s="47"/>
      <c r="EG201" s="47"/>
      <c r="EH201" s="47"/>
      <c r="EI201" s="47"/>
      <c r="EJ201" s="47"/>
      <c r="EK201" s="47"/>
      <c r="EL201" s="47"/>
    </row>
    <row r="202" spans="1:142">
      <c r="A202" s="255" t="s">
        <v>374</v>
      </c>
      <c r="B202" s="251" t="s">
        <v>105</v>
      </c>
      <c r="C202" s="254" t="s">
        <v>67</v>
      </c>
      <c r="D202" s="251" t="s">
        <v>914</v>
      </c>
      <c r="E202" s="251" t="s">
        <v>113</v>
      </c>
      <c r="F202" s="253">
        <v>2</v>
      </c>
      <c r="G202" s="253">
        <v>1</v>
      </c>
      <c r="H202" s="253"/>
      <c r="I202" s="254" t="s">
        <v>95</v>
      </c>
      <c r="J202" s="254"/>
      <c r="K202" s="105"/>
      <c r="L202" s="105"/>
      <c r="M202" s="48"/>
      <c r="N202" s="105"/>
      <c r="O202" s="255" t="s">
        <v>375</v>
      </c>
      <c r="P202" s="261">
        <v>1</v>
      </c>
      <c r="Q202" s="261">
        <v>0</v>
      </c>
      <c r="R202" s="261">
        <v>0</v>
      </c>
      <c r="S202" s="262" t="s">
        <v>376</v>
      </c>
      <c r="T202" s="263" t="s">
        <v>666</v>
      </c>
      <c r="U202" s="105"/>
      <c r="V202" s="259" t="s">
        <v>12</v>
      </c>
      <c r="W202" s="105" t="s">
        <v>6</v>
      </c>
      <c r="X202" s="105" t="s">
        <v>86</v>
      </c>
      <c r="Y202" s="105" t="s">
        <v>690</v>
      </c>
      <c r="Z202" s="105" t="s">
        <v>86</v>
      </c>
      <c r="AA202" s="105" t="s">
        <v>639</v>
      </c>
      <c r="AB202" s="105" t="s">
        <v>13</v>
      </c>
      <c r="AC202" s="105" t="s">
        <v>639</v>
      </c>
      <c r="AD202" s="105"/>
      <c r="AE202" s="105"/>
      <c r="AF202" s="105"/>
      <c r="AG202" s="105"/>
      <c r="AH202" s="115" t="s">
        <v>809</v>
      </c>
      <c r="AI202" s="115" t="s">
        <v>73</v>
      </c>
      <c r="AJ202" s="115" t="s">
        <v>74</v>
      </c>
      <c r="AK202" s="105" t="s">
        <v>1098</v>
      </c>
      <c r="AL202" s="115">
        <v>1505000</v>
      </c>
      <c r="AM202" s="115">
        <v>155000</v>
      </c>
      <c r="AN202" s="115">
        <v>1015459</v>
      </c>
      <c r="AO202" s="260">
        <f>Tabelle4[[#This Row],[Kredit-  / Budgetsumme
(RADAR: Gesamtkosten S)]]-Tabelle4[[#This Row],[Netto-Ausgaben Vorjahre ]]</f>
        <v>489541</v>
      </c>
      <c r="AP202" s="310"/>
      <c r="AQ202" s="311">
        <v>350000</v>
      </c>
      <c r="AR202" s="115">
        <f>Tabelle4[[#This Row],[Kreditrest per 1.1. aktuelles Jahr]]-Tabelle4[[#This Row],[Prognose 2018
(RADAR: Kosten 2018 S)]]</f>
        <v>139541</v>
      </c>
      <c r="AS202" s="115">
        <v>750000</v>
      </c>
      <c r="AT202" s="311"/>
      <c r="AU202" s="115"/>
      <c r="AV202" s="311"/>
      <c r="AW202" s="115"/>
      <c r="AX202" s="311"/>
      <c r="AY202" s="115"/>
      <c r="AZ202" s="311"/>
      <c r="BA202" s="115"/>
      <c r="BB202" s="311"/>
      <c r="BC202" s="115"/>
      <c r="BD202" s="311"/>
      <c r="BE202" s="115"/>
      <c r="BF202" s="311"/>
      <c r="BG202" s="115"/>
      <c r="BH202" s="311"/>
      <c r="BI202" s="115"/>
      <c r="BJ202" s="115"/>
      <c r="BK202" s="264"/>
      <c r="BL202" s="105"/>
      <c r="BM202" s="106"/>
      <c r="BN202" s="106"/>
      <c r="BO202" s="106">
        <v>20</v>
      </c>
      <c r="BP202" s="106"/>
      <c r="BQ202" s="106">
        <v>20</v>
      </c>
      <c r="BR202" s="106"/>
      <c r="BS202" s="106"/>
      <c r="BT202" s="108">
        <f>SUM(Tabelle4[[#This Row],[Projektverantwortung
(Lenkungsausschuss) ]:[Kommunikation ]])</f>
        <v>40</v>
      </c>
      <c r="BU202" s="105"/>
      <c r="BV202" s="106"/>
      <c r="BW202" s="106"/>
      <c r="BX202" s="106">
        <v>0</v>
      </c>
      <c r="BY202" s="106"/>
      <c r="BZ202" s="106">
        <v>20</v>
      </c>
      <c r="CA202" s="106"/>
      <c r="CB202" s="106"/>
      <c r="CC202" s="108">
        <f>SUM(Tabelle4[[#This Row],[Projektverantwortung
(Lenkungsausschuss)   ]:[Kommunikation   ]])</f>
        <v>20</v>
      </c>
      <c r="CD202" s="105"/>
      <c r="CE202" s="106">
        <v>0</v>
      </c>
      <c r="CF202" s="106">
        <v>0</v>
      </c>
      <c r="CG202" s="106">
        <v>0</v>
      </c>
      <c r="CH202" s="106">
        <v>0</v>
      </c>
      <c r="CI202" s="106">
        <v>0</v>
      </c>
      <c r="CJ202" s="106">
        <v>0</v>
      </c>
      <c r="CK202" s="106">
        <v>0</v>
      </c>
      <c r="CL202" s="108">
        <f>SUM(Tabelle4[[#This Row],[Projektverantwortung
(Lenkungsausschuss).]:[Kommunikation    ]])</f>
        <v>0</v>
      </c>
      <c r="CM202" s="105"/>
      <c r="CN202" s="106">
        <v>0</v>
      </c>
      <c r="CO202" s="106">
        <v>0</v>
      </c>
      <c r="CP202" s="106">
        <v>0</v>
      </c>
      <c r="CQ202" s="106">
        <v>0</v>
      </c>
      <c r="CR202" s="106">
        <v>0</v>
      </c>
      <c r="CS202" s="106">
        <v>0</v>
      </c>
      <c r="CT202" s="106">
        <v>0</v>
      </c>
      <c r="CU202" s="108">
        <f>SUM(Tabelle4[[#This Row],[Projektverantwortung
(Lenkungsausschuss)    ]:[Kommunikation     ]])</f>
        <v>0</v>
      </c>
      <c r="CV202" s="107">
        <f>SUM(Tabelle4[[#This Row],[Total Aufwand
1. Quartal 2018]],Tabelle4[[#This Row],[Total Aufwand
2. Quartal 2018]],Tabelle4[[#This Row],[Total Aufwand
3. Quartal 2018]],Tabelle4[[#This Row],[Total Aufwand
4. Quartal 2018]])</f>
        <v>60</v>
      </c>
      <c r="CW202" s="105"/>
      <c r="CX202" s="105"/>
      <c r="CY202" s="105"/>
      <c r="CZ202" s="105"/>
      <c r="DA202" s="105"/>
      <c r="DB202" s="105"/>
      <c r="DC202" s="105"/>
      <c r="DD202" s="105"/>
      <c r="DE202" s="107">
        <f>SUM(Tabelle4[[#This Row],[Aufwand ]],Tabelle4[[#This Row],[Aufwand 2]],Tabelle4[[#This Row],[Aufwand 3]],Tabelle4[[#This Row],[Aufwand 4]])</f>
        <v>0</v>
      </c>
      <c r="DF202" s="105"/>
      <c r="DG202" s="105"/>
      <c r="DH202" s="105"/>
      <c r="DI202" s="105"/>
      <c r="DJ202" s="105"/>
      <c r="DK202" s="105"/>
      <c r="DL202" s="105"/>
      <c r="DM202" s="105"/>
      <c r="DN202" s="107">
        <f>SUM(Tabelle4[[#This Row],[Aufwand  ]],Tabelle4[[#This Row],[Aufwand  2]],Tabelle4[[#This Row],[Aufwand  3]],Tabelle4[[#This Row],[Aufwand  4]])</f>
        <v>0</v>
      </c>
      <c r="DO202" s="105"/>
      <c r="DP202" s="105"/>
      <c r="DQ202" s="105"/>
      <c r="DR202" s="105"/>
      <c r="DS202" s="105"/>
      <c r="DT202" s="105"/>
      <c r="DU202" s="105"/>
      <c r="DV202" s="105"/>
      <c r="DW202" s="107">
        <f>SUM(Tabelle4[[#This Row],[Aufwand   ]],Tabelle4[[#This Row],[Aufwand   2]],Tabelle4[[#This Row],[Aufwand   3]],Tabelle4[[#This Row],[Aufwand   4]])</f>
        <v>0</v>
      </c>
      <c r="DX202" s="105"/>
      <c r="DY202" s="105"/>
      <c r="DZ202" s="105"/>
      <c r="EA202" s="105"/>
      <c r="EB202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60</v>
      </c>
      <c r="EC202" s="122">
        <f>Tabelle4[[#This Row],[Gesamaufwand]]/2000</f>
        <v>0.03</v>
      </c>
      <c r="ED202" s="47"/>
      <c r="EE202" s="47"/>
      <c r="EF202" s="47"/>
      <c r="EG202" s="47"/>
      <c r="EH202" s="47"/>
      <c r="EI202" s="47"/>
      <c r="EJ202" s="47"/>
      <c r="EK202" s="47"/>
      <c r="EL202" s="47"/>
    </row>
    <row r="203" spans="1:142">
      <c r="A203" s="255" t="s">
        <v>558</v>
      </c>
      <c r="B203" s="251" t="s">
        <v>105</v>
      </c>
      <c r="C203" s="254" t="s">
        <v>68</v>
      </c>
      <c r="D203" s="251" t="s">
        <v>913</v>
      </c>
      <c r="E203" s="251" t="s">
        <v>75</v>
      </c>
      <c r="F203" s="253">
        <v>4</v>
      </c>
      <c r="G203" s="253">
        <v>4</v>
      </c>
      <c r="H203" s="253"/>
      <c r="I203" s="254" t="s">
        <v>96</v>
      </c>
      <c r="J203" s="254"/>
      <c r="K203" s="105"/>
      <c r="L203" s="105"/>
      <c r="M203" s="48"/>
      <c r="N203" s="105"/>
      <c r="O203" s="255" t="s">
        <v>559</v>
      </c>
      <c r="P203" s="261">
        <v>2</v>
      </c>
      <c r="Q203" s="261">
        <v>0</v>
      </c>
      <c r="R203" s="261">
        <v>0</v>
      </c>
      <c r="S203" s="262" t="s">
        <v>560</v>
      </c>
      <c r="T203" s="263" t="s">
        <v>661</v>
      </c>
      <c r="U203" s="105"/>
      <c r="V203" s="259" t="s">
        <v>609</v>
      </c>
      <c r="W203" s="105" t="s">
        <v>6</v>
      </c>
      <c r="X203" s="105" t="s">
        <v>86</v>
      </c>
      <c r="Y203" s="105" t="s">
        <v>690</v>
      </c>
      <c r="Z203" s="105" t="s">
        <v>86</v>
      </c>
      <c r="AA203" s="105" t="s">
        <v>639</v>
      </c>
      <c r="AB203" s="105" t="s">
        <v>639</v>
      </c>
      <c r="AC203" s="105" t="s">
        <v>639</v>
      </c>
      <c r="AD203" s="105"/>
      <c r="AE203" s="105"/>
      <c r="AF203" s="105"/>
      <c r="AG203" s="105"/>
      <c r="AH203" s="115" t="s">
        <v>621</v>
      </c>
      <c r="AI203" s="115"/>
      <c r="AJ203" s="115"/>
      <c r="AK203" s="105"/>
      <c r="AL203" s="115"/>
      <c r="AM203" s="115"/>
      <c r="AN203" s="115"/>
      <c r="AO203" s="260">
        <f>Tabelle4[[#This Row],[Kredit-  / Budgetsumme
(RADAR: Gesamtkosten S)]]-Tabelle4[[#This Row],[Netto-Ausgaben Vorjahre ]]</f>
        <v>0</v>
      </c>
      <c r="AP203" s="310"/>
      <c r="AQ203" s="311"/>
      <c r="AR203" s="115">
        <f>Tabelle4[[#This Row],[Kreditrest per 1.1. aktuelles Jahr]]-Tabelle4[[#This Row],[Prognose 2018
(RADAR: Kosten 2018 S)]]</f>
        <v>0</v>
      </c>
      <c r="AS203" s="115"/>
      <c r="AT203" s="311"/>
      <c r="AU203" s="115"/>
      <c r="AV203" s="311"/>
      <c r="AW203" s="115"/>
      <c r="AX203" s="311"/>
      <c r="AY203" s="115"/>
      <c r="AZ203" s="311"/>
      <c r="BA203" s="115"/>
      <c r="BB203" s="311"/>
      <c r="BC203" s="115"/>
      <c r="BD203" s="311"/>
      <c r="BE203" s="115"/>
      <c r="BF203" s="311"/>
      <c r="BG203" s="115"/>
      <c r="BH203" s="311"/>
      <c r="BI203" s="115"/>
      <c r="BJ203" s="115"/>
      <c r="BK203" s="264"/>
      <c r="BL203" s="105"/>
      <c r="BM203" s="106"/>
      <c r="BN203" s="106"/>
      <c r="BO203" s="106">
        <v>8</v>
      </c>
      <c r="BP203" s="106"/>
      <c r="BQ203" s="106"/>
      <c r="BR203" s="106"/>
      <c r="BS203" s="106"/>
      <c r="BT203" s="108">
        <f>SUM(Tabelle4[[#This Row],[Projektverantwortung
(Lenkungsausschuss) ]:[Kommunikation ]])</f>
        <v>8</v>
      </c>
      <c r="BU203" s="105"/>
      <c r="BV203" s="106"/>
      <c r="BW203" s="106"/>
      <c r="BX203" s="106">
        <v>8</v>
      </c>
      <c r="BY203" s="106"/>
      <c r="BZ203" s="106"/>
      <c r="CA203" s="106"/>
      <c r="CB203" s="106"/>
      <c r="CC203" s="108">
        <f>SUM(Tabelle4[[#This Row],[Projektverantwortung
(Lenkungsausschuss)   ]:[Kommunikation   ]])</f>
        <v>8</v>
      </c>
      <c r="CD203" s="105"/>
      <c r="CE203" s="106"/>
      <c r="CF203" s="106"/>
      <c r="CG203" s="106"/>
      <c r="CH203" s="106"/>
      <c r="CI203" s="106"/>
      <c r="CJ203" s="106"/>
      <c r="CK203" s="106"/>
      <c r="CL203" s="108">
        <f>SUM(Tabelle4[[#This Row],[Projektverantwortung
(Lenkungsausschuss).]:[Kommunikation    ]])</f>
        <v>0</v>
      </c>
      <c r="CM203" s="105"/>
      <c r="CN203" s="106"/>
      <c r="CO203" s="106"/>
      <c r="CP203" s="106"/>
      <c r="CQ203" s="106"/>
      <c r="CR203" s="106"/>
      <c r="CS203" s="106"/>
      <c r="CT203" s="106"/>
      <c r="CU203" s="108">
        <f>SUM(Tabelle4[[#This Row],[Projektverantwortung
(Lenkungsausschuss)    ]:[Kommunikation     ]])</f>
        <v>0</v>
      </c>
      <c r="CV203" s="107">
        <f>SUM(Tabelle4[[#This Row],[Total Aufwand
1. Quartal 2018]],Tabelle4[[#This Row],[Total Aufwand
2. Quartal 2018]],Tabelle4[[#This Row],[Total Aufwand
3. Quartal 2018]],Tabelle4[[#This Row],[Total Aufwand
4. Quartal 2018]])</f>
        <v>16</v>
      </c>
      <c r="CW203" s="105"/>
      <c r="CX203" s="105"/>
      <c r="CY203" s="105"/>
      <c r="CZ203" s="105"/>
      <c r="DA203" s="105"/>
      <c r="DB203" s="105"/>
      <c r="DC203" s="105"/>
      <c r="DD203" s="105"/>
      <c r="DE203" s="107">
        <f>SUM(Tabelle4[[#This Row],[Aufwand ]],Tabelle4[[#This Row],[Aufwand 2]],Tabelle4[[#This Row],[Aufwand 3]],Tabelle4[[#This Row],[Aufwand 4]])</f>
        <v>0</v>
      </c>
      <c r="DF203" s="105"/>
      <c r="DG203" s="105"/>
      <c r="DH203" s="105"/>
      <c r="DI203" s="105"/>
      <c r="DJ203" s="105"/>
      <c r="DK203" s="105"/>
      <c r="DL203" s="105"/>
      <c r="DM203" s="105"/>
      <c r="DN203" s="107">
        <f>SUM(Tabelle4[[#This Row],[Aufwand  ]],Tabelle4[[#This Row],[Aufwand  2]],Tabelle4[[#This Row],[Aufwand  3]],Tabelle4[[#This Row],[Aufwand  4]])</f>
        <v>0</v>
      </c>
      <c r="DO203" s="105"/>
      <c r="DP203" s="105"/>
      <c r="DQ203" s="105"/>
      <c r="DR203" s="105"/>
      <c r="DS203" s="105"/>
      <c r="DT203" s="105"/>
      <c r="DU203" s="105"/>
      <c r="DV203" s="105"/>
      <c r="DW203" s="107">
        <f>SUM(Tabelle4[[#This Row],[Aufwand   ]],Tabelle4[[#This Row],[Aufwand   2]],Tabelle4[[#This Row],[Aufwand   3]],Tabelle4[[#This Row],[Aufwand   4]])</f>
        <v>0</v>
      </c>
      <c r="DX203" s="105"/>
      <c r="DY203" s="105"/>
      <c r="DZ203" s="105"/>
      <c r="EA203" s="105"/>
      <c r="EB203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16</v>
      </c>
      <c r="EC203" s="122">
        <f>Tabelle4[[#This Row],[Gesamaufwand]]/2000</f>
        <v>8.0000000000000002E-3</v>
      </c>
      <c r="ED203" s="47"/>
      <c r="EE203" s="47"/>
      <c r="EF203" s="47"/>
      <c r="EG203" s="47"/>
      <c r="EH203" s="47"/>
      <c r="EI203" s="47"/>
      <c r="EJ203" s="47"/>
      <c r="EK203" s="47"/>
      <c r="EL203" s="47"/>
    </row>
    <row r="204" spans="1:142">
      <c r="A204" s="255" t="s">
        <v>377</v>
      </c>
      <c r="B204" s="251" t="s">
        <v>105</v>
      </c>
      <c r="C204" s="254" t="s">
        <v>67</v>
      </c>
      <c r="D204" s="251" t="s">
        <v>780</v>
      </c>
      <c r="E204" s="251" t="s">
        <v>778</v>
      </c>
      <c r="F204" s="253">
        <v>2</v>
      </c>
      <c r="G204" s="253">
        <v>2</v>
      </c>
      <c r="H204" s="253"/>
      <c r="I204" s="254" t="s">
        <v>95</v>
      </c>
      <c r="J204" s="254"/>
      <c r="K204" s="105"/>
      <c r="L204" s="105"/>
      <c r="M204" s="48"/>
      <c r="N204" s="105"/>
      <c r="O204" s="255" t="s">
        <v>378</v>
      </c>
      <c r="P204" s="261">
        <v>1</v>
      </c>
      <c r="Q204" s="261">
        <v>0</v>
      </c>
      <c r="R204" s="261">
        <v>0</v>
      </c>
      <c r="S204" s="262" t="s">
        <v>379</v>
      </c>
      <c r="T204" s="263" t="s">
        <v>661</v>
      </c>
      <c r="U204" s="105"/>
      <c r="V204" s="259" t="s">
        <v>12</v>
      </c>
      <c r="W204" s="105" t="s">
        <v>6</v>
      </c>
      <c r="X204" s="105" t="s">
        <v>86</v>
      </c>
      <c r="Y204" s="105" t="s">
        <v>690</v>
      </c>
      <c r="Z204" s="105" t="s">
        <v>81</v>
      </c>
      <c r="AA204" s="105" t="s">
        <v>81</v>
      </c>
      <c r="AB204" s="105" t="s">
        <v>13</v>
      </c>
      <c r="AC204" s="105" t="s">
        <v>634</v>
      </c>
      <c r="AD204" s="105"/>
      <c r="AE204" s="105"/>
      <c r="AF204" s="105"/>
      <c r="AG204" s="105"/>
      <c r="AH204" s="115" t="s">
        <v>809</v>
      </c>
      <c r="AI204" s="115" t="s">
        <v>73</v>
      </c>
      <c r="AJ204" s="115" t="s">
        <v>74</v>
      </c>
      <c r="AK204" s="105" t="s">
        <v>1101</v>
      </c>
      <c r="AL204" s="115">
        <v>200000</v>
      </c>
      <c r="AM204" s="115"/>
      <c r="AN204" s="115">
        <v>1690</v>
      </c>
      <c r="AO204" s="260">
        <f>Tabelle4[[#This Row],[Kredit-  / Budgetsumme
(RADAR: Gesamtkosten S)]]-Tabelle4[[#This Row],[Netto-Ausgaben Vorjahre ]]</f>
        <v>198310</v>
      </c>
      <c r="AP204" s="310"/>
      <c r="AQ204" s="311">
        <v>130000</v>
      </c>
      <c r="AR204" s="115">
        <f>Tabelle4[[#This Row],[Kreditrest per 1.1. aktuelles Jahr]]-Tabelle4[[#This Row],[Prognose 2018
(RADAR: Kosten 2018 S)]]</f>
        <v>68310</v>
      </c>
      <c r="AS204" s="115">
        <v>68310</v>
      </c>
      <c r="AT204" s="311"/>
      <c r="AU204" s="115"/>
      <c r="AV204" s="311"/>
      <c r="AW204" s="115"/>
      <c r="AX204" s="311"/>
      <c r="AY204" s="115"/>
      <c r="AZ204" s="311"/>
      <c r="BA204" s="115"/>
      <c r="BB204" s="311"/>
      <c r="BC204" s="115"/>
      <c r="BD204" s="311"/>
      <c r="BE204" s="115"/>
      <c r="BF204" s="311"/>
      <c r="BG204" s="115"/>
      <c r="BH204" s="311"/>
      <c r="BI204" s="115"/>
      <c r="BJ204" s="115"/>
      <c r="BK204" s="264"/>
      <c r="BL204" s="105"/>
      <c r="BM204" s="106"/>
      <c r="BN204" s="106"/>
      <c r="BO204" s="106">
        <v>20</v>
      </c>
      <c r="BP204" s="106"/>
      <c r="BQ204" s="106">
        <v>40</v>
      </c>
      <c r="BR204" s="106">
        <v>20</v>
      </c>
      <c r="BS204" s="106"/>
      <c r="BT204" s="108">
        <f>SUM(Tabelle4[[#This Row],[Projektverantwortung
(Lenkungsausschuss) ]:[Kommunikation ]])</f>
        <v>80</v>
      </c>
      <c r="BU204" s="105"/>
      <c r="BV204" s="106"/>
      <c r="BW204" s="106"/>
      <c r="BX204" s="106">
        <v>20</v>
      </c>
      <c r="BY204" s="106"/>
      <c r="BZ204" s="106">
        <v>60</v>
      </c>
      <c r="CA204" s="106">
        <v>8</v>
      </c>
      <c r="CB204" s="106"/>
      <c r="CC204" s="108">
        <f>SUM(Tabelle4[[#This Row],[Projektverantwortung
(Lenkungsausschuss)   ]:[Kommunikation   ]])</f>
        <v>88</v>
      </c>
      <c r="CD204" s="105"/>
      <c r="CE204" s="106"/>
      <c r="CF204" s="106"/>
      <c r="CG204" s="106">
        <v>8</v>
      </c>
      <c r="CH204" s="106"/>
      <c r="CI204" s="106">
        <v>8</v>
      </c>
      <c r="CJ204" s="106">
        <v>20</v>
      </c>
      <c r="CK204" s="106"/>
      <c r="CL204" s="108">
        <f>SUM(Tabelle4[[#This Row],[Projektverantwortung
(Lenkungsausschuss).]:[Kommunikation    ]])</f>
        <v>36</v>
      </c>
      <c r="CM204" s="105"/>
      <c r="CN204" s="106">
        <v>0</v>
      </c>
      <c r="CO204" s="106">
        <v>0</v>
      </c>
      <c r="CP204" s="106">
        <v>0</v>
      </c>
      <c r="CQ204" s="106">
        <v>0</v>
      </c>
      <c r="CR204" s="106">
        <v>0</v>
      </c>
      <c r="CS204" s="106">
        <v>0</v>
      </c>
      <c r="CT204" s="106">
        <v>0</v>
      </c>
      <c r="CU204" s="108">
        <f>SUM(Tabelle4[[#This Row],[Projektverantwortung
(Lenkungsausschuss)    ]:[Kommunikation     ]])</f>
        <v>0</v>
      </c>
      <c r="CV204" s="107">
        <f>SUM(Tabelle4[[#This Row],[Total Aufwand
1. Quartal 2018]],Tabelle4[[#This Row],[Total Aufwand
2. Quartal 2018]],Tabelle4[[#This Row],[Total Aufwand
3. Quartal 2018]],Tabelle4[[#This Row],[Total Aufwand
4. Quartal 2018]])</f>
        <v>204</v>
      </c>
      <c r="CW204" s="105"/>
      <c r="CX204" s="105"/>
      <c r="CY204" s="105"/>
      <c r="CZ204" s="105"/>
      <c r="DA204" s="105"/>
      <c r="DB204" s="105"/>
      <c r="DC204" s="105"/>
      <c r="DD204" s="105"/>
      <c r="DE204" s="107">
        <f>SUM(Tabelle4[[#This Row],[Aufwand ]],Tabelle4[[#This Row],[Aufwand 2]],Tabelle4[[#This Row],[Aufwand 3]],Tabelle4[[#This Row],[Aufwand 4]])</f>
        <v>0</v>
      </c>
      <c r="DF204" s="105"/>
      <c r="DG204" s="105"/>
      <c r="DH204" s="105"/>
      <c r="DI204" s="105"/>
      <c r="DJ204" s="105"/>
      <c r="DK204" s="105"/>
      <c r="DL204" s="105"/>
      <c r="DM204" s="105"/>
      <c r="DN204" s="107">
        <f>SUM(Tabelle4[[#This Row],[Aufwand  ]],Tabelle4[[#This Row],[Aufwand  2]],Tabelle4[[#This Row],[Aufwand  3]],Tabelle4[[#This Row],[Aufwand  4]])</f>
        <v>0</v>
      </c>
      <c r="DO204" s="105"/>
      <c r="DP204" s="105"/>
      <c r="DQ204" s="105"/>
      <c r="DR204" s="105"/>
      <c r="DS204" s="105"/>
      <c r="DT204" s="105"/>
      <c r="DU204" s="105"/>
      <c r="DV204" s="105"/>
      <c r="DW204" s="107">
        <f>SUM(Tabelle4[[#This Row],[Aufwand   ]],Tabelle4[[#This Row],[Aufwand   2]],Tabelle4[[#This Row],[Aufwand   3]],Tabelle4[[#This Row],[Aufwand   4]])</f>
        <v>0</v>
      </c>
      <c r="DX204" s="105"/>
      <c r="DY204" s="105"/>
      <c r="DZ204" s="105"/>
      <c r="EA204" s="105"/>
      <c r="EB204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204</v>
      </c>
      <c r="EC204" s="122">
        <f>Tabelle4[[#This Row],[Gesamaufwand]]/2000</f>
        <v>0.10199999999999999</v>
      </c>
      <c r="ED204" s="47"/>
      <c r="EE204" s="47"/>
      <c r="EF204" s="47"/>
      <c r="EG204" s="47"/>
      <c r="EH204" s="47"/>
      <c r="EI204" s="47"/>
      <c r="EJ204" s="47"/>
      <c r="EK204" s="47"/>
      <c r="EL204" s="47"/>
    </row>
    <row r="205" spans="1:142">
      <c r="A205" s="255" t="s">
        <v>157</v>
      </c>
      <c r="B205" s="251" t="s">
        <v>105</v>
      </c>
      <c r="C205" s="254" t="s">
        <v>68</v>
      </c>
      <c r="D205" s="251" t="s">
        <v>913</v>
      </c>
      <c r="E205" s="251" t="s">
        <v>635</v>
      </c>
      <c r="F205" s="253">
        <v>2</v>
      </c>
      <c r="G205" s="253">
        <v>2</v>
      </c>
      <c r="H205" s="253"/>
      <c r="I205" s="254" t="s">
        <v>95</v>
      </c>
      <c r="J205" s="254"/>
      <c r="K205" s="105"/>
      <c r="L205" s="105"/>
      <c r="M205" s="48"/>
      <c r="N205" s="105"/>
      <c r="O205" s="255" t="s">
        <v>158</v>
      </c>
      <c r="P205" s="261">
        <v>4</v>
      </c>
      <c r="Q205" s="261">
        <v>0</v>
      </c>
      <c r="R205" s="261">
        <v>0</v>
      </c>
      <c r="S205" s="262" t="s">
        <v>159</v>
      </c>
      <c r="T205" s="263" t="s">
        <v>4</v>
      </c>
      <c r="U205" s="105"/>
      <c r="V205" s="259" t="s">
        <v>651</v>
      </c>
      <c r="W205" s="105" t="s">
        <v>6</v>
      </c>
      <c r="X205" s="105" t="s">
        <v>86</v>
      </c>
      <c r="Y205" s="105" t="s">
        <v>690</v>
      </c>
      <c r="Z205" s="105" t="s">
        <v>81</v>
      </c>
      <c r="AA205" s="105" t="s">
        <v>639</v>
      </c>
      <c r="AB205" s="105" t="s">
        <v>639</v>
      </c>
      <c r="AC205" s="105" t="s">
        <v>639</v>
      </c>
      <c r="AD205" s="105"/>
      <c r="AE205" s="105"/>
      <c r="AF205" s="105"/>
      <c r="AG205" s="105"/>
      <c r="AH205" s="115" t="s">
        <v>21</v>
      </c>
      <c r="AI205" s="115"/>
      <c r="AJ205" s="115"/>
      <c r="AK205" s="105"/>
      <c r="AL205" s="115"/>
      <c r="AM205" s="115"/>
      <c r="AN205" s="115"/>
      <c r="AO205" s="260">
        <f>Tabelle4[[#This Row],[Kredit-  / Budgetsumme
(RADAR: Gesamtkosten S)]]-Tabelle4[[#This Row],[Netto-Ausgaben Vorjahre ]]</f>
        <v>0</v>
      </c>
      <c r="AP205" s="310"/>
      <c r="AQ205" s="311"/>
      <c r="AR205" s="115">
        <f>Tabelle4[[#This Row],[Kreditrest per 1.1. aktuelles Jahr]]-Tabelle4[[#This Row],[Prognose 2018
(RADAR: Kosten 2018 S)]]</f>
        <v>0</v>
      </c>
      <c r="AS205" s="115"/>
      <c r="AT205" s="311"/>
      <c r="AU205" s="115"/>
      <c r="AV205" s="311"/>
      <c r="AW205" s="115"/>
      <c r="AX205" s="311"/>
      <c r="AY205" s="115"/>
      <c r="AZ205" s="311"/>
      <c r="BA205" s="115"/>
      <c r="BB205" s="311"/>
      <c r="BC205" s="115"/>
      <c r="BD205" s="311"/>
      <c r="BE205" s="115"/>
      <c r="BF205" s="311"/>
      <c r="BG205" s="115"/>
      <c r="BH205" s="311"/>
      <c r="BI205" s="115"/>
      <c r="BJ205" s="115"/>
      <c r="BK205" s="264"/>
      <c r="BL205" s="105"/>
      <c r="BM205" s="106">
        <v>20</v>
      </c>
      <c r="BN205" s="106"/>
      <c r="BO205" s="106">
        <v>20</v>
      </c>
      <c r="BP205" s="106"/>
      <c r="BQ205" s="106"/>
      <c r="BR205" s="106"/>
      <c r="BS205" s="106"/>
      <c r="BT205" s="108">
        <f>SUM(Tabelle4[[#This Row],[Projektverantwortung
(Lenkungsausschuss) ]:[Kommunikation ]])</f>
        <v>40</v>
      </c>
      <c r="BU205" s="105"/>
      <c r="BV205" s="106">
        <v>20</v>
      </c>
      <c r="BW205" s="106"/>
      <c r="BX205" s="106">
        <v>20</v>
      </c>
      <c r="BY205" s="106"/>
      <c r="BZ205" s="106"/>
      <c r="CA205" s="106"/>
      <c r="CB205" s="106"/>
      <c r="CC205" s="108">
        <f>SUM(Tabelle4[[#This Row],[Projektverantwortung
(Lenkungsausschuss)   ]:[Kommunikation   ]])</f>
        <v>40</v>
      </c>
      <c r="CD205" s="105"/>
      <c r="CE205" s="106">
        <v>20</v>
      </c>
      <c r="CF205" s="106"/>
      <c r="CG205" s="106">
        <v>20</v>
      </c>
      <c r="CH205" s="106"/>
      <c r="CI205" s="106"/>
      <c r="CJ205" s="106"/>
      <c r="CK205" s="106"/>
      <c r="CL205" s="108">
        <f>SUM(Tabelle4[[#This Row],[Projektverantwortung
(Lenkungsausschuss).]:[Kommunikation    ]])</f>
        <v>40</v>
      </c>
      <c r="CM205" s="105"/>
      <c r="CN205" s="106">
        <v>20</v>
      </c>
      <c r="CO205" s="106"/>
      <c r="CP205" s="106">
        <v>20</v>
      </c>
      <c r="CQ205" s="106"/>
      <c r="CR205" s="106"/>
      <c r="CS205" s="106"/>
      <c r="CT205" s="106"/>
      <c r="CU205" s="108">
        <f>SUM(Tabelle4[[#This Row],[Projektverantwortung
(Lenkungsausschuss)    ]:[Kommunikation     ]])</f>
        <v>40</v>
      </c>
      <c r="CV205" s="107">
        <f>SUM(Tabelle4[[#This Row],[Total Aufwand
1. Quartal 2018]],Tabelle4[[#This Row],[Total Aufwand
2. Quartal 2018]],Tabelle4[[#This Row],[Total Aufwand
3. Quartal 2018]],Tabelle4[[#This Row],[Total Aufwand
4. Quartal 2018]])</f>
        <v>160</v>
      </c>
      <c r="CW205" s="105"/>
      <c r="CX205" s="105"/>
      <c r="CY205" s="105"/>
      <c r="CZ205" s="105"/>
      <c r="DA205" s="105"/>
      <c r="DB205" s="105"/>
      <c r="DC205" s="105"/>
      <c r="DD205" s="105"/>
      <c r="DE205" s="107">
        <f>SUM(Tabelle4[[#This Row],[Aufwand ]],Tabelle4[[#This Row],[Aufwand 2]],Tabelle4[[#This Row],[Aufwand 3]],Tabelle4[[#This Row],[Aufwand 4]])</f>
        <v>0</v>
      </c>
      <c r="DF205" s="105"/>
      <c r="DG205" s="105"/>
      <c r="DH205" s="105"/>
      <c r="DI205" s="105"/>
      <c r="DJ205" s="105"/>
      <c r="DK205" s="105"/>
      <c r="DL205" s="105"/>
      <c r="DM205" s="105"/>
      <c r="DN205" s="107">
        <f>SUM(Tabelle4[[#This Row],[Aufwand  ]],Tabelle4[[#This Row],[Aufwand  2]],Tabelle4[[#This Row],[Aufwand  3]],Tabelle4[[#This Row],[Aufwand  4]])</f>
        <v>0</v>
      </c>
      <c r="DO205" s="105"/>
      <c r="DP205" s="105"/>
      <c r="DQ205" s="105"/>
      <c r="DR205" s="105"/>
      <c r="DS205" s="105"/>
      <c r="DT205" s="105"/>
      <c r="DU205" s="105"/>
      <c r="DV205" s="105"/>
      <c r="DW205" s="107">
        <f>SUM(Tabelle4[[#This Row],[Aufwand   ]],Tabelle4[[#This Row],[Aufwand   2]],Tabelle4[[#This Row],[Aufwand   3]],Tabelle4[[#This Row],[Aufwand   4]])</f>
        <v>0</v>
      </c>
      <c r="DX205" s="105"/>
      <c r="DY205" s="105"/>
      <c r="DZ205" s="105"/>
      <c r="EA205" s="105"/>
      <c r="EB205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160</v>
      </c>
      <c r="EC205" s="122">
        <f>Tabelle4[[#This Row],[Gesamaufwand]]/2000</f>
        <v>0.08</v>
      </c>
      <c r="ED205" s="47"/>
      <c r="EE205" s="47"/>
      <c r="EF205" s="47"/>
      <c r="EG205" s="47"/>
      <c r="EH205" s="47"/>
      <c r="EI205" s="47"/>
      <c r="EJ205" s="47"/>
      <c r="EK205" s="47"/>
      <c r="EL205" s="47"/>
    </row>
    <row r="206" spans="1:142">
      <c r="A206" s="255" t="s">
        <v>561</v>
      </c>
      <c r="B206" s="251" t="s">
        <v>105</v>
      </c>
      <c r="C206" s="254" t="s">
        <v>68</v>
      </c>
      <c r="D206" s="251" t="s">
        <v>913</v>
      </c>
      <c r="E206" s="251" t="s">
        <v>97</v>
      </c>
      <c r="F206" s="253">
        <v>2</v>
      </c>
      <c r="G206" s="253">
        <v>2</v>
      </c>
      <c r="H206" s="253"/>
      <c r="I206" s="254" t="s">
        <v>95</v>
      </c>
      <c r="J206" s="254"/>
      <c r="K206" s="105"/>
      <c r="L206" s="105"/>
      <c r="M206" s="48"/>
      <c r="N206" s="105"/>
      <c r="O206" s="255" t="s">
        <v>562</v>
      </c>
      <c r="P206" s="261">
        <v>2</v>
      </c>
      <c r="Q206" s="261">
        <v>0</v>
      </c>
      <c r="R206" s="261">
        <v>0</v>
      </c>
      <c r="S206" s="262" t="s">
        <v>563</v>
      </c>
      <c r="T206" s="263" t="s">
        <v>4</v>
      </c>
      <c r="U206" s="105"/>
      <c r="V206" s="259" t="s">
        <v>611</v>
      </c>
      <c r="W206" s="105" t="s">
        <v>6</v>
      </c>
      <c r="X206" s="105" t="s">
        <v>86</v>
      </c>
      <c r="Y206" s="105" t="s">
        <v>75</v>
      </c>
      <c r="Z206" s="105" t="s">
        <v>80</v>
      </c>
      <c r="AA206" s="105" t="s">
        <v>639</v>
      </c>
      <c r="AB206" s="105" t="s">
        <v>639</v>
      </c>
      <c r="AC206" s="105" t="s">
        <v>639</v>
      </c>
      <c r="AD206" s="105"/>
      <c r="AE206" s="105"/>
      <c r="AF206" s="105"/>
      <c r="AG206" s="105"/>
      <c r="AH206" s="115" t="s">
        <v>621</v>
      </c>
      <c r="AI206" s="115"/>
      <c r="AJ206" s="115"/>
      <c r="AK206" s="105"/>
      <c r="AL206" s="115"/>
      <c r="AM206" s="115"/>
      <c r="AN206" s="115"/>
      <c r="AO206" s="260">
        <f>Tabelle4[[#This Row],[Kredit-  / Budgetsumme
(RADAR: Gesamtkosten S)]]-Tabelle4[[#This Row],[Netto-Ausgaben Vorjahre ]]</f>
        <v>0</v>
      </c>
      <c r="AP206" s="310"/>
      <c r="AQ206" s="311"/>
      <c r="AR206" s="115">
        <f>Tabelle4[[#This Row],[Kreditrest per 1.1. aktuelles Jahr]]-Tabelle4[[#This Row],[Prognose 2018
(RADAR: Kosten 2018 S)]]</f>
        <v>0</v>
      </c>
      <c r="AS206" s="115"/>
      <c r="AT206" s="311"/>
      <c r="AU206" s="115"/>
      <c r="AV206" s="311"/>
      <c r="AW206" s="115"/>
      <c r="AX206" s="311"/>
      <c r="AY206" s="115"/>
      <c r="AZ206" s="311"/>
      <c r="BA206" s="115"/>
      <c r="BB206" s="311"/>
      <c r="BC206" s="115"/>
      <c r="BD206" s="311"/>
      <c r="BE206" s="115"/>
      <c r="BF206" s="311"/>
      <c r="BG206" s="115"/>
      <c r="BH206" s="311"/>
      <c r="BI206" s="115"/>
      <c r="BJ206" s="115"/>
      <c r="BK206" s="264"/>
      <c r="BL206" s="105"/>
      <c r="BM206" s="106">
        <v>20</v>
      </c>
      <c r="BN206" s="106"/>
      <c r="BO206" s="106">
        <v>20</v>
      </c>
      <c r="BP206" s="106"/>
      <c r="BQ206" s="106"/>
      <c r="BR206" s="106"/>
      <c r="BS206" s="106"/>
      <c r="BT206" s="108">
        <f>SUM(Tabelle4[[#This Row],[Projektverantwortung
(Lenkungsausschuss) ]:[Kommunikation ]])</f>
        <v>40</v>
      </c>
      <c r="BU206" s="105"/>
      <c r="BV206" s="106">
        <v>20</v>
      </c>
      <c r="BW206" s="106"/>
      <c r="BX206" s="106">
        <v>20</v>
      </c>
      <c r="BY206" s="106"/>
      <c r="BZ206" s="106"/>
      <c r="CA206" s="106"/>
      <c r="CB206" s="106"/>
      <c r="CC206" s="108">
        <f>SUM(Tabelle4[[#This Row],[Projektverantwortung
(Lenkungsausschuss)   ]:[Kommunikation   ]])</f>
        <v>40</v>
      </c>
      <c r="CD206" s="105"/>
      <c r="CE206" s="106">
        <v>20</v>
      </c>
      <c r="CF206" s="106"/>
      <c r="CG206" s="106">
        <v>20</v>
      </c>
      <c r="CH206" s="106"/>
      <c r="CI206" s="106"/>
      <c r="CJ206" s="106"/>
      <c r="CK206" s="106"/>
      <c r="CL206" s="108">
        <f>SUM(Tabelle4[[#This Row],[Projektverantwortung
(Lenkungsausschuss).]:[Kommunikation    ]])</f>
        <v>40</v>
      </c>
      <c r="CM206" s="105"/>
      <c r="CN206" s="106">
        <v>20</v>
      </c>
      <c r="CO206" s="106"/>
      <c r="CP206" s="106">
        <v>20</v>
      </c>
      <c r="CQ206" s="106"/>
      <c r="CR206" s="106"/>
      <c r="CS206" s="106"/>
      <c r="CT206" s="106"/>
      <c r="CU206" s="108">
        <f>SUM(Tabelle4[[#This Row],[Projektverantwortung
(Lenkungsausschuss)    ]:[Kommunikation     ]])</f>
        <v>40</v>
      </c>
      <c r="CV206" s="107">
        <f>SUM(Tabelle4[[#This Row],[Total Aufwand
1. Quartal 2018]],Tabelle4[[#This Row],[Total Aufwand
2. Quartal 2018]],Tabelle4[[#This Row],[Total Aufwand
3. Quartal 2018]],Tabelle4[[#This Row],[Total Aufwand
4. Quartal 2018]])</f>
        <v>160</v>
      </c>
      <c r="CW206" s="105"/>
      <c r="CX206" s="105"/>
      <c r="CY206" s="105"/>
      <c r="CZ206" s="105"/>
      <c r="DA206" s="105"/>
      <c r="DB206" s="105"/>
      <c r="DC206" s="105"/>
      <c r="DD206" s="105"/>
      <c r="DE206" s="107">
        <f>SUM(Tabelle4[[#This Row],[Aufwand ]],Tabelle4[[#This Row],[Aufwand 2]],Tabelle4[[#This Row],[Aufwand 3]],Tabelle4[[#This Row],[Aufwand 4]])</f>
        <v>0</v>
      </c>
      <c r="DF206" s="105"/>
      <c r="DG206" s="105"/>
      <c r="DH206" s="105"/>
      <c r="DI206" s="105"/>
      <c r="DJ206" s="105"/>
      <c r="DK206" s="105"/>
      <c r="DL206" s="105"/>
      <c r="DM206" s="105"/>
      <c r="DN206" s="107">
        <f>SUM(Tabelle4[[#This Row],[Aufwand  ]],Tabelle4[[#This Row],[Aufwand  2]],Tabelle4[[#This Row],[Aufwand  3]],Tabelle4[[#This Row],[Aufwand  4]])</f>
        <v>0</v>
      </c>
      <c r="DO206" s="105"/>
      <c r="DP206" s="105"/>
      <c r="DQ206" s="105"/>
      <c r="DR206" s="105"/>
      <c r="DS206" s="105"/>
      <c r="DT206" s="105"/>
      <c r="DU206" s="105"/>
      <c r="DV206" s="105"/>
      <c r="DW206" s="107">
        <f>SUM(Tabelle4[[#This Row],[Aufwand   ]],Tabelle4[[#This Row],[Aufwand   2]],Tabelle4[[#This Row],[Aufwand   3]],Tabelle4[[#This Row],[Aufwand   4]])</f>
        <v>0</v>
      </c>
      <c r="DX206" s="105"/>
      <c r="DY206" s="105"/>
      <c r="DZ206" s="105"/>
      <c r="EA206" s="105"/>
      <c r="EB206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160</v>
      </c>
      <c r="EC206" s="122">
        <f>Tabelle4[[#This Row],[Gesamaufwand]]/2000</f>
        <v>0.08</v>
      </c>
      <c r="ED206" s="48"/>
      <c r="EE206" s="48"/>
      <c r="EF206" s="48"/>
      <c r="EG206" s="48"/>
      <c r="EH206" s="48"/>
      <c r="EI206" s="47"/>
      <c r="EJ206" s="47"/>
      <c r="EK206" s="47"/>
      <c r="EL206" s="47"/>
    </row>
    <row r="207" spans="1:142">
      <c r="A207" s="255" t="s">
        <v>564</v>
      </c>
      <c r="B207" s="251" t="s">
        <v>105</v>
      </c>
      <c r="C207" s="254" t="s">
        <v>68</v>
      </c>
      <c r="D207" s="251" t="s">
        <v>913</v>
      </c>
      <c r="E207" s="251" t="s">
        <v>97</v>
      </c>
      <c r="F207" s="253">
        <v>4</v>
      </c>
      <c r="G207" s="253">
        <v>3</v>
      </c>
      <c r="H207" s="253"/>
      <c r="I207" s="254" t="s">
        <v>95</v>
      </c>
      <c r="J207" s="254"/>
      <c r="K207" s="105"/>
      <c r="L207" s="105"/>
      <c r="M207" s="48"/>
      <c r="N207" s="105"/>
      <c r="O207" s="255" t="s">
        <v>565</v>
      </c>
      <c r="P207" s="261">
        <v>2</v>
      </c>
      <c r="Q207" s="261">
        <v>0</v>
      </c>
      <c r="R207" s="261">
        <v>0</v>
      </c>
      <c r="S207" s="262" t="s">
        <v>376</v>
      </c>
      <c r="T207" s="263" t="s">
        <v>672</v>
      </c>
      <c r="U207" s="105"/>
      <c r="V207" s="259" t="s">
        <v>611</v>
      </c>
      <c r="W207" s="105" t="s">
        <v>6</v>
      </c>
      <c r="X207" s="105" t="s">
        <v>86</v>
      </c>
      <c r="Y207" s="105" t="s">
        <v>690</v>
      </c>
      <c r="Z207" s="105" t="s">
        <v>80</v>
      </c>
      <c r="AA207" s="105" t="s">
        <v>639</v>
      </c>
      <c r="AB207" s="105" t="s">
        <v>639</v>
      </c>
      <c r="AC207" s="105" t="s">
        <v>639</v>
      </c>
      <c r="AD207" s="105"/>
      <c r="AE207" s="105"/>
      <c r="AF207" s="105"/>
      <c r="AG207" s="105"/>
      <c r="AH207" s="115" t="s">
        <v>621</v>
      </c>
      <c r="AI207" s="115"/>
      <c r="AJ207" s="115"/>
      <c r="AK207" s="105"/>
      <c r="AL207" s="115"/>
      <c r="AM207" s="115"/>
      <c r="AN207" s="115"/>
      <c r="AO207" s="260">
        <f>Tabelle4[[#This Row],[Kredit-  / Budgetsumme
(RADAR: Gesamtkosten S)]]-Tabelle4[[#This Row],[Netto-Ausgaben Vorjahre ]]</f>
        <v>0</v>
      </c>
      <c r="AP207" s="310"/>
      <c r="AQ207" s="311"/>
      <c r="AR207" s="115">
        <f>Tabelle4[[#This Row],[Kreditrest per 1.1. aktuelles Jahr]]-Tabelle4[[#This Row],[Prognose 2018
(RADAR: Kosten 2018 S)]]</f>
        <v>0</v>
      </c>
      <c r="AS207" s="115"/>
      <c r="AT207" s="311"/>
      <c r="AU207" s="115"/>
      <c r="AV207" s="311"/>
      <c r="AW207" s="115"/>
      <c r="AX207" s="311"/>
      <c r="AY207" s="115"/>
      <c r="AZ207" s="311"/>
      <c r="BA207" s="115"/>
      <c r="BB207" s="311"/>
      <c r="BC207" s="115"/>
      <c r="BD207" s="311"/>
      <c r="BE207" s="115"/>
      <c r="BF207" s="311"/>
      <c r="BG207" s="115"/>
      <c r="BH207" s="311"/>
      <c r="BI207" s="115"/>
      <c r="BJ207" s="115"/>
      <c r="BK207" s="264"/>
      <c r="BL207" s="105"/>
      <c r="BM207" s="106">
        <v>0</v>
      </c>
      <c r="BN207" s="106"/>
      <c r="BO207" s="106">
        <v>8</v>
      </c>
      <c r="BP207" s="106"/>
      <c r="BQ207" s="106"/>
      <c r="BR207" s="106"/>
      <c r="BS207" s="106"/>
      <c r="BT207" s="108">
        <f>SUM(Tabelle4[[#This Row],[Projektverantwortung
(Lenkungsausschuss) ]:[Kommunikation ]])</f>
        <v>8</v>
      </c>
      <c r="BU207" s="105"/>
      <c r="BV207" s="106">
        <v>0</v>
      </c>
      <c r="BW207" s="106"/>
      <c r="BX207" s="106">
        <v>8</v>
      </c>
      <c r="BY207" s="106"/>
      <c r="BZ207" s="106"/>
      <c r="CA207" s="106"/>
      <c r="CB207" s="106"/>
      <c r="CC207" s="108">
        <f>SUM(Tabelle4[[#This Row],[Projektverantwortung
(Lenkungsausschuss)   ]:[Kommunikation   ]])</f>
        <v>8</v>
      </c>
      <c r="CD207" s="105"/>
      <c r="CE207" s="106">
        <v>0</v>
      </c>
      <c r="CF207" s="106"/>
      <c r="CG207" s="106">
        <v>8</v>
      </c>
      <c r="CH207" s="106"/>
      <c r="CI207" s="106"/>
      <c r="CJ207" s="106"/>
      <c r="CK207" s="106"/>
      <c r="CL207" s="108">
        <f>SUM(Tabelle4[[#This Row],[Projektverantwortung
(Lenkungsausschuss).]:[Kommunikation    ]])</f>
        <v>8</v>
      </c>
      <c r="CM207" s="105"/>
      <c r="CN207" s="106">
        <v>0</v>
      </c>
      <c r="CO207" s="106"/>
      <c r="CP207" s="106">
        <v>8</v>
      </c>
      <c r="CQ207" s="106"/>
      <c r="CR207" s="106"/>
      <c r="CS207" s="106"/>
      <c r="CT207" s="106"/>
      <c r="CU207" s="108">
        <f>SUM(Tabelle4[[#This Row],[Projektverantwortung
(Lenkungsausschuss)    ]:[Kommunikation     ]])</f>
        <v>8</v>
      </c>
      <c r="CV207" s="107">
        <f>SUM(Tabelle4[[#This Row],[Total Aufwand
1. Quartal 2018]],Tabelle4[[#This Row],[Total Aufwand
2. Quartal 2018]],Tabelle4[[#This Row],[Total Aufwand
3. Quartal 2018]],Tabelle4[[#This Row],[Total Aufwand
4. Quartal 2018]])</f>
        <v>32</v>
      </c>
      <c r="CW207" s="105"/>
      <c r="CX207" s="105"/>
      <c r="CY207" s="105"/>
      <c r="CZ207" s="105"/>
      <c r="DA207" s="105"/>
      <c r="DB207" s="105"/>
      <c r="DC207" s="105"/>
      <c r="DD207" s="105"/>
      <c r="DE207" s="107">
        <f>SUM(Tabelle4[[#This Row],[Aufwand ]],Tabelle4[[#This Row],[Aufwand 2]],Tabelle4[[#This Row],[Aufwand 3]],Tabelle4[[#This Row],[Aufwand 4]])</f>
        <v>0</v>
      </c>
      <c r="DF207" s="105"/>
      <c r="DG207" s="105"/>
      <c r="DH207" s="105"/>
      <c r="DI207" s="105"/>
      <c r="DJ207" s="105"/>
      <c r="DK207" s="105"/>
      <c r="DL207" s="105"/>
      <c r="DM207" s="105"/>
      <c r="DN207" s="107">
        <f>SUM(Tabelle4[[#This Row],[Aufwand  ]],Tabelle4[[#This Row],[Aufwand  2]],Tabelle4[[#This Row],[Aufwand  3]],Tabelle4[[#This Row],[Aufwand  4]])</f>
        <v>0</v>
      </c>
      <c r="DO207" s="105"/>
      <c r="DP207" s="105"/>
      <c r="DQ207" s="105"/>
      <c r="DR207" s="105"/>
      <c r="DS207" s="105"/>
      <c r="DT207" s="105"/>
      <c r="DU207" s="105"/>
      <c r="DV207" s="105"/>
      <c r="DW207" s="107">
        <f>SUM(Tabelle4[[#This Row],[Aufwand   ]],Tabelle4[[#This Row],[Aufwand   2]],Tabelle4[[#This Row],[Aufwand   3]],Tabelle4[[#This Row],[Aufwand   4]])</f>
        <v>0</v>
      </c>
      <c r="DX207" s="105"/>
      <c r="DY207" s="105"/>
      <c r="DZ207" s="105"/>
      <c r="EA207" s="105"/>
      <c r="EB207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32</v>
      </c>
      <c r="EC207" s="122">
        <f>Tabelle4[[#This Row],[Gesamaufwand]]/2000</f>
        <v>1.6E-2</v>
      </c>
      <c r="ED207" s="47"/>
      <c r="EE207" s="47"/>
      <c r="EF207" s="47"/>
      <c r="EG207" s="47"/>
      <c r="EH207" s="47"/>
      <c r="EI207" s="47"/>
      <c r="EJ207" s="47"/>
      <c r="EK207" s="47"/>
      <c r="EL207" s="47"/>
    </row>
    <row r="208" spans="1:142">
      <c r="A208" s="255" t="s">
        <v>566</v>
      </c>
      <c r="B208" s="251" t="s">
        <v>1331</v>
      </c>
      <c r="C208" s="254" t="s">
        <v>690</v>
      </c>
      <c r="D208" s="251"/>
      <c r="E208" s="251" t="s">
        <v>97</v>
      </c>
      <c r="F208" s="253"/>
      <c r="G208" s="253"/>
      <c r="H208" s="253"/>
      <c r="I208" s="254"/>
      <c r="J208" s="254"/>
      <c r="K208" s="105"/>
      <c r="L208" s="105"/>
      <c r="M208" s="48"/>
      <c r="N208" s="105"/>
      <c r="O208" s="255" t="s">
        <v>567</v>
      </c>
      <c r="P208" s="261">
        <v>2</v>
      </c>
      <c r="Q208" s="261">
        <v>0</v>
      </c>
      <c r="R208" s="261">
        <v>0</v>
      </c>
      <c r="S208" s="262" t="s">
        <v>379</v>
      </c>
      <c r="T208" s="263" t="s">
        <v>75</v>
      </c>
      <c r="U208" s="105"/>
      <c r="V208" s="259" t="s">
        <v>611</v>
      </c>
      <c r="W208" s="105" t="s">
        <v>75</v>
      </c>
      <c r="X208" s="105" t="s">
        <v>75</v>
      </c>
      <c r="Y208" s="105" t="s">
        <v>75</v>
      </c>
      <c r="Z208" s="105" t="s">
        <v>75</v>
      </c>
      <c r="AA208" s="105" t="s">
        <v>75</v>
      </c>
      <c r="AB208" s="105" t="s">
        <v>75</v>
      </c>
      <c r="AC208" s="105" t="s">
        <v>75</v>
      </c>
      <c r="AD208" s="105"/>
      <c r="AE208" s="105"/>
      <c r="AF208" s="105"/>
      <c r="AG208" s="105"/>
      <c r="AH208" s="115" t="s">
        <v>621</v>
      </c>
      <c r="AI208" s="115"/>
      <c r="AJ208" s="115"/>
      <c r="AK208" s="105"/>
      <c r="AL208" s="115"/>
      <c r="AM208" s="115"/>
      <c r="AN208" s="115"/>
      <c r="AO208" s="260">
        <f>Tabelle4[[#This Row],[Kredit-  / Budgetsumme
(RADAR: Gesamtkosten S)]]-Tabelle4[[#This Row],[Netto-Ausgaben Vorjahre ]]</f>
        <v>0</v>
      </c>
      <c r="AP208" s="310"/>
      <c r="AQ208" s="311"/>
      <c r="AR208" s="115">
        <f>Tabelle4[[#This Row],[Kreditrest per 1.1. aktuelles Jahr]]-Tabelle4[[#This Row],[Prognose 2018
(RADAR: Kosten 2018 S)]]</f>
        <v>0</v>
      </c>
      <c r="AS208" s="115"/>
      <c r="AT208" s="311"/>
      <c r="AU208" s="115"/>
      <c r="AV208" s="311"/>
      <c r="AW208" s="115"/>
      <c r="AX208" s="311"/>
      <c r="AY208" s="115"/>
      <c r="AZ208" s="311"/>
      <c r="BA208" s="115"/>
      <c r="BB208" s="311"/>
      <c r="BC208" s="115"/>
      <c r="BD208" s="311"/>
      <c r="BE208" s="115"/>
      <c r="BF208" s="311"/>
      <c r="BG208" s="115"/>
      <c r="BH208" s="311"/>
      <c r="BI208" s="115"/>
      <c r="BJ208" s="115"/>
      <c r="BK208" s="264"/>
      <c r="BL208" s="105"/>
      <c r="BM208" s="106"/>
      <c r="BN208" s="106"/>
      <c r="BO208" s="106"/>
      <c r="BP208" s="106"/>
      <c r="BQ208" s="106"/>
      <c r="BR208" s="106"/>
      <c r="BS208" s="106"/>
      <c r="BT208" s="108">
        <f>SUM(Tabelle4[[#This Row],[Projektverantwortung
(Lenkungsausschuss) ]:[Kommunikation ]])</f>
        <v>0</v>
      </c>
      <c r="BU208" s="105"/>
      <c r="BV208" s="106"/>
      <c r="BW208" s="106"/>
      <c r="BX208" s="106"/>
      <c r="BY208" s="106"/>
      <c r="BZ208" s="106"/>
      <c r="CA208" s="106"/>
      <c r="CB208" s="106"/>
      <c r="CC208" s="108">
        <f>SUM(Tabelle4[[#This Row],[Projektverantwortung
(Lenkungsausschuss)   ]:[Kommunikation   ]])</f>
        <v>0</v>
      </c>
      <c r="CD208" s="105"/>
      <c r="CE208" s="106"/>
      <c r="CF208" s="106"/>
      <c r="CG208" s="106"/>
      <c r="CH208" s="106"/>
      <c r="CI208" s="106"/>
      <c r="CJ208" s="106"/>
      <c r="CK208" s="106"/>
      <c r="CL208" s="108">
        <f>SUM(Tabelle4[[#This Row],[Projektverantwortung
(Lenkungsausschuss).]:[Kommunikation    ]])</f>
        <v>0</v>
      </c>
      <c r="CM208" s="105"/>
      <c r="CN208" s="106"/>
      <c r="CO208" s="106"/>
      <c r="CP208" s="106"/>
      <c r="CQ208" s="106"/>
      <c r="CR208" s="106"/>
      <c r="CS208" s="106"/>
      <c r="CT208" s="106"/>
      <c r="CU208" s="108">
        <f>SUM(Tabelle4[[#This Row],[Projektverantwortung
(Lenkungsausschuss)    ]:[Kommunikation     ]])</f>
        <v>0</v>
      </c>
      <c r="CV208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208" s="105"/>
      <c r="CX208" s="105"/>
      <c r="CY208" s="105"/>
      <c r="CZ208" s="105"/>
      <c r="DA208" s="105"/>
      <c r="DB208" s="105"/>
      <c r="DC208" s="105"/>
      <c r="DD208" s="105"/>
      <c r="DE208" s="107">
        <f>SUM(Tabelle4[[#This Row],[Aufwand ]],Tabelle4[[#This Row],[Aufwand 2]],Tabelle4[[#This Row],[Aufwand 3]],Tabelle4[[#This Row],[Aufwand 4]])</f>
        <v>0</v>
      </c>
      <c r="DF208" s="105"/>
      <c r="DG208" s="105"/>
      <c r="DH208" s="105"/>
      <c r="DI208" s="105"/>
      <c r="DJ208" s="105"/>
      <c r="DK208" s="105"/>
      <c r="DL208" s="105"/>
      <c r="DM208" s="105"/>
      <c r="DN208" s="107">
        <f>SUM(Tabelle4[[#This Row],[Aufwand  ]],Tabelle4[[#This Row],[Aufwand  2]],Tabelle4[[#This Row],[Aufwand  3]],Tabelle4[[#This Row],[Aufwand  4]])</f>
        <v>0</v>
      </c>
      <c r="DO208" s="105"/>
      <c r="DP208" s="105"/>
      <c r="DQ208" s="105"/>
      <c r="DR208" s="105"/>
      <c r="DS208" s="105"/>
      <c r="DT208" s="105"/>
      <c r="DU208" s="105"/>
      <c r="DV208" s="105"/>
      <c r="DW208" s="107">
        <f>SUM(Tabelle4[[#This Row],[Aufwand   ]],Tabelle4[[#This Row],[Aufwand   2]],Tabelle4[[#This Row],[Aufwand   3]],Tabelle4[[#This Row],[Aufwand   4]])</f>
        <v>0</v>
      </c>
      <c r="DX208" s="105"/>
      <c r="DY208" s="105"/>
      <c r="DZ208" s="105"/>
      <c r="EA208" s="105"/>
      <c r="EB208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208" s="122">
        <f>Tabelle4[[#This Row],[Gesamaufwand]]/2000</f>
        <v>0</v>
      </c>
      <c r="ED208" s="47"/>
      <c r="EE208" s="47"/>
      <c r="EF208" s="47"/>
      <c r="EG208" s="47"/>
      <c r="EH208" s="47"/>
      <c r="EI208" s="47"/>
      <c r="EJ208" s="47"/>
      <c r="EK208" s="47"/>
      <c r="EL208" s="47"/>
    </row>
    <row r="209" spans="1:142">
      <c r="A209" s="255" t="s">
        <v>160</v>
      </c>
      <c r="B209" s="251" t="s">
        <v>1331</v>
      </c>
      <c r="C209" s="254" t="s">
        <v>690</v>
      </c>
      <c r="D209" s="251"/>
      <c r="E209" s="251"/>
      <c r="F209" s="253"/>
      <c r="G209" s="253"/>
      <c r="H209" s="253"/>
      <c r="I209" s="254"/>
      <c r="J209" s="254"/>
      <c r="K209" s="105"/>
      <c r="L209" s="105"/>
      <c r="M209" s="48"/>
      <c r="N209" s="105"/>
      <c r="O209" s="255" t="s">
        <v>161</v>
      </c>
      <c r="P209" s="261">
        <v>6</v>
      </c>
      <c r="Q209" s="261">
        <v>0</v>
      </c>
      <c r="R209" s="261">
        <v>0</v>
      </c>
      <c r="S209" s="262" t="s">
        <v>144</v>
      </c>
      <c r="T209" s="263" t="s">
        <v>75</v>
      </c>
      <c r="U209" s="105"/>
      <c r="V209" s="259" t="s">
        <v>12</v>
      </c>
      <c r="W209" s="105" t="s">
        <v>75</v>
      </c>
      <c r="X209" s="105" t="s">
        <v>75</v>
      </c>
      <c r="Y209" s="105" t="s">
        <v>75</v>
      </c>
      <c r="Z209" s="105" t="s">
        <v>75</v>
      </c>
      <c r="AA209" s="105" t="s">
        <v>75</v>
      </c>
      <c r="AB209" s="105" t="s">
        <v>75</v>
      </c>
      <c r="AC209" s="105" t="s">
        <v>75</v>
      </c>
      <c r="AD209" s="105"/>
      <c r="AE209" s="105"/>
      <c r="AF209" s="105"/>
      <c r="AG209" s="105"/>
      <c r="AH209" s="115" t="s">
        <v>690</v>
      </c>
      <c r="AI209" s="115"/>
      <c r="AJ209" s="115"/>
      <c r="AK209" s="105"/>
      <c r="AL209" s="115"/>
      <c r="AM209" s="115"/>
      <c r="AN209" s="115"/>
      <c r="AO209" s="260">
        <f>Tabelle4[[#This Row],[Kredit-  / Budgetsumme
(RADAR: Gesamtkosten S)]]-Tabelle4[[#This Row],[Netto-Ausgaben Vorjahre ]]</f>
        <v>0</v>
      </c>
      <c r="AP209" s="310"/>
      <c r="AQ209" s="311"/>
      <c r="AR209" s="115">
        <f>Tabelle4[[#This Row],[Kreditrest per 1.1. aktuelles Jahr]]-Tabelle4[[#This Row],[Prognose 2018
(RADAR: Kosten 2018 S)]]</f>
        <v>0</v>
      </c>
      <c r="AS209" s="115"/>
      <c r="AT209" s="311"/>
      <c r="AU209" s="115"/>
      <c r="AV209" s="311"/>
      <c r="AW209" s="115"/>
      <c r="AX209" s="311"/>
      <c r="AY209" s="115"/>
      <c r="AZ209" s="311"/>
      <c r="BA209" s="115"/>
      <c r="BB209" s="311"/>
      <c r="BC209" s="115"/>
      <c r="BD209" s="311"/>
      <c r="BE209" s="115"/>
      <c r="BF209" s="311"/>
      <c r="BG209" s="115"/>
      <c r="BH209" s="311"/>
      <c r="BI209" s="115"/>
      <c r="BJ209" s="115"/>
      <c r="BK209" s="264"/>
      <c r="BL209" s="105"/>
      <c r="BM209" s="106"/>
      <c r="BN209" s="106"/>
      <c r="BO209" s="106"/>
      <c r="BP209" s="106"/>
      <c r="BQ209" s="106"/>
      <c r="BR209" s="106"/>
      <c r="BS209" s="106"/>
      <c r="BT209" s="108">
        <f>SUM(Tabelle4[[#This Row],[Projektverantwortung
(Lenkungsausschuss) ]:[Kommunikation ]])</f>
        <v>0</v>
      </c>
      <c r="BU209" s="105"/>
      <c r="BV209" s="106"/>
      <c r="BW209" s="106"/>
      <c r="BX209" s="106"/>
      <c r="BY209" s="106"/>
      <c r="BZ209" s="106"/>
      <c r="CA209" s="106"/>
      <c r="CB209" s="106"/>
      <c r="CC209" s="108">
        <f>SUM(Tabelle4[[#This Row],[Projektverantwortung
(Lenkungsausschuss)   ]:[Kommunikation   ]])</f>
        <v>0</v>
      </c>
      <c r="CD209" s="105"/>
      <c r="CE209" s="106"/>
      <c r="CF209" s="106"/>
      <c r="CG209" s="106"/>
      <c r="CH209" s="106"/>
      <c r="CI209" s="106"/>
      <c r="CJ209" s="106"/>
      <c r="CK209" s="106"/>
      <c r="CL209" s="108">
        <f>SUM(Tabelle4[[#This Row],[Projektverantwortung
(Lenkungsausschuss).]:[Kommunikation    ]])</f>
        <v>0</v>
      </c>
      <c r="CM209" s="105"/>
      <c r="CN209" s="106"/>
      <c r="CO209" s="106"/>
      <c r="CP209" s="106"/>
      <c r="CQ209" s="106"/>
      <c r="CR209" s="106"/>
      <c r="CS209" s="106"/>
      <c r="CT209" s="106"/>
      <c r="CU209" s="108">
        <f>SUM(Tabelle4[[#This Row],[Projektverantwortung
(Lenkungsausschuss)    ]:[Kommunikation     ]])</f>
        <v>0</v>
      </c>
      <c r="CV209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209" s="105"/>
      <c r="CX209" s="105"/>
      <c r="CY209" s="105"/>
      <c r="CZ209" s="105"/>
      <c r="DA209" s="105"/>
      <c r="DB209" s="105"/>
      <c r="DC209" s="105"/>
      <c r="DD209" s="105"/>
      <c r="DE209" s="107">
        <f>SUM(Tabelle4[[#This Row],[Aufwand ]],Tabelle4[[#This Row],[Aufwand 2]],Tabelle4[[#This Row],[Aufwand 3]],Tabelle4[[#This Row],[Aufwand 4]])</f>
        <v>0</v>
      </c>
      <c r="DF209" s="105"/>
      <c r="DG209" s="105"/>
      <c r="DH209" s="105"/>
      <c r="DI209" s="105"/>
      <c r="DJ209" s="105"/>
      <c r="DK209" s="105"/>
      <c r="DL209" s="105"/>
      <c r="DM209" s="105"/>
      <c r="DN209" s="107">
        <f>SUM(Tabelle4[[#This Row],[Aufwand  ]],Tabelle4[[#This Row],[Aufwand  2]],Tabelle4[[#This Row],[Aufwand  3]],Tabelle4[[#This Row],[Aufwand  4]])</f>
        <v>0</v>
      </c>
      <c r="DO209" s="105"/>
      <c r="DP209" s="105"/>
      <c r="DQ209" s="105"/>
      <c r="DR209" s="105"/>
      <c r="DS209" s="105"/>
      <c r="DT209" s="105"/>
      <c r="DU209" s="105"/>
      <c r="DV209" s="105"/>
      <c r="DW209" s="107">
        <f>SUM(Tabelle4[[#This Row],[Aufwand   ]],Tabelle4[[#This Row],[Aufwand   2]],Tabelle4[[#This Row],[Aufwand   3]],Tabelle4[[#This Row],[Aufwand   4]])</f>
        <v>0</v>
      </c>
      <c r="DX209" s="105"/>
      <c r="DY209" s="105"/>
      <c r="DZ209" s="105"/>
      <c r="EA209" s="105"/>
      <c r="EB209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209" s="122">
        <f>Tabelle4[[#This Row],[Gesamaufwand]]/2000</f>
        <v>0</v>
      </c>
      <c r="ED209" s="47"/>
      <c r="EE209" s="47"/>
      <c r="EF209" s="47"/>
      <c r="EG209" s="47"/>
      <c r="EH209" s="47"/>
      <c r="EI209" s="47"/>
      <c r="EJ209" s="47"/>
      <c r="EK209" s="47"/>
      <c r="EL209" s="47"/>
    </row>
    <row r="210" spans="1:142">
      <c r="A210" s="248" t="s">
        <v>911</v>
      </c>
      <c r="B210" s="249"/>
      <c r="C210" s="250"/>
      <c r="D210" s="249"/>
      <c r="E210" s="249"/>
      <c r="F210" s="252"/>
      <c r="G210" s="252"/>
      <c r="H210" s="252"/>
      <c r="I210" s="250"/>
      <c r="J210" s="250"/>
      <c r="K210" s="110"/>
      <c r="L210" s="110"/>
      <c r="M210" s="77"/>
      <c r="N210" s="110"/>
      <c r="O210" s="248"/>
      <c r="P210" s="256"/>
      <c r="Q210" s="256"/>
      <c r="R210" s="256"/>
      <c r="S210" s="257"/>
      <c r="T210" s="258"/>
      <c r="U210" s="110"/>
      <c r="V210" s="266"/>
      <c r="W210" s="105" t="s">
        <v>7</v>
      </c>
      <c r="X210" s="105" t="s">
        <v>9</v>
      </c>
      <c r="Y210" s="110"/>
      <c r="Z210" s="110" t="s">
        <v>9</v>
      </c>
      <c r="AA210" s="110"/>
      <c r="AB210" s="110"/>
      <c r="AC210" s="110"/>
      <c r="AD210" s="105"/>
      <c r="AE210" s="110"/>
      <c r="AF210" s="110"/>
      <c r="AG210" s="110"/>
      <c r="AH210" s="115" t="s">
        <v>800</v>
      </c>
      <c r="AI210" s="260"/>
      <c r="AJ210" s="260"/>
      <c r="AK210" s="110"/>
      <c r="AL210" s="260"/>
      <c r="AM210" s="260"/>
      <c r="AN210" s="260"/>
      <c r="AO210" s="260">
        <f>Tabelle4[[#This Row],[Kredit-  / Budgetsumme
(RADAR: Gesamtkosten S)]]-Tabelle4[[#This Row],[Netto-Ausgaben Vorjahre ]]</f>
        <v>0</v>
      </c>
      <c r="AP210" s="310"/>
      <c r="AQ210" s="310">
        <v>50000</v>
      </c>
      <c r="AR210" s="260">
        <f>Tabelle4[[#This Row],[Kreditrest per 1.1. aktuelles Jahr]]-Tabelle4[[#This Row],[Prognose 2018
(RADAR: Kosten 2018 S)]]</f>
        <v>-50000</v>
      </c>
      <c r="AS210" s="260"/>
      <c r="AT210" s="310">
        <v>50000</v>
      </c>
      <c r="AU210" s="260"/>
      <c r="AV210" s="310">
        <v>50000</v>
      </c>
      <c r="AW210" s="260"/>
      <c r="AX210" s="310">
        <v>50000</v>
      </c>
      <c r="AY210" s="260"/>
      <c r="AZ210" s="310"/>
      <c r="BA210" s="260"/>
      <c r="BB210" s="310"/>
      <c r="BC210" s="260"/>
      <c r="BD210" s="310"/>
      <c r="BE210" s="260"/>
      <c r="BF210" s="310"/>
      <c r="BG210" s="260"/>
      <c r="BH210" s="310"/>
      <c r="BI210" s="260"/>
      <c r="BJ210" s="260"/>
      <c r="BK210" s="260"/>
      <c r="BL210" s="105"/>
      <c r="BM210" s="111"/>
      <c r="BN210" s="111"/>
      <c r="BO210" s="111">
        <v>8</v>
      </c>
      <c r="BP210" s="111"/>
      <c r="BQ210" s="111"/>
      <c r="BR210" s="111"/>
      <c r="BS210" s="111"/>
      <c r="BT210" s="113">
        <f>SUM(Tabelle4[[#This Row],[Projektverantwortung
(Lenkungsausschuss) ]:[Kommunikation ]])</f>
        <v>8</v>
      </c>
      <c r="BU210" s="113"/>
      <c r="BV210" s="106"/>
      <c r="BW210" s="106"/>
      <c r="BX210" s="106">
        <v>8</v>
      </c>
      <c r="BY210" s="106"/>
      <c r="BZ210" s="106"/>
      <c r="CA210" s="106"/>
      <c r="CB210" s="106"/>
      <c r="CC210" s="113">
        <f>SUM(Tabelle4[[#This Row],[Projektverantwortung
(Lenkungsausschuss)   ]:[Kommunikation   ]])</f>
        <v>8</v>
      </c>
      <c r="CD210" s="113"/>
      <c r="CE210" s="114"/>
      <c r="CF210" s="114"/>
      <c r="CG210" s="114">
        <v>8</v>
      </c>
      <c r="CH210" s="114"/>
      <c r="CI210" s="114"/>
      <c r="CJ210" s="114"/>
      <c r="CK210" s="114"/>
      <c r="CL210" s="113">
        <f>SUM(Tabelle4[[#This Row],[Projektverantwortung
(Lenkungsausschuss).]:[Kommunikation    ]])</f>
        <v>8</v>
      </c>
      <c r="CM210" s="113"/>
      <c r="CN210" s="114"/>
      <c r="CO210" s="114"/>
      <c r="CP210" s="114">
        <v>8</v>
      </c>
      <c r="CQ210" s="114"/>
      <c r="CR210" s="114"/>
      <c r="CS210" s="114"/>
      <c r="CT210" s="114"/>
      <c r="CU210" s="113">
        <f>SUM(Tabelle4[[#This Row],[Projektverantwortung
(Lenkungsausschuss)    ]:[Kommunikation     ]])</f>
        <v>8</v>
      </c>
      <c r="CV210" s="112">
        <f>SUM(Tabelle4[[#This Row],[Total Aufwand
1. Quartal 2018]],Tabelle4[[#This Row],[Total Aufwand
2. Quartal 2018]],Tabelle4[[#This Row],[Total Aufwand
3. Quartal 2018]],Tabelle4[[#This Row],[Total Aufwand
4. Quartal 2018]])</f>
        <v>32</v>
      </c>
      <c r="CW210" s="105"/>
      <c r="CX210" s="105"/>
      <c r="CY210" s="105"/>
      <c r="CZ210" s="105"/>
      <c r="DA210" s="105"/>
      <c r="DB210" s="105"/>
      <c r="DC210" s="105"/>
      <c r="DD210" s="105"/>
      <c r="DE210" s="112">
        <f>SUM(Tabelle4[[#This Row],[Aufwand ]],Tabelle4[[#This Row],[Aufwand 2]],Tabelle4[[#This Row],[Aufwand 3]],Tabelle4[[#This Row],[Aufwand 4]])</f>
        <v>0</v>
      </c>
      <c r="DF210" s="142"/>
      <c r="DG210" s="110"/>
      <c r="DH210" s="110"/>
      <c r="DI210" s="142"/>
      <c r="DJ210" s="110"/>
      <c r="DK210" s="142"/>
      <c r="DL210" s="110"/>
      <c r="DM210" s="142"/>
      <c r="DN210" s="112">
        <f>SUM(Tabelle4[[#This Row],[Aufwand  ]],Tabelle4[[#This Row],[Aufwand  2]],Tabelle4[[#This Row],[Aufwand  3]],Tabelle4[[#This Row],[Aufwand  4]])</f>
        <v>0</v>
      </c>
      <c r="DO210" s="142"/>
      <c r="DP210" s="110"/>
      <c r="DQ210" s="110"/>
      <c r="DR210" s="142"/>
      <c r="DS210" s="110"/>
      <c r="DT210" s="142"/>
      <c r="DU210" s="110"/>
      <c r="DV210" s="142"/>
      <c r="DW210" s="107">
        <f>SUM(Tabelle4[[#This Row],[Aufwand   ]],Tabelle4[[#This Row],[Aufwand   2]],Tabelle4[[#This Row],[Aufwand   3]],Tabelle4[[#This Row],[Aufwand   4]])</f>
        <v>0</v>
      </c>
      <c r="DX210" s="142"/>
      <c r="DY210" s="143"/>
      <c r="DZ210" s="105"/>
      <c r="EA210" s="105"/>
      <c r="EB210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32</v>
      </c>
      <c r="EC210" s="122">
        <f>Tabelle4[[#This Row],[Gesamaufwand]]/2000</f>
        <v>1.6E-2</v>
      </c>
      <c r="ED210" s="48"/>
      <c r="EE210" s="48"/>
      <c r="EF210" s="48"/>
      <c r="EG210" s="48"/>
      <c r="EH210" s="48"/>
      <c r="EI210" s="47"/>
      <c r="EJ210" s="47"/>
      <c r="EK210" s="47"/>
      <c r="EL210" s="47"/>
    </row>
    <row r="211" spans="1:142">
      <c r="A211" s="255" t="s">
        <v>820</v>
      </c>
      <c r="B211" s="251" t="s">
        <v>105</v>
      </c>
      <c r="C211" s="254" t="s">
        <v>75</v>
      </c>
      <c r="D211" s="251" t="s">
        <v>913</v>
      </c>
      <c r="E211" s="251" t="s">
        <v>635</v>
      </c>
      <c r="F211" s="253">
        <v>1</v>
      </c>
      <c r="G211" s="253">
        <v>2</v>
      </c>
      <c r="H211" s="253"/>
      <c r="I211" s="254" t="s">
        <v>95</v>
      </c>
      <c r="J211" s="254"/>
      <c r="K211" s="105"/>
      <c r="L211" s="105"/>
      <c r="M211" s="48"/>
      <c r="N211" s="105"/>
      <c r="O211" s="255" t="s">
        <v>568</v>
      </c>
      <c r="P211" s="261">
        <v>2</v>
      </c>
      <c r="Q211" s="261">
        <v>0</v>
      </c>
      <c r="R211" s="261">
        <v>0</v>
      </c>
      <c r="S211" s="262" t="s">
        <v>384</v>
      </c>
      <c r="T211" s="263" t="s">
        <v>660</v>
      </c>
      <c r="U211" s="105"/>
      <c r="V211" s="259" t="s">
        <v>609</v>
      </c>
      <c r="W211" s="105" t="s">
        <v>7</v>
      </c>
      <c r="X211" s="105" t="s">
        <v>11</v>
      </c>
      <c r="Y211" s="105" t="s">
        <v>9</v>
      </c>
      <c r="Z211" s="105" t="s">
        <v>10</v>
      </c>
      <c r="AA211" s="105" t="s">
        <v>639</v>
      </c>
      <c r="AB211" s="105" t="s">
        <v>639</v>
      </c>
      <c r="AC211" s="105" t="s">
        <v>639</v>
      </c>
      <c r="AD211" s="105"/>
      <c r="AE211" s="105"/>
      <c r="AF211" s="105"/>
      <c r="AG211" s="105"/>
      <c r="AH211" s="115" t="s">
        <v>21</v>
      </c>
      <c r="AI211" s="115" t="s">
        <v>73</v>
      </c>
      <c r="AJ211" s="115" t="s">
        <v>620</v>
      </c>
      <c r="AK211" s="105"/>
      <c r="AL211" s="115">
        <v>19800000</v>
      </c>
      <c r="AM211" s="115"/>
      <c r="AN211" s="115"/>
      <c r="AO211" s="260">
        <f>Tabelle4[[#This Row],[Kredit-  / Budgetsumme
(RADAR: Gesamtkosten S)]]-Tabelle4[[#This Row],[Netto-Ausgaben Vorjahre ]]</f>
        <v>19800000</v>
      </c>
      <c r="AP211" s="310"/>
      <c r="AQ211" s="311"/>
      <c r="AR211" s="115">
        <f>Tabelle4[[#This Row],[Kreditrest per 1.1. aktuelles Jahr]]-Tabelle4[[#This Row],[Prognose 2018
(RADAR: Kosten 2018 S)]]</f>
        <v>19800000</v>
      </c>
      <c r="AS211" s="115"/>
      <c r="AT211" s="311">
        <v>250000</v>
      </c>
      <c r="AU211" s="115"/>
      <c r="AV211" s="311">
        <v>200000</v>
      </c>
      <c r="AW211" s="115"/>
      <c r="AX211" s="311">
        <v>200000</v>
      </c>
      <c r="AY211" s="115"/>
      <c r="AZ211" s="311">
        <v>200000</v>
      </c>
      <c r="BA211" s="115"/>
      <c r="BB211" s="311">
        <v>4737500</v>
      </c>
      <c r="BC211" s="115"/>
      <c r="BD211" s="311">
        <v>4737500</v>
      </c>
      <c r="BE211" s="115"/>
      <c r="BF211" s="311">
        <v>4737500</v>
      </c>
      <c r="BG211" s="115"/>
      <c r="BH211" s="311">
        <v>4737500</v>
      </c>
      <c r="BI211" s="115"/>
      <c r="BJ211" s="115"/>
      <c r="BK211" s="264"/>
      <c r="BL211" s="105"/>
      <c r="BM211" s="106"/>
      <c r="BN211" s="106"/>
      <c r="BO211" s="106">
        <v>40</v>
      </c>
      <c r="BP211" s="106"/>
      <c r="BQ211" s="106"/>
      <c r="BR211" s="106"/>
      <c r="BS211" s="106"/>
      <c r="BT211" s="108">
        <f>SUM(Tabelle4[[#This Row],[Projektverantwortung
(Lenkungsausschuss) ]:[Kommunikation ]])</f>
        <v>40</v>
      </c>
      <c r="BU211" s="105"/>
      <c r="BV211" s="106"/>
      <c r="BW211" s="106"/>
      <c r="BX211" s="106">
        <v>40</v>
      </c>
      <c r="BY211" s="106"/>
      <c r="BZ211" s="106"/>
      <c r="CA211" s="106"/>
      <c r="CB211" s="106"/>
      <c r="CC211" s="108">
        <f>SUM(Tabelle4[[#This Row],[Projektverantwortung
(Lenkungsausschuss)   ]:[Kommunikation   ]])</f>
        <v>40</v>
      </c>
      <c r="CD211" s="105"/>
      <c r="CE211" s="106"/>
      <c r="CF211" s="106"/>
      <c r="CG211" s="106">
        <v>80</v>
      </c>
      <c r="CH211" s="106"/>
      <c r="CI211" s="106"/>
      <c r="CJ211" s="106"/>
      <c r="CK211" s="106"/>
      <c r="CL211" s="108">
        <f>SUM(Tabelle4[[#This Row],[Projektverantwortung
(Lenkungsausschuss).]:[Kommunikation    ]])</f>
        <v>80</v>
      </c>
      <c r="CM211" s="105"/>
      <c r="CN211" s="106"/>
      <c r="CO211" s="106"/>
      <c r="CP211" s="106">
        <v>125</v>
      </c>
      <c r="CQ211" s="106"/>
      <c r="CR211" s="106"/>
      <c r="CS211" s="106"/>
      <c r="CT211" s="106"/>
      <c r="CU211" s="108">
        <f>SUM(Tabelle4[[#This Row],[Projektverantwortung
(Lenkungsausschuss)    ]:[Kommunikation     ]])</f>
        <v>125</v>
      </c>
      <c r="CV211" s="107">
        <f>SUM(Tabelle4[[#This Row],[Total Aufwand
1. Quartal 2018]],Tabelle4[[#This Row],[Total Aufwand
2. Quartal 2018]],Tabelle4[[#This Row],[Total Aufwand
3. Quartal 2018]],Tabelle4[[#This Row],[Total Aufwand
4. Quartal 2018]])</f>
        <v>285</v>
      </c>
      <c r="CW211" s="105"/>
      <c r="CX211" s="105"/>
      <c r="CY211" s="105"/>
      <c r="CZ211" s="105"/>
      <c r="DA211" s="105"/>
      <c r="DB211" s="105"/>
      <c r="DC211" s="105"/>
      <c r="DD211" s="105"/>
      <c r="DE211" s="107">
        <f>SUM(Tabelle4[[#This Row],[Aufwand ]],Tabelle4[[#This Row],[Aufwand 2]],Tabelle4[[#This Row],[Aufwand 3]],Tabelle4[[#This Row],[Aufwand 4]])</f>
        <v>0</v>
      </c>
      <c r="DF211" s="105"/>
      <c r="DG211" s="105"/>
      <c r="DH211" s="105"/>
      <c r="DI211" s="105"/>
      <c r="DJ211" s="105"/>
      <c r="DK211" s="105"/>
      <c r="DL211" s="105"/>
      <c r="DM211" s="105"/>
      <c r="DN211" s="107">
        <f>SUM(Tabelle4[[#This Row],[Aufwand  ]],Tabelle4[[#This Row],[Aufwand  2]],Tabelle4[[#This Row],[Aufwand  3]],Tabelle4[[#This Row],[Aufwand  4]])</f>
        <v>0</v>
      </c>
      <c r="DO211" s="105"/>
      <c r="DP211" s="105"/>
      <c r="DQ211" s="105"/>
      <c r="DR211" s="105"/>
      <c r="DS211" s="105"/>
      <c r="DT211" s="105"/>
      <c r="DU211" s="105"/>
      <c r="DV211" s="105"/>
      <c r="DW211" s="107">
        <f>SUM(Tabelle4[[#This Row],[Aufwand   ]],Tabelle4[[#This Row],[Aufwand   2]],Tabelle4[[#This Row],[Aufwand   3]],Tabelle4[[#This Row],[Aufwand   4]])</f>
        <v>0</v>
      </c>
      <c r="DX211" s="105"/>
      <c r="DY211" s="105"/>
      <c r="DZ211" s="105"/>
      <c r="EA211" s="105"/>
      <c r="EB211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285</v>
      </c>
      <c r="EC211" s="122">
        <f>Tabelle4[[#This Row],[Gesamaufwand]]/2000</f>
        <v>0.14249999999999999</v>
      </c>
      <c r="ED211" s="47"/>
      <c r="EE211" s="47"/>
      <c r="EF211" s="47"/>
      <c r="EG211" s="47"/>
      <c r="EH211" s="47"/>
      <c r="EI211" s="47"/>
      <c r="EJ211" s="47"/>
      <c r="EK211" s="47"/>
      <c r="EL211" s="47"/>
    </row>
    <row r="212" spans="1:142">
      <c r="A212" s="255" t="s">
        <v>328</v>
      </c>
      <c r="B212" s="251" t="s">
        <v>105</v>
      </c>
      <c r="C212" s="254" t="s">
        <v>75</v>
      </c>
      <c r="D212" s="251" t="s">
        <v>914</v>
      </c>
      <c r="E212" s="249" t="s">
        <v>776</v>
      </c>
      <c r="F212" s="253">
        <v>2</v>
      </c>
      <c r="G212" s="253">
        <v>2</v>
      </c>
      <c r="H212" s="253"/>
      <c r="I212" s="254" t="s">
        <v>95</v>
      </c>
      <c r="J212" s="254"/>
      <c r="K212" s="105"/>
      <c r="L212" s="105"/>
      <c r="M212" s="48"/>
      <c r="N212" s="105"/>
      <c r="O212" s="255" t="s">
        <v>329</v>
      </c>
      <c r="P212" s="261">
        <v>1</v>
      </c>
      <c r="Q212" s="261">
        <v>0</v>
      </c>
      <c r="R212" s="261">
        <v>0</v>
      </c>
      <c r="S212" s="262" t="s">
        <v>330</v>
      </c>
      <c r="T212" s="263" t="s">
        <v>659</v>
      </c>
      <c r="U212" s="105"/>
      <c r="V212" s="259" t="s">
        <v>12</v>
      </c>
      <c r="W212" s="105" t="s">
        <v>6</v>
      </c>
      <c r="X212" s="105" t="s">
        <v>86</v>
      </c>
      <c r="Y212" s="105" t="s">
        <v>690</v>
      </c>
      <c r="Z212" s="105" t="s">
        <v>81</v>
      </c>
      <c r="AA212" s="105" t="s">
        <v>639</v>
      </c>
      <c r="AB212" s="105" t="s">
        <v>13</v>
      </c>
      <c r="AC212" s="105" t="s">
        <v>639</v>
      </c>
      <c r="AD212" s="105"/>
      <c r="AE212" s="105"/>
      <c r="AF212" s="105"/>
      <c r="AG212" s="105"/>
      <c r="AH212" s="115" t="s">
        <v>799</v>
      </c>
      <c r="AI212" s="115"/>
      <c r="AJ212" s="115"/>
      <c r="AK212" s="105"/>
      <c r="AL212" s="115"/>
      <c r="AM212" s="115"/>
      <c r="AN212" s="115"/>
      <c r="AO212" s="260">
        <f>Tabelle4[[#This Row],[Kredit-  / Budgetsumme
(RADAR: Gesamtkosten S)]]-Tabelle4[[#This Row],[Netto-Ausgaben Vorjahre ]]</f>
        <v>0</v>
      </c>
      <c r="AP212" s="310"/>
      <c r="AQ212" s="311"/>
      <c r="AR212" s="115">
        <f>Tabelle4[[#This Row],[Kreditrest per 1.1. aktuelles Jahr]]-Tabelle4[[#This Row],[Prognose 2018
(RADAR: Kosten 2018 S)]]</f>
        <v>0</v>
      </c>
      <c r="AS212" s="115"/>
      <c r="AT212" s="311"/>
      <c r="AU212" s="115"/>
      <c r="AV212" s="311"/>
      <c r="AW212" s="115"/>
      <c r="AX212" s="311"/>
      <c r="AY212" s="115"/>
      <c r="AZ212" s="311"/>
      <c r="BA212" s="115"/>
      <c r="BB212" s="311"/>
      <c r="BC212" s="115"/>
      <c r="BD212" s="311"/>
      <c r="BE212" s="115"/>
      <c r="BF212" s="311"/>
      <c r="BG212" s="115"/>
      <c r="BH212" s="311"/>
      <c r="BI212" s="115"/>
      <c r="BJ212" s="115"/>
      <c r="BK212" s="264"/>
      <c r="BL212" s="105"/>
      <c r="BM212" s="106" t="s">
        <v>75</v>
      </c>
      <c r="BN212" s="106"/>
      <c r="BO212" s="106"/>
      <c r="BP212" s="106"/>
      <c r="BQ212" s="106"/>
      <c r="BR212" s="106"/>
      <c r="BS212" s="106"/>
      <c r="BT212" s="108">
        <f>SUM(Tabelle4[[#This Row],[Projektverantwortung
(Lenkungsausschuss) ]:[Kommunikation ]])</f>
        <v>0</v>
      </c>
      <c r="BU212" s="105"/>
      <c r="BV212" s="106"/>
      <c r="BW212" s="106"/>
      <c r="BX212" s="106"/>
      <c r="BY212" s="106"/>
      <c r="BZ212" s="106"/>
      <c r="CA212" s="106"/>
      <c r="CB212" s="106"/>
      <c r="CC212" s="108">
        <f>SUM(Tabelle4[[#This Row],[Projektverantwortung
(Lenkungsausschuss)   ]:[Kommunikation   ]])</f>
        <v>0</v>
      </c>
      <c r="CD212" s="105"/>
      <c r="CE212" s="106"/>
      <c r="CF212" s="106"/>
      <c r="CG212" s="106"/>
      <c r="CH212" s="106"/>
      <c r="CI212" s="106"/>
      <c r="CJ212" s="106"/>
      <c r="CK212" s="106"/>
      <c r="CL212" s="108">
        <f>SUM(Tabelle4[[#This Row],[Projektverantwortung
(Lenkungsausschuss).]:[Kommunikation    ]])</f>
        <v>0</v>
      </c>
      <c r="CM212" s="105"/>
      <c r="CN212" s="106"/>
      <c r="CO212" s="106"/>
      <c r="CP212" s="106"/>
      <c r="CQ212" s="106"/>
      <c r="CR212" s="106"/>
      <c r="CS212" s="106"/>
      <c r="CT212" s="106"/>
      <c r="CU212" s="108">
        <f>SUM(Tabelle4[[#This Row],[Projektverantwortung
(Lenkungsausschuss)    ]:[Kommunikation     ]])</f>
        <v>0</v>
      </c>
      <c r="CV212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212" s="105"/>
      <c r="CX212" s="105"/>
      <c r="CY212" s="105"/>
      <c r="CZ212" s="105"/>
      <c r="DA212" s="105"/>
      <c r="DB212" s="105"/>
      <c r="DC212" s="105"/>
      <c r="DD212" s="105"/>
      <c r="DE212" s="107">
        <f>SUM(Tabelle4[[#This Row],[Aufwand ]],Tabelle4[[#This Row],[Aufwand 2]],Tabelle4[[#This Row],[Aufwand 3]],Tabelle4[[#This Row],[Aufwand 4]])</f>
        <v>0</v>
      </c>
      <c r="DF212" s="105"/>
      <c r="DG212" s="105"/>
      <c r="DH212" s="105"/>
      <c r="DI212" s="105"/>
      <c r="DJ212" s="105"/>
      <c r="DK212" s="105"/>
      <c r="DL212" s="105"/>
      <c r="DM212" s="105"/>
      <c r="DN212" s="107">
        <f>SUM(Tabelle4[[#This Row],[Aufwand  ]],Tabelle4[[#This Row],[Aufwand  2]],Tabelle4[[#This Row],[Aufwand  3]],Tabelle4[[#This Row],[Aufwand  4]])</f>
        <v>0</v>
      </c>
      <c r="DO212" s="105"/>
      <c r="DP212" s="105"/>
      <c r="DQ212" s="105"/>
      <c r="DR212" s="105"/>
      <c r="DS212" s="105"/>
      <c r="DT212" s="105"/>
      <c r="DU212" s="105"/>
      <c r="DV212" s="105"/>
      <c r="DW212" s="107">
        <f>SUM(Tabelle4[[#This Row],[Aufwand   ]],Tabelle4[[#This Row],[Aufwand   2]],Tabelle4[[#This Row],[Aufwand   3]],Tabelle4[[#This Row],[Aufwand   4]])</f>
        <v>0</v>
      </c>
      <c r="DX212" s="105"/>
      <c r="DY212" s="105"/>
      <c r="DZ212" s="105"/>
      <c r="EA212" s="105"/>
      <c r="EB212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212" s="122">
        <f>Tabelle4[[#This Row],[Gesamaufwand]]/2000</f>
        <v>0</v>
      </c>
      <c r="ED212" s="47"/>
      <c r="EE212" s="47"/>
      <c r="EF212" s="47"/>
      <c r="EG212" s="47"/>
      <c r="EH212" s="47"/>
      <c r="EI212" s="47"/>
      <c r="EJ212" s="47"/>
      <c r="EK212" s="47"/>
      <c r="EL212" s="47"/>
    </row>
    <row r="213" spans="1:142">
      <c r="A213" s="255" t="s">
        <v>569</v>
      </c>
      <c r="B213" s="251" t="s">
        <v>105</v>
      </c>
      <c r="C213" s="254" t="s">
        <v>68</v>
      </c>
      <c r="D213" s="251" t="s">
        <v>913</v>
      </c>
      <c r="E213" s="251" t="s">
        <v>97</v>
      </c>
      <c r="F213" s="253">
        <v>3</v>
      </c>
      <c r="G213" s="253">
        <v>2</v>
      </c>
      <c r="H213" s="253"/>
      <c r="I213" s="254" t="s">
        <v>95</v>
      </c>
      <c r="J213" s="254"/>
      <c r="K213" s="105"/>
      <c r="L213" s="105"/>
      <c r="M213" s="48"/>
      <c r="N213" s="105"/>
      <c r="O213" s="255" t="s">
        <v>570</v>
      </c>
      <c r="P213" s="261">
        <v>2</v>
      </c>
      <c r="Q213" s="261">
        <v>0</v>
      </c>
      <c r="R213" s="261">
        <v>0</v>
      </c>
      <c r="S213" s="262" t="s">
        <v>307</v>
      </c>
      <c r="T213" s="263" t="s">
        <v>692</v>
      </c>
      <c r="U213" s="105"/>
      <c r="V213" s="259" t="s">
        <v>611</v>
      </c>
      <c r="W213" s="105" t="s">
        <v>6</v>
      </c>
      <c r="X213" s="105" t="s">
        <v>86</v>
      </c>
      <c r="Y213" s="105" t="s">
        <v>690</v>
      </c>
      <c r="Z213" s="105" t="s">
        <v>80</v>
      </c>
      <c r="AA213" s="105" t="s">
        <v>639</v>
      </c>
      <c r="AB213" s="105" t="s">
        <v>639</v>
      </c>
      <c r="AC213" s="105" t="s">
        <v>639</v>
      </c>
      <c r="AD213" s="105"/>
      <c r="AE213" s="105"/>
      <c r="AF213" s="105"/>
      <c r="AG213" s="105"/>
      <c r="AH213" s="115" t="s">
        <v>621</v>
      </c>
      <c r="AI213" s="115"/>
      <c r="AJ213" s="115"/>
      <c r="AK213" s="105"/>
      <c r="AL213" s="115"/>
      <c r="AM213" s="115"/>
      <c r="AN213" s="115"/>
      <c r="AO213" s="260">
        <f>Tabelle4[[#This Row],[Kredit-  / Budgetsumme
(RADAR: Gesamtkosten S)]]-Tabelle4[[#This Row],[Netto-Ausgaben Vorjahre ]]</f>
        <v>0</v>
      </c>
      <c r="AP213" s="310"/>
      <c r="AQ213" s="311"/>
      <c r="AR213" s="115">
        <f>Tabelle4[[#This Row],[Kreditrest per 1.1. aktuelles Jahr]]-Tabelle4[[#This Row],[Prognose 2018
(RADAR: Kosten 2018 S)]]</f>
        <v>0</v>
      </c>
      <c r="AS213" s="115"/>
      <c r="AT213" s="311"/>
      <c r="AU213" s="115"/>
      <c r="AV213" s="311"/>
      <c r="AW213" s="115"/>
      <c r="AX213" s="311"/>
      <c r="AY213" s="115"/>
      <c r="AZ213" s="311"/>
      <c r="BA213" s="115"/>
      <c r="BB213" s="311"/>
      <c r="BC213" s="115"/>
      <c r="BD213" s="311"/>
      <c r="BE213" s="115"/>
      <c r="BF213" s="311"/>
      <c r="BG213" s="115"/>
      <c r="BH213" s="311"/>
      <c r="BI213" s="115"/>
      <c r="BJ213" s="115"/>
      <c r="BK213" s="264"/>
      <c r="BL213" s="105"/>
      <c r="BM213" s="106">
        <v>0</v>
      </c>
      <c r="BN213" s="106"/>
      <c r="BO213" s="106">
        <v>0</v>
      </c>
      <c r="BP213" s="106"/>
      <c r="BQ213" s="106"/>
      <c r="BR213" s="106"/>
      <c r="BS213" s="106"/>
      <c r="BT213" s="108">
        <f>SUM(Tabelle4[[#This Row],[Projektverantwortung
(Lenkungsausschuss) ]:[Kommunikation ]])</f>
        <v>0</v>
      </c>
      <c r="BU213" s="105"/>
      <c r="BV213" s="106">
        <v>0</v>
      </c>
      <c r="BW213" s="106"/>
      <c r="BX213" s="106">
        <v>20</v>
      </c>
      <c r="BY213" s="106"/>
      <c r="BZ213" s="106"/>
      <c r="CA213" s="106"/>
      <c r="CB213" s="106"/>
      <c r="CC213" s="108">
        <f>SUM(Tabelle4[[#This Row],[Projektverantwortung
(Lenkungsausschuss)   ]:[Kommunikation   ]])</f>
        <v>20</v>
      </c>
      <c r="CD213" s="105"/>
      <c r="CE213" s="106">
        <v>0</v>
      </c>
      <c r="CF213" s="106"/>
      <c r="CG213" s="106">
        <v>8</v>
      </c>
      <c r="CH213" s="106"/>
      <c r="CI213" s="106"/>
      <c r="CJ213" s="106"/>
      <c r="CK213" s="106"/>
      <c r="CL213" s="108">
        <f>SUM(Tabelle4[[#This Row],[Projektverantwortung
(Lenkungsausschuss).]:[Kommunikation    ]])</f>
        <v>8</v>
      </c>
      <c r="CM213" s="105"/>
      <c r="CN213" s="106">
        <v>0</v>
      </c>
      <c r="CO213" s="106">
        <v>0</v>
      </c>
      <c r="CP213" s="106">
        <v>0</v>
      </c>
      <c r="CQ213" s="106">
        <v>0</v>
      </c>
      <c r="CR213" s="106">
        <v>0</v>
      </c>
      <c r="CS213" s="106">
        <v>0</v>
      </c>
      <c r="CT213" s="106">
        <v>0</v>
      </c>
      <c r="CU213" s="108">
        <f>SUM(Tabelle4[[#This Row],[Projektverantwortung
(Lenkungsausschuss)    ]:[Kommunikation     ]])</f>
        <v>0</v>
      </c>
      <c r="CV213" s="107">
        <f>SUM(Tabelle4[[#This Row],[Total Aufwand
1. Quartal 2018]],Tabelle4[[#This Row],[Total Aufwand
2. Quartal 2018]],Tabelle4[[#This Row],[Total Aufwand
3. Quartal 2018]],Tabelle4[[#This Row],[Total Aufwand
4. Quartal 2018]])</f>
        <v>28</v>
      </c>
      <c r="CW213" s="105"/>
      <c r="CX213" s="105"/>
      <c r="CY213" s="105"/>
      <c r="CZ213" s="105"/>
      <c r="DA213" s="105"/>
      <c r="DB213" s="105"/>
      <c r="DC213" s="105"/>
      <c r="DD213" s="105"/>
      <c r="DE213" s="107">
        <f>SUM(Tabelle4[[#This Row],[Aufwand ]],Tabelle4[[#This Row],[Aufwand 2]],Tabelle4[[#This Row],[Aufwand 3]],Tabelle4[[#This Row],[Aufwand 4]])</f>
        <v>0</v>
      </c>
      <c r="DF213" s="105"/>
      <c r="DG213" s="105"/>
      <c r="DH213" s="105"/>
      <c r="DI213" s="105"/>
      <c r="DJ213" s="105"/>
      <c r="DK213" s="105"/>
      <c r="DL213" s="105"/>
      <c r="DM213" s="105"/>
      <c r="DN213" s="107">
        <f>SUM(Tabelle4[[#This Row],[Aufwand  ]],Tabelle4[[#This Row],[Aufwand  2]],Tabelle4[[#This Row],[Aufwand  3]],Tabelle4[[#This Row],[Aufwand  4]])</f>
        <v>0</v>
      </c>
      <c r="DO213" s="105"/>
      <c r="DP213" s="105"/>
      <c r="DQ213" s="105"/>
      <c r="DR213" s="105"/>
      <c r="DS213" s="105"/>
      <c r="DT213" s="105"/>
      <c r="DU213" s="105"/>
      <c r="DV213" s="105"/>
      <c r="DW213" s="107">
        <f>SUM(Tabelle4[[#This Row],[Aufwand   ]],Tabelle4[[#This Row],[Aufwand   2]],Tabelle4[[#This Row],[Aufwand   3]],Tabelle4[[#This Row],[Aufwand   4]])</f>
        <v>0</v>
      </c>
      <c r="DX213" s="105"/>
      <c r="DY213" s="105"/>
      <c r="DZ213" s="105"/>
      <c r="EA213" s="105"/>
      <c r="EB213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28</v>
      </c>
      <c r="EC213" s="122">
        <f>Tabelle4[[#This Row],[Gesamaufwand]]/2000</f>
        <v>1.4E-2</v>
      </c>
      <c r="ED213" s="47"/>
      <c r="EE213" s="47"/>
      <c r="EF213" s="47"/>
      <c r="EG213" s="47"/>
      <c r="EH213" s="47"/>
      <c r="EI213" s="47"/>
      <c r="EJ213" s="47"/>
      <c r="EK213" s="47"/>
      <c r="EL213" s="47"/>
    </row>
    <row r="214" spans="1:142">
      <c r="A214" s="255" t="s">
        <v>382</v>
      </c>
      <c r="B214" s="251" t="s">
        <v>694</v>
      </c>
      <c r="C214" s="254" t="s">
        <v>67</v>
      </c>
      <c r="D214" s="251" t="s">
        <v>780</v>
      </c>
      <c r="E214" s="251" t="s">
        <v>778</v>
      </c>
      <c r="F214" s="253">
        <v>2</v>
      </c>
      <c r="G214" s="253">
        <v>1</v>
      </c>
      <c r="H214" s="253"/>
      <c r="I214" s="254" t="s">
        <v>95</v>
      </c>
      <c r="J214" s="254"/>
      <c r="K214" s="105"/>
      <c r="L214" s="105"/>
      <c r="M214" s="48"/>
      <c r="N214" s="105"/>
      <c r="O214" s="255" t="s">
        <v>383</v>
      </c>
      <c r="P214" s="261">
        <v>1</v>
      </c>
      <c r="Q214" s="261">
        <v>0</v>
      </c>
      <c r="R214" s="261">
        <v>0</v>
      </c>
      <c r="S214" s="262" t="s">
        <v>384</v>
      </c>
      <c r="T214" s="263" t="s">
        <v>674</v>
      </c>
      <c r="U214" s="105"/>
      <c r="V214" s="259" t="s">
        <v>12</v>
      </c>
      <c r="W214" s="105" t="s">
        <v>6</v>
      </c>
      <c r="X214" s="105" t="s">
        <v>86</v>
      </c>
      <c r="Y214" s="105" t="s">
        <v>690</v>
      </c>
      <c r="Z214" s="105" t="s">
        <v>81</v>
      </c>
      <c r="AA214" s="105" t="s">
        <v>690</v>
      </c>
      <c r="AB214" s="110" t="s">
        <v>690</v>
      </c>
      <c r="AC214" s="105" t="s">
        <v>690</v>
      </c>
      <c r="AD214" s="105"/>
      <c r="AE214" s="105"/>
      <c r="AF214" s="105"/>
      <c r="AG214" s="105"/>
      <c r="AH214" s="260" t="s">
        <v>802</v>
      </c>
      <c r="AI214" s="115"/>
      <c r="AJ214" s="115"/>
      <c r="AK214" s="105"/>
      <c r="AL214" s="115"/>
      <c r="AM214" s="115"/>
      <c r="AN214" s="115"/>
      <c r="AO214" s="260">
        <f>Tabelle4[[#This Row],[Kredit-  / Budgetsumme
(RADAR: Gesamtkosten S)]]-Tabelle4[[#This Row],[Netto-Ausgaben Vorjahre ]]</f>
        <v>0</v>
      </c>
      <c r="AP214" s="310"/>
      <c r="AQ214" s="311"/>
      <c r="AR214" s="115">
        <f>Tabelle4[[#This Row],[Kreditrest per 1.1. aktuelles Jahr]]-Tabelle4[[#This Row],[Prognose 2018
(RADAR: Kosten 2018 S)]]</f>
        <v>0</v>
      </c>
      <c r="AS214" s="115"/>
      <c r="AT214" s="311"/>
      <c r="AU214" s="115"/>
      <c r="AV214" s="311"/>
      <c r="AW214" s="115"/>
      <c r="AX214" s="311"/>
      <c r="AY214" s="115"/>
      <c r="AZ214" s="311"/>
      <c r="BA214" s="115"/>
      <c r="BB214" s="311"/>
      <c r="BC214" s="115"/>
      <c r="BD214" s="311"/>
      <c r="BE214" s="115"/>
      <c r="BF214" s="311"/>
      <c r="BG214" s="115"/>
      <c r="BH214" s="311"/>
      <c r="BI214" s="115"/>
      <c r="BJ214" s="115"/>
      <c r="BK214" s="264"/>
      <c r="BL214" s="105"/>
      <c r="BM214" s="106"/>
      <c r="BN214" s="106"/>
      <c r="BO214" s="106"/>
      <c r="BP214" s="106"/>
      <c r="BQ214" s="106"/>
      <c r="BR214" s="106"/>
      <c r="BS214" s="106"/>
      <c r="BT214" s="108">
        <f>SUM(Tabelle4[[#This Row],[Projektverantwortung
(Lenkungsausschuss) ]:[Kommunikation ]])</f>
        <v>0</v>
      </c>
      <c r="BU214" s="105"/>
      <c r="BV214" s="106"/>
      <c r="BW214" s="106"/>
      <c r="BX214" s="106"/>
      <c r="BY214" s="106"/>
      <c r="BZ214" s="106"/>
      <c r="CA214" s="106"/>
      <c r="CB214" s="106"/>
      <c r="CC214" s="108">
        <f>SUM(Tabelle4[[#This Row],[Projektverantwortung
(Lenkungsausschuss)   ]:[Kommunikation   ]])</f>
        <v>0</v>
      </c>
      <c r="CD214" s="105"/>
      <c r="CE214" s="106"/>
      <c r="CF214" s="106"/>
      <c r="CG214" s="106"/>
      <c r="CH214" s="106"/>
      <c r="CI214" s="106"/>
      <c r="CJ214" s="106"/>
      <c r="CK214" s="106"/>
      <c r="CL214" s="108">
        <f>SUM(Tabelle4[[#This Row],[Projektverantwortung
(Lenkungsausschuss).]:[Kommunikation    ]])</f>
        <v>0</v>
      </c>
      <c r="CM214" s="105"/>
      <c r="CN214" s="106"/>
      <c r="CO214" s="106"/>
      <c r="CP214" s="106"/>
      <c r="CQ214" s="106"/>
      <c r="CR214" s="106"/>
      <c r="CS214" s="106"/>
      <c r="CT214" s="106"/>
      <c r="CU214" s="108">
        <f>SUM(Tabelle4[[#This Row],[Projektverantwortung
(Lenkungsausschuss)    ]:[Kommunikation     ]])</f>
        <v>0</v>
      </c>
      <c r="CV214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214" s="105"/>
      <c r="CX214" s="105"/>
      <c r="CY214" s="105"/>
      <c r="CZ214" s="105"/>
      <c r="DA214" s="105"/>
      <c r="DB214" s="105"/>
      <c r="DC214" s="105"/>
      <c r="DD214" s="105"/>
      <c r="DE214" s="107">
        <f>SUM(Tabelle4[[#This Row],[Aufwand ]],Tabelle4[[#This Row],[Aufwand 2]],Tabelle4[[#This Row],[Aufwand 3]],Tabelle4[[#This Row],[Aufwand 4]])</f>
        <v>0</v>
      </c>
      <c r="DF214" s="105"/>
      <c r="DG214" s="105"/>
      <c r="DH214" s="105"/>
      <c r="DI214" s="105"/>
      <c r="DJ214" s="105"/>
      <c r="DK214" s="105"/>
      <c r="DL214" s="105"/>
      <c r="DM214" s="105"/>
      <c r="DN214" s="107">
        <f>SUM(Tabelle4[[#This Row],[Aufwand  ]],Tabelle4[[#This Row],[Aufwand  2]],Tabelle4[[#This Row],[Aufwand  3]],Tabelle4[[#This Row],[Aufwand  4]])</f>
        <v>0</v>
      </c>
      <c r="DO214" s="105"/>
      <c r="DP214" s="105"/>
      <c r="DQ214" s="105"/>
      <c r="DR214" s="105"/>
      <c r="DS214" s="105"/>
      <c r="DT214" s="105"/>
      <c r="DU214" s="105"/>
      <c r="DV214" s="105"/>
      <c r="DW214" s="107">
        <f>SUM(Tabelle4[[#This Row],[Aufwand   ]],Tabelle4[[#This Row],[Aufwand   2]],Tabelle4[[#This Row],[Aufwand   3]],Tabelle4[[#This Row],[Aufwand   4]])</f>
        <v>0</v>
      </c>
      <c r="DX214" s="105"/>
      <c r="DY214" s="105"/>
      <c r="DZ214" s="105"/>
      <c r="EA214" s="105"/>
      <c r="EB214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214" s="122">
        <f>Tabelle4[[#This Row],[Gesamaufwand]]/2000</f>
        <v>0</v>
      </c>
      <c r="ED214" s="47"/>
      <c r="EE214" s="47"/>
      <c r="EF214" s="47"/>
      <c r="EG214" s="47"/>
      <c r="EH214" s="47"/>
      <c r="EI214" s="47"/>
      <c r="EJ214" s="47"/>
      <c r="EK214" s="47"/>
      <c r="EL214" s="47"/>
    </row>
    <row r="215" spans="1:142">
      <c r="A215" s="255" t="s">
        <v>1214</v>
      </c>
      <c r="B215" s="251"/>
      <c r="C215" s="254"/>
      <c r="D215" s="251"/>
      <c r="E215" s="251"/>
      <c r="F215" s="253"/>
      <c r="G215" s="253"/>
      <c r="H215" s="253"/>
      <c r="I215" s="254"/>
      <c r="J215" s="254"/>
      <c r="K215" s="105"/>
      <c r="L215" s="105"/>
      <c r="M215" s="48"/>
      <c r="N215" s="105"/>
      <c r="O215" s="255"/>
      <c r="P215" s="261"/>
      <c r="Q215" s="261"/>
      <c r="R215" s="261"/>
      <c r="S215" s="262"/>
      <c r="T215" s="263"/>
      <c r="U215" s="105"/>
      <c r="V215" s="259"/>
      <c r="W215" s="105"/>
      <c r="X215" s="105"/>
      <c r="Y215" s="105"/>
      <c r="Z215" s="105"/>
      <c r="AA215" s="105"/>
      <c r="AB215" s="105"/>
      <c r="AC215" s="105"/>
      <c r="AD215" s="105"/>
      <c r="AE215" s="105"/>
      <c r="AF215" s="105"/>
      <c r="AG215" s="105"/>
      <c r="AH215" s="115" t="s">
        <v>1089</v>
      </c>
      <c r="AI215" s="115"/>
      <c r="AJ215" s="115"/>
      <c r="AK215" s="105"/>
      <c r="AL215" s="115"/>
      <c r="AM215" s="115"/>
      <c r="AN215" s="115"/>
      <c r="AO215" s="115"/>
      <c r="AP215" s="311"/>
      <c r="AQ215" s="311">
        <v>25000</v>
      </c>
      <c r="AR215" s="115"/>
      <c r="AS215" s="115"/>
      <c r="AT215" s="311"/>
      <c r="AU215" s="115"/>
      <c r="AV215" s="311"/>
      <c r="AW215" s="115"/>
      <c r="AX215" s="311"/>
      <c r="AY215" s="115"/>
      <c r="AZ215" s="311"/>
      <c r="BA215" s="115"/>
      <c r="BB215" s="311"/>
      <c r="BC215" s="115"/>
      <c r="BD215" s="311"/>
      <c r="BE215" s="115"/>
      <c r="BF215" s="311"/>
      <c r="BG215" s="115"/>
      <c r="BH215" s="311"/>
      <c r="BI215" s="115"/>
      <c r="BJ215" s="115"/>
      <c r="BK215" s="115"/>
      <c r="BL215" s="105"/>
      <c r="BM215" s="106"/>
      <c r="BN215" s="106"/>
      <c r="BO215" s="106"/>
      <c r="BP215" s="106"/>
      <c r="BQ215" s="106"/>
      <c r="BR215" s="106"/>
      <c r="BS215" s="106"/>
      <c r="BT215" s="108">
        <f>SUM(Tabelle4[[#This Row],[Projektverantwortung
(Lenkungsausschuss) ]:[Kommunikation ]])</f>
        <v>0</v>
      </c>
      <c r="BU215" s="108"/>
      <c r="BV215" s="151"/>
      <c r="BW215" s="151"/>
      <c r="BX215" s="151"/>
      <c r="BY215" s="151"/>
      <c r="BZ215" s="151"/>
      <c r="CA215" s="151"/>
      <c r="CB215" s="151"/>
      <c r="CC215" s="108">
        <f>SUM(Tabelle4[[#This Row],[Projektverantwortung
(Lenkungsausschuss)   ]:[Kommunikation   ]])</f>
        <v>0</v>
      </c>
      <c r="CD215" s="108"/>
      <c r="CE215" s="151"/>
      <c r="CF215" s="151"/>
      <c r="CG215" s="151"/>
      <c r="CH215" s="151"/>
      <c r="CI215" s="151"/>
      <c r="CJ215" s="151"/>
      <c r="CK215" s="151"/>
      <c r="CL215" s="108">
        <f>SUM(Tabelle4[[#This Row],[Projektverantwortung
(Lenkungsausschuss).]:[Kommunikation    ]])</f>
        <v>0</v>
      </c>
      <c r="CM215" s="108"/>
      <c r="CN215" s="151"/>
      <c r="CO215" s="151"/>
      <c r="CP215" s="151"/>
      <c r="CQ215" s="151"/>
      <c r="CR215" s="151"/>
      <c r="CS215" s="151"/>
      <c r="CT215" s="151"/>
      <c r="CU215" s="108">
        <f>SUM(Tabelle4[[#This Row],[Projektverantwortung
(Lenkungsausschuss)    ]:[Kommunikation     ]])</f>
        <v>0</v>
      </c>
      <c r="CV215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215" s="105"/>
      <c r="CX215" s="105"/>
      <c r="CY215" s="116"/>
      <c r="CZ215" s="105"/>
      <c r="DA215" s="116"/>
      <c r="DB215" s="105"/>
      <c r="DC215" s="116"/>
      <c r="DD215" s="105"/>
      <c r="DE215" s="107">
        <f>SUM(Tabelle4[[#This Row],[Aufwand ]],Tabelle4[[#This Row],[Aufwand 2]],Tabelle4[[#This Row],[Aufwand 3]],Tabelle4[[#This Row],[Aufwand 4]])</f>
        <v>0</v>
      </c>
      <c r="DF215" s="116"/>
      <c r="DG215" s="105"/>
      <c r="DH215" s="105"/>
      <c r="DI215" s="116"/>
      <c r="DJ215" s="105"/>
      <c r="DK215" s="116"/>
      <c r="DL215" s="105"/>
      <c r="DM215" s="116"/>
      <c r="DN215" s="107">
        <f>SUM(Tabelle4[[#This Row],[Aufwand  ]],Tabelle4[[#This Row],[Aufwand  2]],Tabelle4[[#This Row],[Aufwand  3]],Tabelle4[[#This Row],[Aufwand  4]])</f>
        <v>0</v>
      </c>
      <c r="DO215" s="116"/>
      <c r="DP215" s="116"/>
      <c r="DQ215" s="116"/>
      <c r="DR215" s="105"/>
      <c r="DS215" s="105"/>
      <c r="DT215" s="116"/>
      <c r="DU215" s="105"/>
      <c r="DV215" s="116"/>
      <c r="DW215" s="107" t="e">
        <f>#REF!</f>
        <v>#REF!</v>
      </c>
      <c r="DX215" s="116"/>
      <c r="DY215" s="152"/>
      <c r="DZ215" s="105"/>
      <c r="EA215" s="180"/>
      <c r="EB215" s="181" t="e">
        <f>#REF!</f>
        <v>#REF!</v>
      </c>
      <c r="EC215" s="109"/>
      <c r="ED215" s="47"/>
      <c r="EE215" s="47"/>
      <c r="EF215" s="47"/>
      <c r="EG215" s="47"/>
      <c r="EH215" s="47"/>
      <c r="EI215" s="47"/>
      <c r="EJ215" s="47"/>
      <c r="EK215" s="47"/>
      <c r="EL215" s="47"/>
    </row>
    <row r="216" spans="1:142">
      <c r="A216" s="288" t="s">
        <v>1215</v>
      </c>
      <c r="B216" s="289"/>
      <c r="C216" s="290"/>
      <c r="D216" s="289"/>
      <c r="E216" s="289"/>
      <c r="F216" s="291"/>
      <c r="G216" s="291"/>
      <c r="H216" s="291"/>
      <c r="I216" s="290"/>
      <c r="J216" s="290"/>
      <c r="K216" s="217"/>
      <c r="L216" s="217"/>
      <c r="M216" s="318"/>
      <c r="N216" s="217"/>
      <c r="O216" s="288"/>
      <c r="P216" s="292"/>
      <c r="Q216" s="292"/>
      <c r="R216" s="292"/>
      <c r="S216" s="293"/>
      <c r="T216" s="294"/>
      <c r="U216" s="217"/>
      <c r="V216" s="295"/>
      <c r="W216" s="217"/>
      <c r="X216" s="217"/>
      <c r="Y216" s="217"/>
      <c r="Z216" s="217"/>
      <c r="AA216" s="217"/>
      <c r="AB216" s="217"/>
      <c r="AC216" s="217"/>
      <c r="AD216" s="217"/>
      <c r="AE216" s="217"/>
      <c r="AF216" s="217"/>
      <c r="AG216" s="217"/>
      <c r="AH216" s="296" t="s">
        <v>1089</v>
      </c>
      <c r="AI216" s="296"/>
      <c r="AJ216" s="296"/>
      <c r="AK216" s="217"/>
      <c r="AL216" s="296"/>
      <c r="AM216" s="296"/>
      <c r="AN216" s="296"/>
      <c r="AO216" s="296"/>
      <c r="AP216" s="314"/>
      <c r="AQ216" s="314">
        <v>10000</v>
      </c>
      <c r="AR216" s="296"/>
      <c r="AS216" s="296"/>
      <c r="AT216" s="314"/>
      <c r="AU216" s="296"/>
      <c r="AV216" s="314"/>
      <c r="AW216" s="296"/>
      <c r="AX216" s="314"/>
      <c r="AY216" s="296"/>
      <c r="AZ216" s="314"/>
      <c r="BA216" s="296"/>
      <c r="BB216" s="314"/>
      <c r="BC216" s="296"/>
      <c r="BD216" s="314"/>
      <c r="BE216" s="296"/>
      <c r="BF216" s="314"/>
      <c r="BG216" s="296"/>
      <c r="BH216" s="314"/>
      <c r="BI216" s="296"/>
      <c r="BJ216" s="296"/>
      <c r="BK216" s="296"/>
      <c r="BL216" s="217"/>
      <c r="BM216" s="218"/>
      <c r="BN216" s="218"/>
      <c r="BO216" s="218"/>
      <c r="BP216" s="218"/>
      <c r="BQ216" s="218"/>
      <c r="BR216" s="218"/>
      <c r="BS216" s="218"/>
      <c r="BT216" s="219">
        <f>SUM(Tabelle4[[#This Row],[Projektverantwortung
(Lenkungsausschuss) ]:[Kommunikation ]])</f>
        <v>0</v>
      </c>
      <c r="BU216" s="219"/>
      <c r="BV216" s="220"/>
      <c r="BW216" s="220"/>
      <c r="BX216" s="220"/>
      <c r="BY216" s="220"/>
      <c r="BZ216" s="220"/>
      <c r="CA216" s="220"/>
      <c r="CB216" s="220"/>
      <c r="CC216" s="219">
        <f>SUM(Tabelle4[[#This Row],[Projektverantwortung
(Lenkungsausschuss)   ]:[Kommunikation   ]])</f>
        <v>0</v>
      </c>
      <c r="CD216" s="219"/>
      <c r="CE216" s="220"/>
      <c r="CF216" s="220"/>
      <c r="CG216" s="220"/>
      <c r="CH216" s="220"/>
      <c r="CI216" s="220"/>
      <c r="CJ216" s="220"/>
      <c r="CK216" s="220"/>
      <c r="CL216" s="219">
        <f>SUM(Tabelle4[[#This Row],[Projektverantwortung
(Lenkungsausschuss).]:[Kommunikation    ]])</f>
        <v>0</v>
      </c>
      <c r="CM216" s="219"/>
      <c r="CN216" s="220"/>
      <c r="CO216" s="220"/>
      <c r="CP216" s="220"/>
      <c r="CQ216" s="220"/>
      <c r="CR216" s="220"/>
      <c r="CS216" s="220"/>
      <c r="CT216" s="220"/>
      <c r="CU216" s="219">
        <f>SUM(Tabelle4[[#This Row],[Projektverantwortung
(Lenkungsausschuss)    ]:[Kommunikation     ]])</f>
        <v>0</v>
      </c>
      <c r="CV216" s="221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216" s="217"/>
      <c r="CX216" s="217"/>
      <c r="CY216" s="222"/>
      <c r="CZ216" s="217"/>
      <c r="DA216" s="222"/>
      <c r="DB216" s="217"/>
      <c r="DC216" s="222"/>
      <c r="DD216" s="217"/>
      <c r="DE216" s="221">
        <f>SUM(Tabelle4[[#This Row],[Aufwand ]],Tabelle4[[#This Row],[Aufwand 2]],Tabelle4[[#This Row],[Aufwand 3]],Tabelle4[[#This Row],[Aufwand 4]])</f>
        <v>0</v>
      </c>
      <c r="DF216" s="222"/>
      <c r="DG216" s="217"/>
      <c r="DH216" s="217"/>
      <c r="DI216" s="222"/>
      <c r="DJ216" s="217"/>
      <c r="DK216" s="222"/>
      <c r="DL216" s="217"/>
      <c r="DM216" s="222"/>
      <c r="DN216" s="221">
        <f>SUM(Tabelle4[[#This Row],[Aufwand  ]],Tabelle4[[#This Row],[Aufwand  2]],Tabelle4[[#This Row],[Aufwand  3]],Tabelle4[[#This Row],[Aufwand  4]])</f>
        <v>0</v>
      </c>
      <c r="DO216" s="222"/>
      <c r="DP216" s="222"/>
      <c r="DQ216" s="222"/>
      <c r="DR216" s="217"/>
      <c r="DS216" s="217"/>
      <c r="DT216" s="222"/>
      <c r="DU216" s="217"/>
      <c r="DV216" s="222"/>
      <c r="DW216" s="221" t="e">
        <f>#REF!</f>
        <v>#REF!</v>
      </c>
      <c r="DX216" s="222"/>
      <c r="DY216" s="223"/>
      <c r="DZ216" s="217"/>
      <c r="EA216" s="224"/>
      <c r="EB216" s="225" t="e">
        <f>#REF!</f>
        <v>#REF!</v>
      </c>
      <c r="EC216" s="226"/>
      <c r="ED216" s="47"/>
      <c r="EE216" s="47"/>
      <c r="EF216" s="47"/>
      <c r="EG216" s="47"/>
      <c r="EH216" s="47"/>
      <c r="EI216" s="47"/>
      <c r="EJ216" s="47"/>
      <c r="EK216" s="47"/>
      <c r="EL216" s="47"/>
    </row>
    <row r="217" spans="1:142">
      <c r="A217" s="255" t="s">
        <v>162</v>
      </c>
      <c r="B217" s="251" t="s">
        <v>105</v>
      </c>
      <c r="C217" s="254" t="s">
        <v>75</v>
      </c>
      <c r="D217" s="251"/>
      <c r="E217" s="251"/>
      <c r="F217" s="253"/>
      <c r="G217" s="253"/>
      <c r="H217" s="253"/>
      <c r="I217" s="254"/>
      <c r="J217" s="254"/>
      <c r="K217" s="105"/>
      <c r="L217" s="105"/>
      <c r="M217" s="48"/>
      <c r="N217" s="105"/>
      <c r="O217" s="255" t="s">
        <v>163</v>
      </c>
      <c r="P217" s="261">
        <v>3</v>
      </c>
      <c r="Q217" s="261">
        <v>0</v>
      </c>
      <c r="R217" s="261">
        <v>0</v>
      </c>
      <c r="S217" s="262" t="s">
        <v>164</v>
      </c>
      <c r="T217" s="263" t="s">
        <v>75</v>
      </c>
      <c r="U217" s="105"/>
      <c r="V217" s="259" t="s">
        <v>615</v>
      </c>
      <c r="W217" s="105" t="s">
        <v>6</v>
      </c>
      <c r="X217" s="105" t="s">
        <v>690</v>
      </c>
      <c r="Y217" s="105" t="s">
        <v>690</v>
      </c>
      <c r="Z217" s="105" t="s">
        <v>81</v>
      </c>
      <c r="AA217" s="105" t="s">
        <v>690</v>
      </c>
      <c r="AB217" s="110" t="s">
        <v>690</v>
      </c>
      <c r="AC217" s="105" t="s">
        <v>690</v>
      </c>
      <c r="AD217" s="105"/>
      <c r="AE217" s="105"/>
      <c r="AF217" s="105"/>
      <c r="AG217" s="105"/>
      <c r="AH217" s="115" t="s">
        <v>690</v>
      </c>
      <c r="AI217" s="115"/>
      <c r="AJ217" s="115"/>
      <c r="AK217" s="105"/>
      <c r="AL217" s="115"/>
      <c r="AM217" s="115"/>
      <c r="AN217" s="115"/>
      <c r="AO217" s="260">
        <f>Tabelle4[[#This Row],[Kredit-  / Budgetsumme
(RADAR: Gesamtkosten S)]]-Tabelle4[[#This Row],[Netto-Ausgaben Vorjahre ]]</f>
        <v>0</v>
      </c>
      <c r="AP217" s="310"/>
      <c r="AQ217" s="311"/>
      <c r="AR217" s="115">
        <f>Tabelle4[[#This Row],[Kreditrest per 1.1. aktuelles Jahr]]-Tabelle4[[#This Row],[Prognose 2018
(RADAR: Kosten 2018 S)]]</f>
        <v>0</v>
      </c>
      <c r="AS217" s="115"/>
      <c r="AT217" s="311"/>
      <c r="AU217" s="115"/>
      <c r="AV217" s="311"/>
      <c r="AW217" s="115"/>
      <c r="AX217" s="311"/>
      <c r="AY217" s="115"/>
      <c r="AZ217" s="311"/>
      <c r="BA217" s="115"/>
      <c r="BB217" s="311"/>
      <c r="BC217" s="115"/>
      <c r="BD217" s="311"/>
      <c r="BE217" s="115"/>
      <c r="BF217" s="311"/>
      <c r="BG217" s="115"/>
      <c r="BH217" s="311"/>
      <c r="BI217" s="115"/>
      <c r="BJ217" s="115"/>
      <c r="BK217" s="264"/>
      <c r="BL217" s="105"/>
      <c r="BM217" s="106"/>
      <c r="BN217" s="106"/>
      <c r="BO217" s="106">
        <v>20</v>
      </c>
      <c r="BP217" s="106"/>
      <c r="BQ217" s="106"/>
      <c r="BR217" s="106"/>
      <c r="BS217" s="106"/>
      <c r="BT217" s="108">
        <f>SUM(Tabelle4[[#This Row],[Projektverantwortung
(Lenkungsausschuss) ]:[Kommunikation ]])</f>
        <v>20</v>
      </c>
      <c r="BU217" s="105"/>
      <c r="BV217" s="106">
        <v>0</v>
      </c>
      <c r="BW217" s="106"/>
      <c r="BX217" s="106" t="s">
        <v>75</v>
      </c>
      <c r="BY217" s="106"/>
      <c r="BZ217" s="106"/>
      <c r="CA217" s="106"/>
      <c r="CB217" s="106"/>
      <c r="CC217" s="108">
        <f>SUM(Tabelle4[[#This Row],[Projektverantwortung
(Lenkungsausschuss)   ]:[Kommunikation   ]])</f>
        <v>0</v>
      </c>
      <c r="CD217" s="105"/>
      <c r="CE217" s="106"/>
      <c r="CF217" s="106"/>
      <c r="CG217" s="106"/>
      <c r="CH217" s="106"/>
      <c r="CI217" s="106"/>
      <c r="CJ217" s="106"/>
      <c r="CK217" s="106"/>
      <c r="CL217" s="108">
        <f>SUM(Tabelle4[[#This Row],[Projektverantwortung
(Lenkungsausschuss).]:[Kommunikation    ]])</f>
        <v>0</v>
      </c>
      <c r="CM217" s="105"/>
      <c r="CN217" s="106"/>
      <c r="CO217" s="106"/>
      <c r="CP217" s="106"/>
      <c r="CQ217" s="106"/>
      <c r="CR217" s="106"/>
      <c r="CS217" s="106"/>
      <c r="CT217" s="106"/>
      <c r="CU217" s="108">
        <f>SUM(Tabelle4[[#This Row],[Projektverantwortung
(Lenkungsausschuss)    ]:[Kommunikation     ]])</f>
        <v>0</v>
      </c>
      <c r="CV217" s="107">
        <f>SUM(Tabelle4[[#This Row],[Total Aufwand
1. Quartal 2018]],Tabelle4[[#This Row],[Total Aufwand
2. Quartal 2018]],Tabelle4[[#This Row],[Total Aufwand
3. Quartal 2018]],Tabelle4[[#This Row],[Total Aufwand
4. Quartal 2018]])</f>
        <v>20</v>
      </c>
      <c r="CW217" s="105"/>
      <c r="CX217" s="105"/>
      <c r="CY217" s="105"/>
      <c r="CZ217" s="105"/>
      <c r="DA217" s="105"/>
      <c r="DB217" s="105"/>
      <c r="DC217" s="105"/>
      <c r="DD217" s="105"/>
      <c r="DE217" s="107">
        <f>SUM(Tabelle4[[#This Row],[Aufwand ]],Tabelle4[[#This Row],[Aufwand 2]],Tabelle4[[#This Row],[Aufwand 3]],Tabelle4[[#This Row],[Aufwand 4]])</f>
        <v>0</v>
      </c>
      <c r="DF217" s="105"/>
      <c r="DG217" s="105"/>
      <c r="DH217" s="105"/>
      <c r="DI217" s="105"/>
      <c r="DJ217" s="105"/>
      <c r="DK217" s="105"/>
      <c r="DL217" s="105"/>
      <c r="DM217" s="105"/>
      <c r="DN217" s="107">
        <f>SUM(Tabelle4[[#This Row],[Aufwand  ]],Tabelle4[[#This Row],[Aufwand  2]],Tabelle4[[#This Row],[Aufwand  3]],Tabelle4[[#This Row],[Aufwand  4]])</f>
        <v>0</v>
      </c>
      <c r="DO217" s="105"/>
      <c r="DP217" s="105"/>
      <c r="DQ217" s="105"/>
      <c r="DR217" s="105"/>
      <c r="DS217" s="105"/>
      <c r="DT217" s="105"/>
      <c r="DU217" s="105"/>
      <c r="DV217" s="105"/>
      <c r="DW217" s="107">
        <f>SUM(Tabelle4[[#This Row],[Aufwand   ]],Tabelle4[[#This Row],[Aufwand   2]],Tabelle4[[#This Row],[Aufwand   3]],Tabelle4[[#This Row],[Aufwand   4]])</f>
        <v>0</v>
      </c>
      <c r="DX217" s="105"/>
      <c r="DY217" s="105"/>
      <c r="DZ217" s="105"/>
      <c r="EA217" s="105"/>
      <c r="EB217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20</v>
      </c>
      <c r="EC217" s="122">
        <f>Tabelle4[[#This Row],[Gesamaufwand]]/2000</f>
        <v>0.01</v>
      </c>
      <c r="ED217" s="47"/>
      <c r="EE217" s="47"/>
      <c r="EF217" s="47"/>
      <c r="EG217" s="47"/>
      <c r="EH217" s="47"/>
      <c r="EI217" s="47"/>
      <c r="EJ217" s="47"/>
      <c r="EK217" s="47"/>
      <c r="EL217" s="47"/>
    </row>
    <row r="218" spans="1:142">
      <c r="A218" s="248" t="s">
        <v>852</v>
      </c>
      <c r="B218" s="249"/>
      <c r="C218" s="250"/>
      <c r="D218" s="251" t="s">
        <v>914</v>
      </c>
      <c r="E218" s="251" t="s">
        <v>859</v>
      </c>
      <c r="F218" s="252">
        <v>2</v>
      </c>
      <c r="G218" s="252">
        <v>1</v>
      </c>
      <c r="H218" s="252"/>
      <c r="I218" s="250" t="s">
        <v>95</v>
      </c>
      <c r="J218" s="250"/>
      <c r="K218" s="110"/>
      <c r="L218" s="110"/>
      <c r="M218" s="77"/>
      <c r="N218" s="110"/>
      <c r="O218" s="255" t="s">
        <v>690</v>
      </c>
      <c r="P218" s="256"/>
      <c r="Q218" s="256"/>
      <c r="R218" s="256"/>
      <c r="S218" s="257"/>
      <c r="T218" s="258" t="s">
        <v>673</v>
      </c>
      <c r="U218" s="110"/>
      <c r="V218" s="259" t="s">
        <v>12</v>
      </c>
      <c r="W218" s="105" t="s">
        <v>8</v>
      </c>
      <c r="X218" s="110" t="s">
        <v>10</v>
      </c>
      <c r="Y218" s="110"/>
      <c r="Z218" s="110" t="s">
        <v>84</v>
      </c>
      <c r="AA218" s="110"/>
      <c r="AB218" s="110"/>
      <c r="AC218" s="110"/>
      <c r="AD218" s="105"/>
      <c r="AE218" s="110"/>
      <c r="AF218" s="110"/>
      <c r="AG218" s="110"/>
      <c r="AH218" s="115" t="s">
        <v>621</v>
      </c>
      <c r="AI218" s="260"/>
      <c r="AJ218" s="260"/>
      <c r="AK218" s="110"/>
      <c r="AL218" s="260"/>
      <c r="AM218" s="260"/>
      <c r="AN218" s="260"/>
      <c r="AO218" s="260">
        <f>Tabelle4[[#This Row],[Kredit-  / Budgetsumme
(RADAR: Gesamtkosten S)]]-Tabelle4[[#This Row],[Netto-Ausgaben Vorjahre ]]</f>
        <v>0</v>
      </c>
      <c r="AP218" s="310"/>
      <c r="AQ218" s="310"/>
      <c r="AR218" s="260">
        <f>Tabelle4[[#This Row],[Kreditrest per 1.1. aktuelles Jahr]]-Tabelle4[[#This Row],[Prognose 2018
(RADAR: Kosten 2018 S)]]</f>
        <v>0</v>
      </c>
      <c r="AS218" s="260"/>
      <c r="AT218" s="310"/>
      <c r="AU218" s="260"/>
      <c r="AV218" s="310"/>
      <c r="AW218" s="260"/>
      <c r="AX218" s="310"/>
      <c r="AY218" s="260"/>
      <c r="AZ218" s="310"/>
      <c r="BA218" s="260"/>
      <c r="BB218" s="310"/>
      <c r="BC218" s="260"/>
      <c r="BD218" s="310"/>
      <c r="BE218" s="260"/>
      <c r="BF218" s="310"/>
      <c r="BG218" s="260"/>
      <c r="BH218" s="310"/>
      <c r="BI218" s="260"/>
      <c r="BJ218" s="260"/>
      <c r="BK218" s="260"/>
      <c r="BL218" s="105"/>
      <c r="BM218" s="111"/>
      <c r="BN218" s="111"/>
      <c r="BO218" s="111"/>
      <c r="BP218" s="111"/>
      <c r="BQ218" s="111"/>
      <c r="BR218" s="111"/>
      <c r="BS218" s="111"/>
      <c r="BT218" s="113">
        <f>SUM(Tabelle4[[#This Row],[Projektverantwortung
(Lenkungsausschuss) ]:[Kommunikation ]])</f>
        <v>0</v>
      </c>
      <c r="BU218" s="113"/>
      <c r="BV218" s="106"/>
      <c r="BW218" s="106"/>
      <c r="BX218" s="106"/>
      <c r="BY218" s="106"/>
      <c r="BZ218" s="106"/>
      <c r="CA218" s="106"/>
      <c r="CB218" s="106"/>
      <c r="CC218" s="113">
        <f>SUM(Tabelle4[[#This Row],[Projektverantwortung
(Lenkungsausschuss)   ]:[Kommunikation   ]])</f>
        <v>0</v>
      </c>
      <c r="CD218" s="113"/>
      <c r="CE218" s="114"/>
      <c r="CF218" s="114"/>
      <c r="CG218" s="114"/>
      <c r="CH218" s="114"/>
      <c r="CI218" s="114"/>
      <c r="CJ218" s="114"/>
      <c r="CK218" s="114"/>
      <c r="CL218" s="113">
        <f>SUM(Tabelle4[[#This Row],[Projektverantwortung
(Lenkungsausschuss).]:[Kommunikation    ]])</f>
        <v>0</v>
      </c>
      <c r="CM218" s="113"/>
      <c r="CN218" s="114"/>
      <c r="CO218" s="114"/>
      <c r="CP218" s="114"/>
      <c r="CQ218" s="114"/>
      <c r="CR218" s="114"/>
      <c r="CS218" s="114"/>
      <c r="CT218" s="114"/>
      <c r="CU218" s="113">
        <f>SUM(Tabelle4[[#This Row],[Projektverantwortung
(Lenkungsausschuss)    ]:[Kommunikation     ]])</f>
        <v>0</v>
      </c>
      <c r="CV218" s="112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218" s="105"/>
      <c r="CX218" s="105"/>
      <c r="CY218" s="105"/>
      <c r="CZ218" s="105"/>
      <c r="DA218" s="105"/>
      <c r="DB218" s="105"/>
      <c r="DC218" s="105"/>
      <c r="DD218" s="105"/>
      <c r="DE218" s="112">
        <f>SUM(Tabelle4[[#This Row],[Aufwand ]],Tabelle4[[#This Row],[Aufwand 2]],Tabelle4[[#This Row],[Aufwand 3]],Tabelle4[[#This Row],[Aufwand 4]])</f>
        <v>0</v>
      </c>
      <c r="DF218" s="142"/>
      <c r="DG218" s="110"/>
      <c r="DH218" s="110"/>
      <c r="DI218" s="142"/>
      <c r="DJ218" s="110"/>
      <c r="DK218" s="142"/>
      <c r="DL218" s="110"/>
      <c r="DM218" s="142"/>
      <c r="DN218" s="112">
        <f>SUM(Tabelle4[[#This Row],[Aufwand  ]],Tabelle4[[#This Row],[Aufwand  2]],Tabelle4[[#This Row],[Aufwand  3]],Tabelle4[[#This Row],[Aufwand  4]])</f>
        <v>0</v>
      </c>
      <c r="DO218" s="142"/>
      <c r="DP218" s="110"/>
      <c r="DQ218" s="110"/>
      <c r="DR218" s="142"/>
      <c r="DS218" s="110"/>
      <c r="DT218" s="142"/>
      <c r="DU218" s="110"/>
      <c r="DV218" s="142"/>
      <c r="DW218" s="107">
        <f>SUM(Tabelle4[[#This Row],[Aufwand   ]],Tabelle4[[#This Row],[Aufwand   2]],Tabelle4[[#This Row],[Aufwand   3]],Tabelle4[[#This Row],[Aufwand   4]])</f>
        <v>0</v>
      </c>
      <c r="DX218" s="142"/>
      <c r="DY218" s="143"/>
      <c r="DZ218" s="105"/>
      <c r="EA218" s="105"/>
      <c r="EB218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218" s="122">
        <f>Tabelle4[[#This Row],[Gesamaufwand]]/2000</f>
        <v>0</v>
      </c>
      <c r="ED218" s="48"/>
      <c r="EE218" s="48"/>
      <c r="EF218" s="48"/>
      <c r="EG218" s="48"/>
      <c r="EH218" s="48"/>
      <c r="EI218" s="47"/>
      <c r="EJ218" s="47"/>
      <c r="EK218" s="47"/>
      <c r="EL218" s="47"/>
    </row>
    <row r="219" spans="1:142">
      <c r="A219" s="255" t="s">
        <v>571</v>
      </c>
      <c r="B219" s="251" t="s">
        <v>105</v>
      </c>
      <c r="C219" s="254" t="s">
        <v>68</v>
      </c>
      <c r="D219" s="251" t="s">
        <v>913</v>
      </c>
      <c r="E219" s="251" t="s">
        <v>635</v>
      </c>
      <c r="F219" s="253">
        <v>1</v>
      </c>
      <c r="G219" s="253">
        <v>1</v>
      </c>
      <c r="H219" s="253"/>
      <c r="I219" s="254" t="s">
        <v>94</v>
      </c>
      <c r="J219" s="254"/>
      <c r="K219" s="105"/>
      <c r="L219" s="105"/>
      <c r="M219" s="48"/>
      <c r="N219" s="105"/>
      <c r="O219" s="255" t="s">
        <v>572</v>
      </c>
      <c r="P219" s="261">
        <v>2</v>
      </c>
      <c r="Q219" s="261">
        <v>0</v>
      </c>
      <c r="R219" s="261">
        <v>0</v>
      </c>
      <c r="S219" s="262" t="s">
        <v>229</v>
      </c>
      <c r="T219" s="263" t="s">
        <v>672</v>
      </c>
      <c r="U219" s="105"/>
      <c r="V219" s="259" t="s">
        <v>75</v>
      </c>
      <c r="W219" s="105" t="s">
        <v>6</v>
      </c>
      <c r="X219" s="105" t="s">
        <v>11</v>
      </c>
      <c r="Y219" s="105" t="s">
        <v>690</v>
      </c>
      <c r="Z219" s="105" t="s">
        <v>81</v>
      </c>
      <c r="AA219" s="105" t="s">
        <v>639</v>
      </c>
      <c r="AB219" s="105" t="s">
        <v>639</v>
      </c>
      <c r="AC219" s="105" t="s">
        <v>639</v>
      </c>
      <c r="AD219" s="105"/>
      <c r="AE219" s="105"/>
      <c r="AF219" s="105"/>
      <c r="AG219" s="105"/>
      <c r="AH219" s="115" t="s">
        <v>621</v>
      </c>
      <c r="AI219" s="115"/>
      <c r="AJ219" s="115"/>
      <c r="AK219" s="105"/>
      <c r="AL219" s="115"/>
      <c r="AM219" s="115"/>
      <c r="AN219" s="115"/>
      <c r="AO219" s="260">
        <f>Tabelle4[[#This Row],[Kredit-  / Budgetsumme
(RADAR: Gesamtkosten S)]]-Tabelle4[[#This Row],[Netto-Ausgaben Vorjahre ]]</f>
        <v>0</v>
      </c>
      <c r="AP219" s="310"/>
      <c r="AQ219" s="311"/>
      <c r="AR219" s="115">
        <f>Tabelle4[[#This Row],[Kreditrest per 1.1. aktuelles Jahr]]-Tabelle4[[#This Row],[Prognose 2018
(RADAR: Kosten 2018 S)]]</f>
        <v>0</v>
      </c>
      <c r="AS219" s="115"/>
      <c r="AT219" s="311"/>
      <c r="AU219" s="115"/>
      <c r="AV219" s="311"/>
      <c r="AW219" s="115"/>
      <c r="AX219" s="311"/>
      <c r="AY219" s="115"/>
      <c r="AZ219" s="311"/>
      <c r="BA219" s="115"/>
      <c r="BB219" s="311"/>
      <c r="BC219" s="115"/>
      <c r="BD219" s="311"/>
      <c r="BE219" s="115"/>
      <c r="BF219" s="311"/>
      <c r="BG219" s="115"/>
      <c r="BH219" s="311"/>
      <c r="BI219" s="115"/>
      <c r="BJ219" s="115"/>
      <c r="BK219" s="264"/>
      <c r="BL219" s="105"/>
      <c r="BM219" s="106"/>
      <c r="BN219" s="106"/>
      <c r="BO219" s="106">
        <v>20</v>
      </c>
      <c r="BP219" s="106"/>
      <c r="BQ219" s="106"/>
      <c r="BR219" s="106"/>
      <c r="BS219" s="106"/>
      <c r="BT219" s="108">
        <f>SUM(Tabelle4[[#This Row],[Projektverantwortung
(Lenkungsausschuss) ]:[Kommunikation ]])</f>
        <v>20</v>
      </c>
      <c r="BU219" s="105"/>
      <c r="BV219" s="106"/>
      <c r="BW219" s="106"/>
      <c r="BX219" s="106">
        <v>20</v>
      </c>
      <c r="BY219" s="106"/>
      <c r="BZ219" s="106"/>
      <c r="CA219" s="106"/>
      <c r="CB219" s="106"/>
      <c r="CC219" s="108">
        <f>SUM(Tabelle4[[#This Row],[Projektverantwortung
(Lenkungsausschuss)   ]:[Kommunikation   ]])</f>
        <v>20</v>
      </c>
      <c r="CD219" s="105"/>
      <c r="CE219" s="106"/>
      <c r="CF219" s="106"/>
      <c r="CG219" s="106">
        <v>20</v>
      </c>
      <c r="CH219" s="106"/>
      <c r="CI219" s="106"/>
      <c r="CJ219" s="106"/>
      <c r="CK219" s="106"/>
      <c r="CL219" s="108">
        <f>SUM(Tabelle4[[#This Row],[Projektverantwortung
(Lenkungsausschuss).]:[Kommunikation    ]])</f>
        <v>20</v>
      </c>
      <c r="CM219" s="105"/>
      <c r="CN219" s="106"/>
      <c r="CO219" s="106"/>
      <c r="CP219" s="106">
        <v>20</v>
      </c>
      <c r="CQ219" s="106"/>
      <c r="CR219" s="106"/>
      <c r="CS219" s="106"/>
      <c r="CT219" s="106"/>
      <c r="CU219" s="108">
        <f>SUM(Tabelle4[[#This Row],[Projektverantwortung
(Lenkungsausschuss)    ]:[Kommunikation     ]])</f>
        <v>20</v>
      </c>
      <c r="CV219" s="107">
        <f>SUM(Tabelle4[[#This Row],[Total Aufwand
1. Quartal 2018]],Tabelle4[[#This Row],[Total Aufwand
2. Quartal 2018]],Tabelle4[[#This Row],[Total Aufwand
3. Quartal 2018]],Tabelle4[[#This Row],[Total Aufwand
4. Quartal 2018]])</f>
        <v>80</v>
      </c>
      <c r="CW219" s="105"/>
      <c r="CX219" s="105"/>
      <c r="CY219" s="105"/>
      <c r="CZ219" s="105"/>
      <c r="DA219" s="105"/>
      <c r="DB219" s="105"/>
      <c r="DC219" s="105"/>
      <c r="DD219" s="105"/>
      <c r="DE219" s="107">
        <f>SUM(Tabelle4[[#This Row],[Aufwand ]],Tabelle4[[#This Row],[Aufwand 2]],Tabelle4[[#This Row],[Aufwand 3]],Tabelle4[[#This Row],[Aufwand 4]])</f>
        <v>0</v>
      </c>
      <c r="DF219" s="105"/>
      <c r="DG219" s="105"/>
      <c r="DH219" s="105"/>
      <c r="DI219" s="105"/>
      <c r="DJ219" s="105"/>
      <c r="DK219" s="105"/>
      <c r="DL219" s="105"/>
      <c r="DM219" s="105"/>
      <c r="DN219" s="107">
        <f>SUM(Tabelle4[[#This Row],[Aufwand  ]],Tabelle4[[#This Row],[Aufwand  2]],Tabelle4[[#This Row],[Aufwand  3]],Tabelle4[[#This Row],[Aufwand  4]])</f>
        <v>0</v>
      </c>
      <c r="DO219" s="105"/>
      <c r="DP219" s="105"/>
      <c r="DQ219" s="105"/>
      <c r="DR219" s="105"/>
      <c r="DS219" s="105"/>
      <c r="DT219" s="105"/>
      <c r="DU219" s="105"/>
      <c r="DV219" s="105"/>
      <c r="DW219" s="107">
        <f>SUM(Tabelle4[[#This Row],[Aufwand   ]],Tabelle4[[#This Row],[Aufwand   2]],Tabelle4[[#This Row],[Aufwand   3]],Tabelle4[[#This Row],[Aufwand   4]])</f>
        <v>0</v>
      </c>
      <c r="DX219" s="105"/>
      <c r="DY219" s="105"/>
      <c r="DZ219" s="105"/>
      <c r="EA219" s="105"/>
      <c r="EB219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80</v>
      </c>
      <c r="EC219" s="122">
        <f>Tabelle4[[#This Row],[Gesamaufwand]]/2000</f>
        <v>0.04</v>
      </c>
      <c r="ED219" s="48"/>
      <c r="EE219" s="48"/>
      <c r="EF219" s="48"/>
      <c r="EG219" s="48"/>
      <c r="EH219" s="48"/>
      <c r="EI219" s="47"/>
      <c r="EJ219" s="47"/>
      <c r="EK219" s="47"/>
      <c r="EL219" s="47"/>
    </row>
    <row r="220" spans="1:142">
      <c r="A220" s="255" t="s">
        <v>573</v>
      </c>
      <c r="B220" s="251" t="s">
        <v>105</v>
      </c>
      <c r="C220" s="254" t="s">
        <v>68</v>
      </c>
      <c r="D220" s="251" t="s">
        <v>913</v>
      </c>
      <c r="E220" s="251" t="s">
        <v>97</v>
      </c>
      <c r="F220" s="253">
        <v>1</v>
      </c>
      <c r="G220" s="253">
        <v>1</v>
      </c>
      <c r="H220" s="253"/>
      <c r="I220" s="254" t="s">
        <v>94</v>
      </c>
      <c r="J220" s="254"/>
      <c r="K220" s="105"/>
      <c r="L220" s="105"/>
      <c r="M220" s="48"/>
      <c r="N220" s="105"/>
      <c r="O220" s="255" t="s">
        <v>574</v>
      </c>
      <c r="P220" s="261">
        <v>2</v>
      </c>
      <c r="Q220" s="261">
        <v>0</v>
      </c>
      <c r="R220" s="261">
        <v>0</v>
      </c>
      <c r="S220" s="262" t="s">
        <v>408</v>
      </c>
      <c r="T220" s="263" t="s">
        <v>673</v>
      </c>
      <c r="U220" s="105"/>
      <c r="V220" s="259" t="s">
        <v>610</v>
      </c>
      <c r="W220" s="105" t="s">
        <v>6</v>
      </c>
      <c r="X220" s="105" t="s">
        <v>22</v>
      </c>
      <c r="Y220" s="105" t="s">
        <v>690</v>
      </c>
      <c r="Z220" s="105" t="s">
        <v>86</v>
      </c>
      <c r="AA220" s="105" t="s">
        <v>639</v>
      </c>
      <c r="AB220" s="105" t="s">
        <v>639</v>
      </c>
      <c r="AC220" s="105" t="s">
        <v>639</v>
      </c>
      <c r="AD220" s="105"/>
      <c r="AE220" s="105"/>
      <c r="AF220" s="105"/>
      <c r="AG220" s="105"/>
      <c r="AH220" s="115" t="s">
        <v>621</v>
      </c>
      <c r="AI220" s="115"/>
      <c r="AJ220" s="115"/>
      <c r="AK220" s="105"/>
      <c r="AL220" s="115"/>
      <c r="AM220" s="115"/>
      <c r="AN220" s="115"/>
      <c r="AO220" s="260">
        <f>Tabelle4[[#This Row],[Kredit-  / Budgetsumme
(RADAR: Gesamtkosten S)]]-Tabelle4[[#This Row],[Netto-Ausgaben Vorjahre ]]</f>
        <v>0</v>
      </c>
      <c r="AP220" s="310"/>
      <c r="AQ220" s="311"/>
      <c r="AR220" s="115">
        <f>Tabelle4[[#This Row],[Kreditrest per 1.1. aktuelles Jahr]]-Tabelle4[[#This Row],[Prognose 2018
(RADAR: Kosten 2018 S)]]</f>
        <v>0</v>
      </c>
      <c r="AS220" s="115"/>
      <c r="AT220" s="311"/>
      <c r="AU220" s="115"/>
      <c r="AV220" s="311"/>
      <c r="AW220" s="115"/>
      <c r="AX220" s="311"/>
      <c r="AY220" s="115"/>
      <c r="AZ220" s="311"/>
      <c r="BA220" s="115"/>
      <c r="BB220" s="311"/>
      <c r="BC220" s="115"/>
      <c r="BD220" s="311"/>
      <c r="BE220" s="115"/>
      <c r="BF220" s="311"/>
      <c r="BG220" s="115"/>
      <c r="BH220" s="311"/>
      <c r="BI220" s="115"/>
      <c r="BJ220" s="115"/>
      <c r="BK220" s="264"/>
      <c r="BL220" s="105"/>
      <c r="BM220" s="106"/>
      <c r="BN220" s="106"/>
      <c r="BO220" s="106"/>
      <c r="BP220" s="106"/>
      <c r="BQ220" s="106"/>
      <c r="BR220" s="106"/>
      <c r="BS220" s="106"/>
      <c r="BT220" s="108">
        <f>SUM(Tabelle4[[#This Row],[Projektverantwortung
(Lenkungsausschuss) ]:[Kommunikation ]])</f>
        <v>0</v>
      </c>
      <c r="BU220" s="105"/>
      <c r="BV220" s="106"/>
      <c r="BW220" s="106"/>
      <c r="BX220" s="106"/>
      <c r="BY220" s="106"/>
      <c r="BZ220" s="106"/>
      <c r="CA220" s="106"/>
      <c r="CB220" s="106"/>
      <c r="CC220" s="108">
        <f>SUM(Tabelle4[[#This Row],[Projektverantwortung
(Lenkungsausschuss)   ]:[Kommunikation   ]])</f>
        <v>0</v>
      </c>
      <c r="CD220" s="105"/>
      <c r="CE220" s="106"/>
      <c r="CF220" s="106"/>
      <c r="CG220" s="106"/>
      <c r="CH220" s="106"/>
      <c r="CI220" s="106"/>
      <c r="CJ220" s="106"/>
      <c r="CK220" s="106"/>
      <c r="CL220" s="108">
        <f>SUM(Tabelle4[[#This Row],[Projektverantwortung
(Lenkungsausschuss).]:[Kommunikation    ]])</f>
        <v>0</v>
      </c>
      <c r="CM220" s="105"/>
      <c r="CN220" s="106"/>
      <c r="CO220" s="106"/>
      <c r="CP220" s="106"/>
      <c r="CQ220" s="106"/>
      <c r="CR220" s="106"/>
      <c r="CS220" s="106"/>
      <c r="CT220" s="106"/>
      <c r="CU220" s="108">
        <f>SUM(Tabelle4[[#This Row],[Projektverantwortung
(Lenkungsausschuss)    ]:[Kommunikation     ]])</f>
        <v>0</v>
      </c>
      <c r="CV220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220" s="105"/>
      <c r="CX220" s="105"/>
      <c r="CY220" s="105"/>
      <c r="CZ220" s="105"/>
      <c r="DA220" s="105"/>
      <c r="DB220" s="105"/>
      <c r="DC220" s="105"/>
      <c r="DD220" s="105"/>
      <c r="DE220" s="107">
        <f>SUM(Tabelle4[[#This Row],[Aufwand ]],Tabelle4[[#This Row],[Aufwand 2]],Tabelle4[[#This Row],[Aufwand 3]],Tabelle4[[#This Row],[Aufwand 4]])</f>
        <v>0</v>
      </c>
      <c r="DF220" s="105"/>
      <c r="DG220" s="105"/>
      <c r="DH220" s="105"/>
      <c r="DI220" s="105"/>
      <c r="DJ220" s="105"/>
      <c r="DK220" s="105"/>
      <c r="DL220" s="105"/>
      <c r="DM220" s="105"/>
      <c r="DN220" s="107">
        <f>SUM(Tabelle4[[#This Row],[Aufwand  ]],Tabelle4[[#This Row],[Aufwand  2]],Tabelle4[[#This Row],[Aufwand  3]],Tabelle4[[#This Row],[Aufwand  4]])</f>
        <v>0</v>
      </c>
      <c r="DO220" s="105"/>
      <c r="DP220" s="105"/>
      <c r="DQ220" s="105"/>
      <c r="DR220" s="105"/>
      <c r="DS220" s="105"/>
      <c r="DT220" s="105"/>
      <c r="DU220" s="105"/>
      <c r="DV220" s="105"/>
      <c r="DW220" s="107">
        <f>SUM(Tabelle4[[#This Row],[Aufwand   ]],Tabelle4[[#This Row],[Aufwand   2]],Tabelle4[[#This Row],[Aufwand   3]],Tabelle4[[#This Row],[Aufwand   4]])</f>
        <v>0</v>
      </c>
      <c r="DX220" s="105"/>
      <c r="DY220" s="105"/>
      <c r="DZ220" s="105"/>
      <c r="EA220" s="105"/>
      <c r="EB220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220" s="122">
        <f>Tabelle4[[#This Row],[Gesamaufwand]]/2000</f>
        <v>0</v>
      </c>
      <c r="ED220" s="48"/>
      <c r="EE220" s="48"/>
      <c r="EF220" s="48"/>
      <c r="EG220" s="48"/>
      <c r="EH220" s="48"/>
      <c r="EI220" s="47"/>
      <c r="EJ220" s="47"/>
      <c r="EK220" s="47"/>
      <c r="EL220" s="47"/>
    </row>
    <row r="221" spans="1:142">
      <c r="A221" s="265" t="s">
        <v>575</v>
      </c>
      <c r="B221" s="251" t="s">
        <v>694</v>
      </c>
      <c r="C221" s="254" t="s">
        <v>68</v>
      </c>
      <c r="D221" s="251" t="s">
        <v>913</v>
      </c>
      <c r="E221" s="251" t="s">
        <v>695</v>
      </c>
      <c r="F221" s="253">
        <v>4</v>
      </c>
      <c r="G221" s="253">
        <v>3</v>
      </c>
      <c r="H221" s="253"/>
      <c r="I221" s="254" t="s">
        <v>95</v>
      </c>
      <c r="J221" s="254"/>
      <c r="K221" s="105"/>
      <c r="L221" s="105"/>
      <c r="M221" s="48"/>
      <c r="N221" s="105"/>
      <c r="O221" s="255" t="s">
        <v>576</v>
      </c>
      <c r="P221" s="261">
        <v>2</v>
      </c>
      <c r="Q221" s="261">
        <v>0</v>
      </c>
      <c r="R221" s="261">
        <v>0</v>
      </c>
      <c r="S221" s="262" t="s">
        <v>333</v>
      </c>
      <c r="T221" s="263" t="s">
        <v>674</v>
      </c>
      <c r="U221" s="105"/>
      <c r="V221" s="259" t="s">
        <v>607</v>
      </c>
      <c r="W221" s="105" t="s">
        <v>6</v>
      </c>
      <c r="X221" s="105" t="s">
        <v>86</v>
      </c>
      <c r="Y221" s="105" t="s">
        <v>690</v>
      </c>
      <c r="Z221" s="105" t="s">
        <v>13</v>
      </c>
      <c r="AA221" s="105" t="s">
        <v>639</v>
      </c>
      <c r="AB221" s="105" t="s">
        <v>639</v>
      </c>
      <c r="AC221" s="105" t="s">
        <v>639</v>
      </c>
      <c r="AD221" s="105"/>
      <c r="AE221" s="105"/>
      <c r="AF221" s="105"/>
      <c r="AG221" s="105"/>
      <c r="AH221" s="115" t="s">
        <v>621</v>
      </c>
      <c r="AI221" s="115"/>
      <c r="AJ221" s="115"/>
      <c r="AK221" s="105"/>
      <c r="AL221" s="115"/>
      <c r="AM221" s="115"/>
      <c r="AN221" s="115"/>
      <c r="AO221" s="260">
        <f>Tabelle4[[#This Row],[Kredit-  / Budgetsumme
(RADAR: Gesamtkosten S)]]-Tabelle4[[#This Row],[Netto-Ausgaben Vorjahre ]]</f>
        <v>0</v>
      </c>
      <c r="AP221" s="310"/>
      <c r="AQ221" s="311"/>
      <c r="AR221" s="115">
        <f>Tabelle4[[#This Row],[Kreditrest per 1.1. aktuelles Jahr]]-Tabelle4[[#This Row],[Prognose 2018
(RADAR: Kosten 2018 S)]]</f>
        <v>0</v>
      </c>
      <c r="AS221" s="115"/>
      <c r="AT221" s="311"/>
      <c r="AU221" s="115"/>
      <c r="AV221" s="311"/>
      <c r="AW221" s="115"/>
      <c r="AX221" s="311"/>
      <c r="AY221" s="115"/>
      <c r="AZ221" s="311"/>
      <c r="BA221" s="115"/>
      <c r="BB221" s="311"/>
      <c r="BC221" s="115"/>
      <c r="BD221" s="311"/>
      <c r="BE221" s="115"/>
      <c r="BF221" s="311"/>
      <c r="BG221" s="115"/>
      <c r="BH221" s="311"/>
      <c r="BI221" s="115"/>
      <c r="BJ221" s="115"/>
      <c r="BK221" s="264"/>
      <c r="BL221" s="105"/>
      <c r="BM221" s="106"/>
      <c r="BN221" s="106"/>
      <c r="BO221" s="106"/>
      <c r="BP221" s="106"/>
      <c r="BQ221" s="106"/>
      <c r="BR221" s="106"/>
      <c r="BS221" s="106"/>
      <c r="BT221" s="108">
        <f>SUM(Tabelle4[[#This Row],[Projektverantwortung
(Lenkungsausschuss) ]:[Kommunikation ]])</f>
        <v>0</v>
      </c>
      <c r="BU221" s="105"/>
      <c r="BV221" s="106"/>
      <c r="BW221" s="106"/>
      <c r="BX221" s="106"/>
      <c r="BY221" s="106"/>
      <c r="BZ221" s="106"/>
      <c r="CA221" s="106"/>
      <c r="CB221" s="106"/>
      <c r="CC221" s="108">
        <f>SUM(Tabelle4[[#This Row],[Projektverantwortung
(Lenkungsausschuss)   ]:[Kommunikation   ]])</f>
        <v>0</v>
      </c>
      <c r="CD221" s="105"/>
      <c r="CE221" s="106"/>
      <c r="CF221" s="106"/>
      <c r="CG221" s="106"/>
      <c r="CH221" s="106"/>
      <c r="CI221" s="106"/>
      <c r="CJ221" s="106"/>
      <c r="CK221" s="106"/>
      <c r="CL221" s="108">
        <f>SUM(Tabelle4[[#This Row],[Projektverantwortung
(Lenkungsausschuss).]:[Kommunikation    ]])</f>
        <v>0</v>
      </c>
      <c r="CM221" s="105"/>
      <c r="CN221" s="106"/>
      <c r="CO221" s="106"/>
      <c r="CP221" s="106"/>
      <c r="CQ221" s="106"/>
      <c r="CR221" s="106"/>
      <c r="CS221" s="106"/>
      <c r="CT221" s="106"/>
      <c r="CU221" s="108">
        <f>SUM(Tabelle4[[#This Row],[Projektverantwortung
(Lenkungsausschuss)    ]:[Kommunikation     ]])</f>
        <v>0</v>
      </c>
      <c r="CV221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221" s="105"/>
      <c r="CX221" s="105"/>
      <c r="CY221" s="105"/>
      <c r="CZ221" s="105"/>
      <c r="DA221" s="105"/>
      <c r="DB221" s="105"/>
      <c r="DC221" s="105"/>
      <c r="DD221" s="105"/>
      <c r="DE221" s="107">
        <f>SUM(Tabelle4[[#This Row],[Aufwand ]],Tabelle4[[#This Row],[Aufwand 2]],Tabelle4[[#This Row],[Aufwand 3]],Tabelle4[[#This Row],[Aufwand 4]])</f>
        <v>0</v>
      </c>
      <c r="DF221" s="105"/>
      <c r="DG221" s="105"/>
      <c r="DH221" s="105"/>
      <c r="DI221" s="105"/>
      <c r="DJ221" s="105"/>
      <c r="DK221" s="105"/>
      <c r="DL221" s="105"/>
      <c r="DM221" s="105"/>
      <c r="DN221" s="107">
        <f>SUM(Tabelle4[[#This Row],[Aufwand  ]],Tabelle4[[#This Row],[Aufwand  2]],Tabelle4[[#This Row],[Aufwand  3]],Tabelle4[[#This Row],[Aufwand  4]])</f>
        <v>0</v>
      </c>
      <c r="DO221" s="105"/>
      <c r="DP221" s="105"/>
      <c r="DQ221" s="105"/>
      <c r="DR221" s="105"/>
      <c r="DS221" s="105"/>
      <c r="DT221" s="105"/>
      <c r="DU221" s="105"/>
      <c r="DV221" s="105"/>
      <c r="DW221" s="107">
        <f>SUM(Tabelle4[[#This Row],[Aufwand   ]],Tabelle4[[#This Row],[Aufwand   2]],Tabelle4[[#This Row],[Aufwand   3]],Tabelle4[[#This Row],[Aufwand   4]])</f>
        <v>0</v>
      </c>
      <c r="DX221" s="105"/>
      <c r="DY221" s="105"/>
      <c r="DZ221" s="105"/>
      <c r="EA221" s="105"/>
      <c r="EB221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221" s="122">
        <f>Tabelle4[[#This Row],[Gesamaufwand]]/2000</f>
        <v>0</v>
      </c>
      <c r="ED221" s="47"/>
      <c r="EE221" s="47"/>
      <c r="EF221" s="47"/>
      <c r="EG221" s="47"/>
      <c r="EH221" s="47"/>
      <c r="EI221" s="47"/>
      <c r="EJ221" s="47"/>
      <c r="EK221" s="47"/>
      <c r="EL221" s="47"/>
    </row>
    <row r="222" spans="1:142">
      <c r="A222" s="255" t="s">
        <v>577</v>
      </c>
      <c r="B222" s="251" t="s">
        <v>105</v>
      </c>
      <c r="C222" s="254" t="s">
        <v>68</v>
      </c>
      <c r="D222" s="251" t="s">
        <v>913</v>
      </c>
      <c r="E222" s="251" t="s">
        <v>97</v>
      </c>
      <c r="F222" s="253">
        <v>3</v>
      </c>
      <c r="G222" s="253">
        <v>4</v>
      </c>
      <c r="H222" s="253"/>
      <c r="I222" s="254" t="s">
        <v>95</v>
      </c>
      <c r="J222" s="254"/>
      <c r="K222" s="105"/>
      <c r="L222" s="105"/>
      <c r="M222" s="48"/>
      <c r="N222" s="105"/>
      <c r="O222" s="255" t="s">
        <v>578</v>
      </c>
      <c r="P222" s="261">
        <v>2</v>
      </c>
      <c r="Q222" s="261">
        <v>0</v>
      </c>
      <c r="R222" s="261">
        <v>0</v>
      </c>
      <c r="S222" s="262" t="s">
        <v>336</v>
      </c>
      <c r="T222" s="263" t="s">
        <v>662</v>
      </c>
      <c r="U222" s="105"/>
      <c r="V222" s="259" t="s">
        <v>610</v>
      </c>
      <c r="W222" s="105" t="s">
        <v>6</v>
      </c>
      <c r="X222" s="105" t="s">
        <v>86</v>
      </c>
      <c r="Y222" s="105" t="s">
        <v>690</v>
      </c>
      <c r="Z222" s="105" t="s">
        <v>81</v>
      </c>
      <c r="AA222" s="105" t="s">
        <v>639</v>
      </c>
      <c r="AB222" s="105" t="s">
        <v>639</v>
      </c>
      <c r="AC222" s="105" t="s">
        <v>639</v>
      </c>
      <c r="AD222" s="105"/>
      <c r="AE222" s="105"/>
      <c r="AF222" s="105"/>
      <c r="AG222" s="105"/>
      <c r="AH222" s="260" t="s">
        <v>802</v>
      </c>
      <c r="AI222" s="115"/>
      <c r="AJ222" s="115"/>
      <c r="AK222" s="105"/>
      <c r="AL222" s="115"/>
      <c r="AM222" s="115"/>
      <c r="AN222" s="115"/>
      <c r="AO222" s="260">
        <f>Tabelle4[[#This Row],[Kredit-  / Budgetsumme
(RADAR: Gesamtkosten S)]]-Tabelle4[[#This Row],[Netto-Ausgaben Vorjahre ]]</f>
        <v>0</v>
      </c>
      <c r="AP222" s="310"/>
      <c r="AQ222" s="311"/>
      <c r="AR222" s="115">
        <f>Tabelle4[[#This Row],[Kreditrest per 1.1. aktuelles Jahr]]-Tabelle4[[#This Row],[Prognose 2018
(RADAR: Kosten 2018 S)]]</f>
        <v>0</v>
      </c>
      <c r="AS222" s="115"/>
      <c r="AT222" s="311"/>
      <c r="AU222" s="115"/>
      <c r="AV222" s="311"/>
      <c r="AW222" s="115"/>
      <c r="AX222" s="311"/>
      <c r="AY222" s="115"/>
      <c r="AZ222" s="311"/>
      <c r="BA222" s="115"/>
      <c r="BB222" s="311"/>
      <c r="BC222" s="115"/>
      <c r="BD222" s="311"/>
      <c r="BE222" s="115"/>
      <c r="BF222" s="311"/>
      <c r="BG222" s="115"/>
      <c r="BH222" s="311"/>
      <c r="BI222" s="115"/>
      <c r="BJ222" s="115"/>
      <c r="BK222" s="264"/>
      <c r="BL222" s="105"/>
      <c r="BM222" s="106">
        <v>8</v>
      </c>
      <c r="BN222" s="106"/>
      <c r="BO222" s="106">
        <v>20</v>
      </c>
      <c r="BP222" s="106"/>
      <c r="BQ222" s="106"/>
      <c r="BR222" s="106"/>
      <c r="BS222" s="106"/>
      <c r="BT222" s="108">
        <f>SUM(Tabelle4[[#This Row],[Projektverantwortung
(Lenkungsausschuss) ]:[Kommunikation ]])</f>
        <v>28</v>
      </c>
      <c r="BU222" s="105"/>
      <c r="BV222" s="106">
        <v>0</v>
      </c>
      <c r="BW222" s="106">
        <v>0</v>
      </c>
      <c r="BX222" s="106">
        <v>0</v>
      </c>
      <c r="BY222" s="106">
        <v>0</v>
      </c>
      <c r="BZ222" s="106">
        <v>0</v>
      </c>
      <c r="CA222" s="106">
        <v>0</v>
      </c>
      <c r="CB222" s="106">
        <v>0</v>
      </c>
      <c r="CC222" s="108">
        <f>SUM(Tabelle4[[#This Row],[Projektverantwortung
(Lenkungsausschuss)   ]:[Kommunikation   ]])</f>
        <v>0</v>
      </c>
      <c r="CD222" s="105"/>
      <c r="CE222" s="106">
        <v>0</v>
      </c>
      <c r="CF222" s="106">
        <v>0</v>
      </c>
      <c r="CG222" s="106">
        <v>0</v>
      </c>
      <c r="CH222" s="106">
        <v>0</v>
      </c>
      <c r="CI222" s="106">
        <v>0</v>
      </c>
      <c r="CJ222" s="106">
        <v>0</v>
      </c>
      <c r="CK222" s="106">
        <v>0</v>
      </c>
      <c r="CL222" s="108">
        <f>SUM(Tabelle4[[#This Row],[Projektverantwortung
(Lenkungsausschuss).]:[Kommunikation    ]])</f>
        <v>0</v>
      </c>
      <c r="CM222" s="105"/>
      <c r="CN222" s="106">
        <v>0</v>
      </c>
      <c r="CO222" s="106">
        <v>0</v>
      </c>
      <c r="CP222" s="106">
        <v>0</v>
      </c>
      <c r="CQ222" s="106">
        <v>0</v>
      </c>
      <c r="CR222" s="106">
        <v>0</v>
      </c>
      <c r="CS222" s="106">
        <v>0</v>
      </c>
      <c r="CT222" s="106">
        <v>0</v>
      </c>
      <c r="CU222" s="108">
        <f>SUM(Tabelle4[[#This Row],[Projektverantwortung
(Lenkungsausschuss)    ]:[Kommunikation     ]])</f>
        <v>0</v>
      </c>
      <c r="CV222" s="107">
        <f>SUM(Tabelle4[[#This Row],[Total Aufwand
1. Quartal 2018]],Tabelle4[[#This Row],[Total Aufwand
2. Quartal 2018]],Tabelle4[[#This Row],[Total Aufwand
3. Quartal 2018]],Tabelle4[[#This Row],[Total Aufwand
4. Quartal 2018]])</f>
        <v>28</v>
      </c>
      <c r="CW222" s="105"/>
      <c r="CX222" s="105"/>
      <c r="CY222" s="105"/>
      <c r="CZ222" s="105"/>
      <c r="DA222" s="105"/>
      <c r="DB222" s="105"/>
      <c r="DC222" s="105"/>
      <c r="DD222" s="105"/>
      <c r="DE222" s="107">
        <f>SUM(Tabelle4[[#This Row],[Aufwand ]],Tabelle4[[#This Row],[Aufwand 2]],Tabelle4[[#This Row],[Aufwand 3]],Tabelle4[[#This Row],[Aufwand 4]])</f>
        <v>0</v>
      </c>
      <c r="DF222" s="105"/>
      <c r="DG222" s="105"/>
      <c r="DH222" s="105"/>
      <c r="DI222" s="105"/>
      <c r="DJ222" s="105"/>
      <c r="DK222" s="105"/>
      <c r="DL222" s="105"/>
      <c r="DM222" s="105"/>
      <c r="DN222" s="107">
        <f>SUM(Tabelle4[[#This Row],[Aufwand  ]],Tabelle4[[#This Row],[Aufwand  2]],Tabelle4[[#This Row],[Aufwand  3]],Tabelle4[[#This Row],[Aufwand  4]])</f>
        <v>0</v>
      </c>
      <c r="DO222" s="105"/>
      <c r="DP222" s="105"/>
      <c r="DQ222" s="105"/>
      <c r="DR222" s="105"/>
      <c r="DS222" s="105"/>
      <c r="DT222" s="105"/>
      <c r="DU222" s="105"/>
      <c r="DV222" s="105"/>
      <c r="DW222" s="107">
        <f>SUM(Tabelle4[[#This Row],[Aufwand   ]],Tabelle4[[#This Row],[Aufwand   2]],Tabelle4[[#This Row],[Aufwand   3]],Tabelle4[[#This Row],[Aufwand   4]])</f>
        <v>0</v>
      </c>
      <c r="DX222" s="105"/>
      <c r="DY222" s="105"/>
      <c r="DZ222" s="105"/>
      <c r="EA222" s="105"/>
      <c r="EB222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28</v>
      </c>
      <c r="EC222" s="122">
        <f>Tabelle4[[#This Row],[Gesamaufwand]]/2000</f>
        <v>1.4E-2</v>
      </c>
      <c r="ED222" s="47"/>
      <c r="EE222" s="47"/>
      <c r="EF222" s="47"/>
      <c r="EG222" s="47"/>
      <c r="EH222" s="47"/>
      <c r="EI222" s="47"/>
      <c r="EJ222" s="47"/>
      <c r="EK222" s="47"/>
      <c r="EL222" s="47"/>
    </row>
    <row r="223" spans="1:142">
      <c r="A223" s="255" t="s">
        <v>579</v>
      </c>
      <c r="B223" s="251" t="s">
        <v>105</v>
      </c>
      <c r="C223" s="254" t="s">
        <v>75</v>
      </c>
      <c r="D223" s="251" t="s">
        <v>913</v>
      </c>
      <c r="E223" s="251" t="s">
        <v>111</v>
      </c>
      <c r="F223" s="253">
        <v>3</v>
      </c>
      <c r="G223" s="253">
        <v>4</v>
      </c>
      <c r="H223" s="253"/>
      <c r="I223" s="254" t="s">
        <v>95</v>
      </c>
      <c r="J223" s="254"/>
      <c r="K223" s="105"/>
      <c r="L223" s="105"/>
      <c r="M223" s="48"/>
      <c r="N223" s="105"/>
      <c r="O223" s="255" t="s">
        <v>580</v>
      </c>
      <c r="P223" s="261">
        <v>2</v>
      </c>
      <c r="Q223" s="261">
        <v>0</v>
      </c>
      <c r="R223" s="261">
        <v>0</v>
      </c>
      <c r="S223" s="262" t="s">
        <v>387</v>
      </c>
      <c r="T223" s="263" t="s">
        <v>75</v>
      </c>
      <c r="U223" s="105"/>
      <c r="V223" s="259" t="s">
        <v>610</v>
      </c>
      <c r="W223" s="105" t="s">
        <v>8</v>
      </c>
      <c r="X223" s="105" t="s">
        <v>10</v>
      </c>
      <c r="Y223" s="105" t="s">
        <v>690</v>
      </c>
      <c r="Z223" s="105" t="s">
        <v>84</v>
      </c>
      <c r="AA223" s="105" t="s">
        <v>639</v>
      </c>
      <c r="AB223" s="105" t="s">
        <v>639</v>
      </c>
      <c r="AC223" s="105" t="s">
        <v>639</v>
      </c>
      <c r="AD223" s="105"/>
      <c r="AE223" s="105"/>
      <c r="AF223" s="105"/>
      <c r="AG223" s="105"/>
      <c r="AH223" s="115" t="s">
        <v>621</v>
      </c>
      <c r="AI223" s="115"/>
      <c r="AJ223" s="115"/>
      <c r="AK223" s="105"/>
      <c r="AL223" s="115"/>
      <c r="AM223" s="115"/>
      <c r="AN223" s="115"/>
      <c r="AO223" s="260">
        <f>Tabelle4[[#This Row],[Kredit-  / Budgetsumme
(RADAR: Gesamtkosten S)]]-Tabelle4[[#This Row],[Netto-Ausgaben Vorjahre ]]</f>
        <v>0</v>
      </c>
      <c r="AP223" s="310"/>
      <c r="AQ223" s="311"/>
      <c r="AR223" s="115">
        <f>Tabelle4[[#This Row],[Kreditrest per 1.1. aktuelles Jahr]]-Tabelle4[[#This Row],[Prognose 2018
(RADAR: Kosten 2018 S)]]</f>
        <v>0</v>
      </c>
      <c r="AS223" s="115"/>
      <c r="AT223" s="311"/>
      <c r="AU223" s="115"/>
      <c r="AV223" s="311"/>
      <c r="AW223" s="115"/>
      <c r="AX223" s="311"/>
      <c r="AY223" s="115"/>
      <c r="AZ223" s="311"/>
      <c r="BA223" s="115"/>
      <c r="BB223" s="311"/>
      <c r="BC223" s="115"/>
      <c r="BD223" s="311"/>
      <c r="BE223" s="115"/>
      <c r="BF223" s="311"/>
      <c r="BG223" s="115"/>
      <c r="BH223" s="311"/>
      <c r="BI223" s="115"/>
      <c r="BJ223" s="115"/>
      <c r="BK223" s="264"/>
      <c r="BL223" s="105"/>
      <c r="BM223" s="106"/>
      <c r="BN223" s="106"/>
      <c r="BO223" s="106"/>
      <c r="BP223" s="106"/>
      <c r="BQ223" s="106"/>
      <c r="BR223" s="106"/>
      <c r="BS223" s="106"/>
      <c r="BT223" s="108">
        <f>SUM(Tabelle4[[#This Row],[Projektverantwortung
(Lenkungsausschuss) ]:[Kommunikation ]])</f>
        <v>0</v>
      </c>
      <c r="BU223" s="105"/>
      <c r="BV223" s="106"/>
      <c r="BW223" s="106"/>
      <c r="BX223" s="106"/>
      <c r="BY223" s="106"/>
      <c r="BZ223" s="106"/>
      <c r="CA223" s="106"/>
      <c r="CB223" s="106"/>
      <c r="CC223" s="108">
        <f>SUM(Tabelle4[[#This Row],[Projektverantwortung
(Lenkungsausschuss)   ]:[Kommunikation   ]])</f>
        <v>0</v>
      </c>
      <c r="CD223" s="105"/>
      <c r="CE223" s="106"/>
      <c r="CF223" s="106"/>
      <c r="CG223" s="106"/>
      <c r="CH223" s="106"/>
      <c r="CI223" s="106"/>
      <c r="CJ223" s="106"/>
      <c r="CK223" s="106"/>
      <c r="CL223" s="108">
        <f>SUM(Tabelle4[[#This Row],[Projektverantwortung
(Lenkungsausschuss).]:[Kommunikation    ]])</f>
        <v>0</v>
      </c>
      <c r="CM223" s="105"/>
      <c r="CN223" s="106"/>
      <c r="CO223" s="106"/>
      <c r="CP223" s="106"/>
      <c r="CQ223" s="106"/>
      <c r="CR223" s="106"/>
      <c r="CS223" s="106"/>
      <c r="CT223" s="106"/>
      <c r="CU223" s="108">
        <f>SUM(Tabelle4[[#This Row],[Projektverantwortung
(Lenkungsausschuss)    ]:[Kommunikation     ]])</f>
        <v>0</v>
      </c>
      <c r="CV223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223" s="105"/>
      <c r="CX223" s="105"/>
      <c r="CY223" s="105"/>
      <c r="CZ223" s="105"/>
      <c r="DA223" s="105"/>
      <c r="DB223" s="105"/>
      <c r="DC223" s="105"/>
      <c r="DD223" s="105"/>
      <c r="DE223" s="107">
        <f>SUM(Tabelle4[[#This Row],[Aufwand ]],Tabelle4[[#This Row],[Aufwand 2]],Tabelle4[[#This Row],[Aufwand 3]],Tabelle4[[#This Row],[Aufwand 4]])</f>
        <v>0</v>
      </c>
      <c r="DF223" s="105"/>
      <c r="DG223" s="105"/>
      <c r="DH223" s="105"/>
      <c r="DI223" s="105"/>
      <c r="DJ223" s="105"/>
      <c r="DK223" s="105"/>
      <c r="DL223" s="105"/>
      <c r="DM223" s="105"/>
      <c r="DN223" s="107">
        <f>SUM(Tabelle4[[#This Row],[Aufwand  ]],Tabelle4[[#This Row],[Aufwand  2]],Tabelle4[[#This Row],[Aufwand  3]],Tabelle4[[#This Row],[Aufwand  4]])</f>
        <v>0</v>
      </c>
      <c r="DO223" s="105"/>
      <c r="DP223" s="105"/>
      <c r="DQ223" s="105"/>
      <c r="DR223" s="105"/>
      <c r="DS223" s="105"/>
      <c r="DT223" s="105"/>
      <c r="DU223" s="105"/>
      <c r="DV223" s="105"/>
      <c r="DW223" s="107">
        <f>SUM(Tabelle4[[#This Row],[Aufwand   ]],Tabelle4[[#This Row],[Aufwand   2]],Tabelle4[[#This Row],[Aufwand   3]],Tabelle4[[#This Row],[Aufwand   4]])</f>
        <v>0</v>
      </c>
      <c r="DX223" s="105"/>
      <c r="DY223" s="105"/>
      <c r="DZ223" s="105"/>
      <c r="EA223" s="105"/>
      <c r="EB223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223" s="122">
        <f>Tabelle4[[#This Row],[Gesamaufwand]]/2000</f>
        <v>0</v>
      </c>
      <c r="ED223" s="47"/>
      <c r="EE223" s="47"/>
      <c r="EF223" s="47"/>
      <c r="EG223" s="47"/>
      <c r="EH223" s="47"/>
      <c r="EI223" s="47"/>
      <c r="EJ223" s="47"/>
      <c r="EK223" s="47"/>
      <c r="EL223" s="47"/>
    </row>
    <row r="224" spans="1:142">
      <c r="A224" s="255" t="s">
        <v>305</v>
      </c>
      <c r="B224" s="251" t="s">
        <v>105</v>
      </c>
      <c r="C224" s="254" t="s">
        <v>75</v>
      </c>
      <c r="D224" s="251" t="s">
        <v>914</v>
      </c>
      <c r="E224" s="251" t="s">
        <v>116</v>
      </c>
      <c r="F224" s="253">
        <v>3</v>
      </c>
      <c r="G224" s="253">
        <v>2</v>
      </c>
      <c r="H224" s="253"/>
      <c r="I224" s="254" t="s">
        <v>95</v>
      </c>
      <c r="J224" s="254"/>
      <c r="K224" s="105"/>
      <c r="L224" s="105"/>
      <c r="M224" s="48"/>
      <c r="N224" s="105"/>
      <c r="O224" s="255" t="s">
        <v>306</v>
      </c>
      <c r="P224" s="261">
        <v>1</v>
      </c>
      <c r="Q224" s="261">
        <v>0</v>
      </c>
      <c r="R224" s="261">
        <v>0</v>
      </c>
      <c r="S224" s="262" t="s">
        <v>307</v>
      </c>
      <c r="T224" s="263" t="s">
        <v>75</v>
      </c>
      <c r="U224" s="105"/>
      <c r="V224" s="259" t="s">
        <v>12</v>
      </c>
      <c r="W224" s="105" t="s">
        <v>75</v>
      </c>
      <c r="X224" s="105" t="s">
        <v>75</v>
      </c>
      <c r="Y224" s="105" t="s">
        <v>690</v>
      </c>
      <c r="Z224" s="105" t="s">
        <v>9</v>
      </c>
      <c r="AA224" s="105" t="s">
        <v>75</v>
      </c>
      <c r="AB224" s="105" t="s">
        <v>75</v>
      </c>
      <c r="AC224" s="105" t="s">
        <v>75</v>
      </c>
      <c r="AD224" s="105"/>
      <c r="AE224" s="105"/>
      <c r="AF224" s="105"/>
      <c r="AG224" s="105"/>
      <c r="AH224" s="115" t="s">
        <v>802</v>
      </c>
      <c r="AI224" s="115"/>
      <c r="AJ224" s="115"/>
      <c r="AK224" s="105"/>
      <c r="AL224" s="115"/>
      <c r="AM224" s="115"/>
      <c r="AN224" s="115"/>
      <c r="AO224" s="260">
        <f>Tabelle4[[#This Row],[Kredit-  / Budgetsumme
(RADAR: Gesamtkosten S)]]-Tabelle4[[#This Row],[Netto-Ausgaben Vorjahre ]]</f>
        <v>0</v>
      </c>
      <c r="AP224" s="310"/>
      <c r="AQ224" s="311">
        <v>20000</v>
      </c>
      <c r="AR224" s="115">
        <f>Tabelle4[[#This Row],[Kreditrest per 1.1. aktuelles Jahr]]-Tabelle4[[#This Row],[Prognose 2018
(RADAR: Kosten 2018 S)]]</f>
        <v>-20000</v>
      </c>
      <c r="AS224" s="115"/>
      <c r="AT224" s="311">
        <v>200000</v>
      </c>
      <c r="AU224" s="115"/>
      <c r="AV224" s="311"/>
      <c r="AW224" s="115"/>
      <c r="AX224" s="311"/>
      <c r="AY224" s="115"/>
      <c r="AZ224" s="311"/>
      <c r="BA224" s="115"/>
      <c r="BB224" s="311"/>
      <c r="BC224" s="115"/>
      <c r="BD224" s="311"/>
      <c r="BE224" s="115"/>
      <c r="BF224" s="311"/>
      <c r="BG224" s="115"/>
      <c r="BH224" s="311"/>
      <c r="BI224" s="115"/>
      <c r="BJ224" s="115"/>
      <c r="BK224" s="264"/>
      <c r="BL224" s="105"/>
      <c r="BM224" s="106"/>
      <c r="BN224" s="106"/>
      <c r="BO224" s="106"/>
      <c r="BP224" s="106"/>
      <c r="BQ224" s="106"/>
      <c r="BR224" s="106"/>
      <c r="BS224" s="106"/>
      <c r="BT224" s="108">
        <f>SUM(Tabelle4[[#This Row],[Projektverantwortung
(Lenkungsausschuss) ]:[Kommunikation ]])</f>
        <v>0</v>
      </c>
      <c r="BU224" s="105"/>
      <c r="BV224" s="106"/>
      <c r="BW224" s="106"/>
      <c r="BX224" s="106"/>
      <c r="BY224" s="106"/>
      <c r="BZ224" s="106"/>
      <c r="CA224" s="106"/>
      <c r="CB224" s="106"/>
      <c r="CC224" s="108">
        <f>SUM(Tabelle4[[#This Row],[Projektverantwortung
(Lenkungsausschuss)   ]:[Kommunikation   ]])</f>
        <v>0</v>
      </c>
      <c r="CD224" s="105"/>
      <c r="CE224" s="106"/>
      <c r="CF224" s="106"/>
      <c r="CG224" s="106"/>
      <c r="CH224" s="106"/>
      <c r="CI224" s="106"/>
      <c r="CJ224" s="106"/>
      <c r="CK224" s="106"/>
      <c r="CL224" s="108">
        <f>SUM(Tabelle4[[#This Row],[Projektverantwortung
(Lenkungsausschuss).]:[Kommunikation    ]])</f>
        <v>0</v>
      </c>
      <c r="CM224" s="105"/>
      <c r="CN224" s="106"/>
      <c r="CO224" s="106"/>
      <c r="CP224" s="106"/>
      <c r="CQ224" s="106"/>
      <c r="CR224" s="106"/>
      <c r="CS224" s="106"/>
      <c r="CT224" s="106"/>
      <c r="CU224" s="108">
        <f>SUM(Tabelle4[[#This Row],[Projektverantwortung
(Lenkungsausschuss)    ]:[Kommunikation     ]])</f>
        <v>0</v>
      </c>
      <c r="CV224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224" s="105"/>
      <c r="CX224" s="105"/>
      <c r="CY224" s="105"/>
      <c r="CZ224" s="105"/>
      <c r="DA224" s="105"/>
      <c r="DB224" s="105"/>
      <c r="DC224" s="105"/>
      <c r="DD224" s="105"/>
      <c r="DE224" s="107">
        <f>SUM(Tabelle4[[#This Row],[Aufwand ]],Tabelle4[[#This Row],[Aufwand 2]],Tabelle4[[#This Row],[Aufwand 3]],Tabelle4[[#This Row],[Aufwand 4]])</f>
        <v>0</v>
      </c>
      <c r="DF224" s="105"/>
      <c r="DG224" s="105"/>
      <c r="DH224" s="105"/>
      <c r="DI224" s="105"/>
      <c r="DJ224" s="105"/>
      <c r="DK224" s="105"/>
      <c r="DL224" s="105"/>
      <c r="DM224" s="105"/>
      <c r="DN224" s="107">
        <f>SUM(Tabelle4[[#This Row],[Aufwand  ]],Tabelle4[[#This Row],[Aufwand  2]],Tabelle4[[#This Row],[Aufwand  3]],Tabelle4[[#This Row],[Aufwand  4]])</f>
        <v>0</v>
      </c>
      <c r="DO224" s="105"/>
      <c r="DP224" s="105"/>
      <c r="DQ224" s="105"/>
      <c r="DR224" s="105"/>
      <c r="DS224" s="105"/>
      <c r="DT224" s="105"/>
      <c r="DU224" s="105"/>
      <c r="DV224" s="105"/>
      <c r="DW224" s="107">
        <f>SUM(Tabelle4[[#This Row],[Aufwand   ]],Tabelle4[[#This Row],[Aufwand   2]],Tabelle4[[#This Row],[Aufwand   3]],Tabelle4[[#This Row],[Aufwand   4]])</f>
        <v>0</v>
      </c>
      <c r="DX224" s="105"/>
      <c r="DY224" s="105"/>
      <c r="DZ224" s="105"/>
      <c r="EA224" s="105"/>
      <c r="EB224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224" s="122">
        <f>Tabelle4[[#This Row],[Gesamaufwand]]/2000</f>
        <v>0</v>
      </c>
      <c r="ED224" s="47"/>
      <c r="EE224" s="47"/>
      <c r="EF224" s="47"/>
      <c r="EG224" s="47"/>
      <c r="EH224" s="47"/>
      <c r="EI224" s="47"/>
      <c r="EJ224" s="47"/>
      <c r="EK224" s="47"/>
      <c r="EL224" s="47"/>
    </row>
    <row r="225" spans="1:142">
      <c r="A225" s="255" t="s">
        <v>165</v>
      </c>
      <c r="B225" s="251" t="s">
        <v>105</v>
      </c>
      <c r="C225" s="254" t="s">
        <v>75</v>
      </c>
      <c r="D225" s="251" t="s">
        <v>914</v>
      </c>
      <c r="E225" s="251"/>
      <c r="F225" s="253">
        <v>3</v>
      </c>
      <c r="G225" s="253">
        <v>5</v>
      </c>
      <c r="H225" s="253"/>
      <c r="I225" s="254" t="s">
        <v>95</v>
      </c>
      <c r="J225" s="254"/>
      <c r="K225" s="105"/>
      <c r="L225" s="105"/>
      <c r="M225" s="48"/>
      <c r="N225" s="105"/>
      <c r="O225" s="255" t="s">
        <v>166</v>
      </c>
      <c r="P225" s="261">
        <v>4</v>
      </c>
      <c r="Q225" s="261">
        <v>0</v>
      </c>
      <c r="R225" s="261">
        <v>0</v>
      </c>
      <c r="S225" s="262" t="s">
        <v>140</v>
      </c>
      <c r="T225" s="263" t="s">
        <v>673</v>
      </c>
      <c r="U225" s="105"/>
      <c r="V225" s="259" t="s">
        <v>12</v>
      </c>
      <c r="W225" s="105" t="s">
        <v>7</v>
      </c>
      <c r="X225" s="105" t="s">
        <v>75</v>
      </c>
      <c r="Y225" s="105" t="s">
        <v>690</v>
      </c>
      <c r="Z225" s="105" t="s">
        <v>78</v>
      </c>
      <c r="AA225" s="105" t="s">
        <v>78</v>
      </c>
      <c r="AB225" s="105" t="s">
        <v>75</v>
      </c>
      <c r="AC225" s="105" t="s">
        <v>85</v>
      </c>
      <c r="AD225" s="105"/>
      <c r="AE225" s="105"/>
      <c r="AF225" s="105"/>
      <c r="AG225" s="105"/>
      <c r="AH225" s="115" t="s">
        <v>690</v>
      </c>
      <c r="AI225" s="115"/>
      <c r="AJ225" s="115"/>
      <c r="AK225" s="105"/>
      <c r="AL225" s="115"/>
      <c r="AM225" s="115"/>
      <c r="AN225" s="115"/>
      <c r="AO225" s="260">
        <f>Tabelle4[[#This Row],[Kredit-  / Budgetsumme
(RADAR: Gesamtkosten S)]]-Tabelle4[[#This Row],[Netto-Ausgaben Vorjahre ]]</f>
        <v>0</v>
      </c>
      <c r="AP225" s="310"/>
      <c r="AQ225" s="311"/>
      <c r="AR225" s="115">
        <f>Tabelle4[[#This Row],[Kreditrest per 1.1. aktuelles Jahr]]-Tabelle4[[#This Row],[Prognose 2018
(RADAR: Kosten 2018 S)]]</f>
        <v>0</v>
      </c>
      <c r="AS225" s="115"/>
      <c r="AT225" s="311"/>
      <c r="AU225" s="115"/>
      <c r="AV225" s="311"/>
      <c r="AW225" s="115"/>
      <c r="AX225" s="311"/>
      <c r="AY225" s="115"/>
      <c r="AZ225" s="311"/>
      <c r="BA225" s="115"/>
      <c r="BB225" s="311"/>
      <c r="BC225" s="115"/>
      <c r="BD225" s="311"/>
      <c r="BE225" s="115"/>
      <c r="BF225" s="311"/>
      <c r="BG225" s="115"/>
      <c r="BH225" s="311"/>
      <c r="BI225" s="115"/>
      <c r="BJ225" s="115"/>
      <c r="BK225" s="264"/>
      <c r="BL225" s="105"/>
      <c r="BM225" s="106"/>
      <c r="BN225" s="106"/>
      <c r="BO225" s="106">
        <v>20</v>
      </c>
      <c r="BP225" s="106"/>
      <c r="BQ225" s="106"/>
      <c r="BR225" s="106">
        <v>20</v>
      </c>
      <c r="BS225" s="106"/>
      <c r="BT225" s="108">
        <f>SUM(Tabelle4[[#This Row],[Projektverantwortung
(Lenkungsausschuss) ]:[Kommunikation ]])</f>
        <v>40</v>
      </c>
      <c r="BU225" s="105"/>
      <c r="BV225" s="106"/>
      <c r="BW225" s="106"/>
      <c r="BX225" s="106">
        <v>20</v>
      </c>
      <c r="BY225" s="106"/>
      <c r="BZ225" s="106"/>
      <c r="CA225" s="106">
        <v>20</v>
      </c>
      <c r="CB225" s="106"/>
      <c r="CC225" s="108">
        <f>SUM(Tabelle4[[#This Row],[Projektverantwortung
(Lenkungsausschuss)   ]:[Kommunikation   ]])</f>
        <v>40</v>
      </c>
      <c r="CD225" s="105"/>
      <c r="CE225" s="106"/>
      <c r="CF225" s="106"/>
      <c r="CG225" s="106">
        <v>20</v>
      </c>
      <c r="CH225" s="106"/>
      <c r="CI225" s="106"/>
      <c r="CJ225" s="106">
        <v>20</v>
      </c>
      <c r="CK225" s="106"/>
      <c r="CL225" s="108">
        <f>SUM(Tabelle4[[#This Row],[Projektverantwortung
(Lenkungsausschuss).]:[Kommunikation    ]])</f>
        <v>40</v>
      </c>
      <c r="CM225" s="105"/>
      <c r="CN225" s="106"/>
      <c r="CO225" s="106"/>
      <c r="CP225" s="106">
        <v>20</v>
      </c>
      <c r="CQ225" s="106"/>
      <c r="CR225" s="106"/>
      <c r="CS225" s="106">
        <v>20</v>
      </c>
      <c r="CT225" s="106"/>
      <c r="CU225" s="108">
        <f>SUM(Tabelle4[[#This Row],[Projektverantwortung
(Lenkungsausschuss)    ]:[Kommunikation     ]])</f>
        <v>40</v>
      </c>
      <c r="CV225" s="107">
        <f>SUM(Tabelle4[[#This Row],[Total Aufwand
1. Quartal 2018]],Tabelle4[[#This Row],[Total Aufwand
2. Quartal 2018]],Tabelle4[[#This Row],[Total Aufwand
3. Quartal 2018]],Tabelle4[[#This Row],[Total Aufwand
4. Quartal 2018]])</f>
        <v>160</v>
      </c>
      <c r="CW225" s="105"/>
      <c r="CX225" s="105"/>
      <c r="CY225" s="105"/>
      <c r="CZ225" s="105"/>
      <c r="DA225" s="105"/>
      <c r="DB225" s="105"/>
      <c r="DC225" s="105"/>
      <c r="DD225" s="105"/>
      <c r="DE225" s="107">
        <f>SUM(Tabelle4[[#This Row],[Aufwand ]],Tabelle4[[#This Row],[Aufwand 2]],Tabelle4[[#This Row],[Aufwand 3]],Tabelle4[[#This Row],[Aufwand 4]])</f>
        <v>0</v>
      </c>
      <c r="DF225" s="105"/>
      <c r="DG225" s="105"/>
      <c r="DH225" s="105"/>
      <c r="DI225" s="105"/>
      <c r="DJ225" s="105"/>
      <c r="DK225" s="105"/>
      <c r="DL225" s="105"/>
      <c r="DM225" s="105"/>
      <c r="DN225" s="107">
        <f>SUM(Tabelle4[[#This Row],[Aufwand  ]],Tabelle4[[#This Row],[Aufwand  2]],Tabelle4[[#This Row],[Aufwand  3]],Tabelle4[[#This Row],[Aufwand  4]])</f>
        <v>0</v>
      </c>
      <c r="DO225" s="105"/>
      <c r="DP225" s="105"/>
      <c r="DQ225" s="105"/>
      <c r="DR225" s="105"/>
      <c r="DS225" s="105"/>
      <c r="DT225" s="105"/>
      <c r="DU225" s="105"/>
      <c r="DV225" s="105"/>
      <c r="DW225" s="107">
        <f>SUM(Tabelle4[[#This Row],[Aufwand   ]],Tabelle4[[#This Row],[Aufwand   2]],Tabelle4[[#This Row],[Aufwand   3]],Tabelle4[[#This Row],[Aufwand   4]])</f>
        <v>0</v>
      </c>
      <c r="DX225" s="105"/>
      <c r="DY225" s="105"/>
      <c r="DZ225" s="105"/>
      <c r="EA225" s="105"/>
      <c r="EB225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160</v>
      </c>
      <c r="EC225" s="122">
        <f>Tabelle4[[#This Row],[Gesamaufwand]]/2000</f>
        <v>0.08</v>
      </c>
      <c r="ED225" s="47"/>
      <c r="EE225" s="47"/>
      <c r="EF225" s="47"/>
      <c r="EG225" s="47"/>
      <c r="EH225" s="47"/>
      <c r="EI225" s="47"/>
      <c r="EJ225" s="47"/>
      <c r="EK225" s="47"/>
      <c r="EL225" s="47"/>
    </row>
    <row r="226" spans="1:142">
      <c r="A226" s="255" t="s">
        <v>581</v>
      </c>
      <c r="B226" s="251" t="s">
        <v>105</v>
      </c>
      <c r="C226" s="254" t="s">
        <v>75</v>
      </c>
      <c r="D226" s="251" t="s">
        <v>913</v>
      </c>
      <c r="E226" s="251" t="s">
        <v>696</v>
      </c>
      <c r="F226" s="253">
        <v>5</v>
      </c>
      <c r="G226" s="253">
        <v>4</v>
      </c>
      <c r="H226" s="253"/>
      <c r="I226" s="254" t="s">
        <v>96</v>
      </c>
      <c r="J226" s="254"/>
      <c r="K226" s="105"/>
      <c r="L226" s="105"/>
      <c r="M226" s="48"/>
      <c r="N226" s="105"/>
      <c r="O226" s="255" t="s">
        <v>582</v>
      </c>
      <c r="P226" s="261">
        <v>2</v>
      </c>
      <c r="Q226" s="261">
        <v>0</v>
      </c>
      <c r="R226" s="261">
        <v>0</v>
      </c>
      <c r="S226" s="262" t="s">
        <v>270</v>
      </c>
      <c r="T226" s="263" t="s">
        <v>671</v>
      </c>
      <c r="U226" s="105"/>
      <c r="V226" s="259" t="s">
        <v>615</v>
      </c>
      <c r="W226" s="105" t="s">
        <v>6</v>
      </c>
      <c r="X226" s="105" t="s">
        <v>75</v>
      </c>
      <c r="Y226" s="105" t="s">
        <v>690</v>
      </c>
      <c r="Z226" s="105" t="s">
        <v>13</v>
      </c>
      <c r="AA226" s="105" t="s">
        <v>639</v>
      </c>
      <c r="AB226" s="105" t="s">
        <v>639</v>
      </c>
      <c r="AC226" s="105" t="s">
        <v>639</v>
      </c>
      <c r="AD226" s="105"/>
      <c r="AE226" s="105"/>
      <c r="AF226" s="105"/>
      <c r="AG226" s="105"/>
      <c r="AH226" s="115" t="s">
        <v>621</v>
      </c>
      <c r="AI226" s="115"/>
      <c r="AJ226" s="115"/>
      <c r="AK226" s="105"/>
      <c r="AL226" s="115"/>
      <c r="AM226" s="115"/>
      <c r="AN226" s="115"/>
      <c r="AO226" s="260">
        <f>Tabelle4[[#This Row],[Kredit-  / Budgetsumme
(RADAR: Gesamtkosten S)]]-Tabelle4[[#This Row],[Netto-Ausgaben Vorjahre ]]</f>
        <v>0</v>
      </c>
      <c r="AP226" s="310"/>
      <c r="AQ226" s="311"/>
      <c r="AR226" s="115">
        <f>Tabelle4[[#This Row],[Kreditrest per 1.1. aktuelles Jahr]]-Tabelle4[[#This Row],[Prognose 2018
(RADAR: Kosten 2018 S)]]</f>
        <v>0</v>
      </c>
      <c r="AS226" s="115"/>
      <c r="AT226" s="311"/>
      <c r="AU226" s="115"/>
      <c r="AV226" s="311"/>
      <c r="AW226" s="115"/>
      <c r="AX226" s="311"/>
      <c r="AY226" s="115"/>
      <c r="AZ226" s="311"/>
      <c r="BA226" s="115"/>
      <c r="BB226" s="311"/>
      <c r="BC226" s="115"/>
      <c r="BD226" s="311"/>
      <c r="BE226" s="115"/>
      <c r="BF226" s="311"/>
      <c r="BG226" s="115"/>
      <c r="BH226" s="311"/>
      <c r="BI226" s="115"/>
      <c r="BJ226" s="115"/>
      <c r="BK226" s="264"/>
      <c r="BL226" s="105"/>
      <c r="BM226" s="106"/>
      <c r="BN226" s="106"/>
      <c r="BO226" s="106">
        <v>20</v>
      </c>
      <c r="BP226" s="106"/>
      <c r="BQ226" s="106"/>
      <c r="BR226" s="106"/>
      <c r="BS226" s="106"/>
      <c r="BT226" s="108">
        <f>SUM(Tabelle4[[#This Row],[Projektverantwortung
(Lenkungsausschuss) ]:[Kommunikation ]])</f>
        <v>20</v>
      </c>
      <c r="BU226" s="105"/>
      <c r="BV226" s="106">
        <v>0</v>
      </c>
      <c r="BW226" s="106">
        <v>0</v>
      </c>
      <c r="BX226" s="106">
        <v>0</v>
      </c>
      <c r="BY226" s="106">
        <v>0</v>
      </c>
      <c r="BZ226" s="106">
        <v>0</v>
      </c>
      <c r="CA226" s="106">
        <v>0</v>
      </c>
      <c r="CB226" s="106">
        <v>0</v>
      </c>
      <c r="CC226" s="108">
        <f>SUM(Tabelle4[[#This Row],[Projektverantwortung
(Lenkungsausschuss)   ]:[Kommunikation   ]])</f>
        <v>0</v>
      </c>
      <c r="CD226" s="105"/>
      <c r="CE226" s="106">
        <v>0</v>
      </c>
      <c r="CF226" s="106">
        <v>0</v>
      </c>
      <c r="CG226" s="106">
        <v>0</v>
      </c>
      <c r="CH226" s="106">
        <v>0</v>
      </c>
      <c r="CI226" s="106">
        <v>0</v>
      </c>
      <c r="CJ226" s="106">
        <v>0</v>
      </c>
      <c r="CK226" s="106">
        <v>0</v>
      </c>
      <c r="CL226" s="108">
        <f>SUM(Tabelle4[[#This Row],[Projektverantwortung
(Lenkungsausschuss).]:[Kommunikation    ]])</f>
        <v>0</v>
      </c>
      <c r="CM226" s="105"/>
      <c r="CN226" s="106">
        <v>0</v>
      </c>
      <c r="CO226" s="106">
        <v>0</v>
      </c>
      <c r="CP226" s="106">
        <v>0</v>
      </c>
      <c r="CQ226" s="106">
        <v>0</v>
      </c>
      <c r="CR226" s="106">
        <v>0</v>
      </c>
      <c r="CS226" s="106">
        <v>0</v>
      </c>
      <c r="CT226" s="106">
        <v>0</v>
      </c>
      <c r="CU226" s="108">
        <f>SUM(Tabelle4[[#This Row],[Projektverantwortung
(Lenkungsausschuss)    ]:[Kommunikation     ]])</f>
        <v>0</v>
      </c>
      <c r="CV226" s="107">
        <f>SUM(Tabelle4[[#This Row],[Total Aufwand
1. Quartal 2018]],Tabelle4[[#This Row],[Total Aufwand
2. Quartal 2018]],Tabelle4[[#This Row],[Total Aufwand
3. Quartal 2018]],Tabelle4[[#This Row],[Total Aufwand
4. Quartal 2018]])</f>
        <v>20</v>
      </c>
      <c r="CW226" s="105"/>
      <c r="CX226" s="105"/>
      <c r="CY226" s="105"/>
      <c r="CZ226" s="105"/>
      <c r="DA226" s="105"/>
      <c r="DB226" s="105"/>
      <c r="DC226" s="105"/>
      <c r="DD226" s="105"/>
      <c r="DE226" s="107">
        <f>SUM(Tabelle4[[#This Row],[Aufwand ]],Tabelle4[[#This Row],[Aufwand 2]],Tabelle4[[#This Row],[Aufwand 3]],Tabelle4[[#This Row],[Aufwand 4]])</f>
        <v>0</v>
      </c>
      <c r="DF226" s="105"/>
      <c r="DG226" s="105"/>
      <c r="DH226" s="105"/>
      <c r="DI226" s="105"/>
      <c r="DJ226" s="105"/>
      <c r="DK226" s="105"/>
      <c r="DL226" s="105"/>
      <c r="DM226" s="105"/>
      <c r="DN226" s="107">
        <f>SUM(Tabelle4[[#This Row],[Aufwand  ]],Tabelle4[[#This Row],[Aufwand  2]],Tabelle4[[#This Row],[Aufwand  3]],Tabelle4[[#This Row],[Aufwand  4]])</f>
        <v>0</v>
      </c>
      <c r="DO226" s="105"/>
      <c r="DP226" s="105"/>
      <c r="DQ226" s="105"/>
      <c r="DR226" s="105"/>
      <c r="DS226" s="105"/>
      <c r="DT226" s="105"/>
      <c r="DU226" s="105"/>
      <c r="DV226" s="105"/>
      <c r="DW226" s="107">
        <f>SUM(Tabelle4[[#This Row],[Aufwand   ]],Tabelle4[[#This Row],[Aufwand   2]],Tabelle4[[#This Row],[Aufwand   3]],Tabelle4[[#This Row],[Aufwand   4]])</f>
        <v>0</v>
      </c>
      <c r="DX226" s="105"/>
      <c r="DY226" s="105"/>
      <c r="DZ226" s="105"/>
      <c r="EA226" s="105"/>
      <c r="EB226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20</v>
      </c>
      <c r="EC226" s="122">
        <f>Tabelle4[[#This Row],[Gesamaufwand]]/2000</f>
        <v>0.01</v>
      </c>
      <c r="ED226" s="47"/>
      <c r="EE226" s="47"/>
      <c r="EF226" s="47"/>
      <c r="EG226" s="47"/>
      <c r="EH226" s="47"/>
      <c r="EI226" s="47"/>
      <c r="EJ226" s="47"/>
      <c r="EK226" s="47"/>
      <c r="EL226" s="47"/>
    </row>
    <row r="227" spans="1:142">
      <c r="A227" s="248" t="s">
        <v>854</v>
      </c>
      <c r="B227" s="249"/>
      <c r="C227" s="250"/>
      <c r="D227" s="249"/>
      <c r="E227" s="249"/>
      <c r="F227" s="252"/>
      <c r="G227" s="252"/>
      <c r="H227" s="252"/>
      <c r="I227" s="250"/>
      <c r="J227" s="250"/>
      <c r="K227" s="110"/>
      <c r="L227" s="110"/>
      <c r="M227" s="77"/>
      <c r="N227" s="110"/>
      <c r="O227" s="248"/>
      <c r="P227" s="256"/>
      <c r="Q227" s="256"/>
      <c r="R227" s="256"/>
      <c r="S227" s="257"/>
      <c r="T227" s="258"/>
      <c r="U227" s="110"/>
      <c r="V227" s="266"/>
      <c r="W227" s="110"/>
      <c r="X227" s="110"/>
      <c r="Y227" s="110"/>
      <c r="Z227" s="110"/>
      <c r="AA227" s="110"/>
      <c r="AB227" s="110"/>
      <c r="AC227" s="110"/>
      <c r="AD227" s="105"/>
      <c r="AE227" s="110"/>
      <c r="AF227" s="110"/>
      <c r="AG227" s="110"/>
      <c r="AH227" s="260" t="s">
        <v>802</v>
      </c>
      <c r="AI227" s="260"/>
      <c r="AJ227" s="260"/>
      <c r="AK227" s="110"/>
      <c r="AL227" s="260"/>
      <c r="AM227" s="260"/>
      <c r="AN227" s="260"/>
      <c r="AO227" s="260">
        <f>Tabelle4[[#This Row],[Kredit-  / Budgetsumme
(RADAR: Gesamtkosten S)]]-Tabelle4[[#This Row],[Netto-Ausgaben Vorjahre ]]</f>
        <v>0</v>
      </c>
      <c r="AP227" s="310"/>
      <c r="AQ227" s="310"/>
      <c r="AR227" s="260">
        <f>Tabelle4[[#This Row],[Kreditrest per 1.1. aktuelles Jahr]]-Tabelle4[[#This Row],[Prognose 2018
(RADAR: Kosten 2018 S)]]</f>
        <v>0</v>
      </c>
      <c r="AS227" s="260"/>
      <c r="AT227" s="310">
        <v>250000</v>
      </c>
      <c r="AU227" s="260"/>
      <c r="AV227" s="310">
        <v>500000</v>
      </c>
      <c r="AW227" s="260"/>
      <c r="AX227" s="310">
        <v>500000</v>
      </c>
      <c r="AY227" s="260"/>
      <c r="AZ227" s="310">
        <v>500000</v>
      </c>
      <c r="BA227" s="260"/>
      <c r="BB227" s="310">
        <v>500000</v>
      </c>
      <c r="BC227" s="260"/>
      <c r="BD227" s="310">
        <v>500000</v>
      </c>
      <c r="BE227" s="260"/>
      <c r="BF227" s="310">
        <v>500000</v>
      </c>
      <c r="BG227" s="260"/>
      <c r="BH227" s="310">
        <v>500000</v>
      </c>
      <c r="BI227" s="260"/>
      <c r="BJ227" s="260"/>
      <c r="BK227" s="260"/>
      <c r="BL227" s="105"/>
      <c r="BM227" s="111"/>
      <c r="BN227" s="111"/>
      <c r="BO227" s="111"/>
      <c r="BP227" s="111"/>
      <c r="BQ227" s="111"/>
      <c r="BR227" s="111"/>
      <c r="BS227" s="111"/>
      <c r="BT227" s="113">
        <f>SUM(Tabelle4[[#This Row],[Projektverantwortung
(Lenkungsausschuss) ]:[Kommunikation ]])</f>
        <v>0</v>
      </c>
      <c r="BU227" s="113"/>
      <c r="BV227" s="106"/>
      <c r="BW227" s="106"/>
      <c r="BX227" s="106"/>
      <c r="BY227" s="106"/>
      <c r="BZ227" s="106"/>
      <c r="CA227" s="106"/>
      <c r="CB227" s="106"/>
      <c r="CC227" s="113">
        <f>SUM(Tabelle4[[#This Row],[Projektverantwortung
(Lenkungsausschuss)   ]:[Kommunikation   ]])</f>
        <v>0</v>
      </c>
      <c r="CD227" s="113"/>
      <c r="CE227" s="114"/>
      <c r="CF227" s="114"/>
      <c r="CG227" s="114"/>
      <c r="CH227" s="114"/>
      <c r="CI227" s="114"/>
      <c r="CJ227" s="114"/>
      <c r="CK227" s="114"/>
      <c r="CL227" s="113">
        <f>SUM(Tabelle4[[#This Row],[Projektverantwortung
(Lenkungsausschuss).]:[Kommunikation    ]])</f>
        <v>0</v>
      </c>
      <c r="CM227" s="113"/>
      <c r="CN227" s="114"/>
      <c r="CO227" s="114"/>
      <c r="CP227" s="114"/>
      <c r="CQ227" s="114"/>
      <c r="CR227" s="114"/>
      <c r="CS227" s="114"/>
      <c r="CT227" s="114"/>
      <c r="CU227" s="113">
        <f>SUM(Tabelle4[[#This Row],[Projektverantwortung
(Lenkungsausschuss)    ]:[Kommunikation     ]])</f>
        <v>0</v>
      </c>
      <c r="CV227" s="112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227" s="105"/>
      <c r="CX227" s="105"/>
      <c r="CY227" s="105"/>
      <c r="CZ227" s="105"/>
      <c r="DA227" s="105"/>
      <c r="DB227" s="105"/>
      <c r="DC227" s="105"/>
      <c r="DD227" s="105"/>
      <c r="DE227" s="112">
        <f>SUM(Tabelle4[[#This Row],[Aufwand ]],Tabelle4[[#This Row],[Aufwand 2]],Tabelle4[[#This Row],[Aufwand 3]],Tabelle4[[#This Row],[Aufwand 4]])</f>
        <v>0</v>
      </c>
      <c r="DF227" s="142"/>
      <c r="DG227" s="110"/>
      <c r="DH227" s="110"/>
      <c r="DI227" s="142"/>
      <c r="DJ227" s="110"/>
      <c r="DK227" s="142"/>
      <c r="DL227" s="110"/>
      <c r="DM227" s="142"/>
      <c r="DN227" s="112">
        <f>SUM(Tabelle4[[#This Row],[Aufwand  ]],Tabelle4[[#This Row],[Aufwand  2]],Tabelle4[[#This Row],[Aufwand  3]],Tabelle4[[#This Row],[Aufwand  4]])</f>
        <v>0</v>
      </c>
      <c r="DO227" s="142"/>
      <c r="DP227" s="110"/>
      <c r="DQ227" s="110"/>
      <c r="DR227" s="142"/>
      <c r="DS227" s="110"/>
      <c r="DT227" s="142"/>
      <c r="DU227" s="110"/>
      <c r="DV227" s="142"/>
      <c r="DW227" s="107">
        <f>SUM(Tabelle4[[#This Row],[Aufwand   ]],Tabelle4[[#This Row],[Aufwand   2]],Tabelle4[[#This Row],[Aufwand   3]],Tabelle4[[#This Row],[Aufwand   4]])</f>
        <v>0</v>
      </c>
      <c r="DX227" s="142"/>
      <c r="DY227" s="143"/>
      <c r="DZ227" s="105"/>
      <c r="EA227" s="105"/>
      <c r="EB227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227" s="122">
        <f>Tabelle4[[#This Row],[Gesamaufwand]]/2000</f>
        <v>0</v>
      </c>
      <c r="ED227" s="48"/>
      <c r="EE227" s="48"/>
      <c r="EF227" s="48"/>
      <c r="EG227" s="48"/>
      <c r="EH227" s="48"/>
      <c r="EI227" s="47"/>
      <c r="EJ227" s="47"/>
      <c r="EK227" s="47"/>
      <c r="EL227" s="47"/>
    </row>
    <row r="228" spans="1:142">
      <c r="A228" s="255" t="s">
        <v>167</v>
      </c>
      <c r="B228" s="251" t="s">
        <v>75</v>
      </c>
      <c r="C228" s="254" t="s">
        <v>690</v>
      </c>
      <c r="D228" s="251" t="s">
        <v>914</v>
      </c>
      <c r="E228" s="251" t="s">
        <v>116</v>
      </c>
      <c r="F228" s="253">
        <v>1</v>
      </c>
      <c r="G228" s="253">
        <v>2</v>
      </c>
      <c r="H228" s="253"/>
      <c r="I228" s="254" t="s">
        <v>95</v>
      </c>
      <c r="J228" s="254"/>
      <c r="K228" s="105"/>
      <c r="L228" s="105"/>
      <c r="M228" s="48"/>
      <c r="N228" s="105"/>
      <c r="O228" s="255" t="s">
        <v>168</v>
      </c>
      <c r="P228" s="261">
        <v>3</v>
      </c>
      <c r="Q228" s="261">
        <v>0</v>
      </c>
      <c r="R228" s="261">
        <v>0</v>
      </c>
      <c r="S228" s="262" t="s">
        <v>159</v>
      </c>
      <c r="T228" s="263" t="s">
        <v>673</v>
      </c>
      <c r="U228" s="105"/>
      <c r="V228" s="259" t="s">
        <v>12</v>
      </c>
      <c r="W228" s="105" t="s">
        <v>6</v>
      </c>
      <c r="X228" s="105" t="s">
        <v>86</v>
      </c>
      <c r="Y228" s="105" t="s">
        <v>9</v>
      </c>
      <c r="Z228" s="105" t="s">
        <v>79</v>
      </c>
      <c r="AA228" s="105"/>
      <c r="AB228" s="105"/>
      <c r="AC228" s="105"/>
      <c r="AD228" s="105"/>
      <c r="AE228" s="105"/>
      <c r="AF228" s="105"/>
      <c r="AG228" s="105"/>
      <c r="AH228" s="115" t="s">
        <v>690</v>
      </c>
      <c r="AI228" s="115"/>
      <c r="AJ228" s="115"/>
      <c r="AK228" s="105"/>
      <c r="AL228" s="115"/>
      <c r="AM228" s="115"/>
      <c r="AN228" s="115"/>
      <c r="AO228" s="260">
        <f>Tabelle4[[#This Row],[Kredit-  / Budgetsumme
(RADAR: Gesamtkosten S)]]-Tabelle4[[#This Row],[Netto-Ausgaben Vorjahre ]]</f>
        <v>0</v>
      </c>
      <c r="AP228" s="310"/>
      <c r="AQ228" s="311"/>
      <c r="AR228" s="115">
        <f>Tabelle4[[#This Row],[Kreditrest per 1.1. aktuelles Jahr]]-Tabelle4[[#This Row],[Prognose 2018
(RADAR: Kosten 2018 S)]]</f>
        <v>0</v>
      </c>
      <c r="AS228" s="115"/>
      <c r="AT228" s="311"/>
      <c r="AU228" s="115"/>
      <c r="AV228" s="311"/>
      <c r="AW228" s="115"/>
      <c r="AX228" s="311"/>
      <c r="AY228" s="115"/>
      <c r="AZ228" s="311"/>
      <c r="BA228" s="115"/>
      <c r="BB228" s="311"/>
      <c r="BC228" s="115"/>
      <c r="BD228" s="311"/>
      <c r="BE228" s="115"/>
      <c r="BF228" s="311"/>
      <c r="BG228" s="115"/>
      <c r="BH228" s="311"/>
      <c r="BI228" s="115"/>
      <c r="BJ228" s="115"/>
      <c r="BK228" s="264"/>
      <c r="BL228" s="105"/>
      <c r="BM228" s="106">
        <v>8</v>
      </c>
      <c r="BN228" s="106">
        <v>8</v>
      </c>
      <c r="BO228" s="106">
        <v>20</v>
      </c>
      <c r="BP228" s="106"/>
      <c r="BQ228" s="106"/>
      <c r="BR228" s="106"/>
      <c r="BS228" s="106"/>
      <c r="BT228" s="108">
        <f>SUM(Tabelle4[[#This Row],[Projektverantwortung
(Lenkungsausschuss) ]:[Kommunikation ]])</f>
        <v>36</v>
      </c>
      <c r="BU228" s="105"/>
      <c r="BV228" s="106">
        <v>8</v>
      </c>
      <c r="BW228" s="106">
        <v>8</v>
      </c>
      <c r="BX228" s="106">
        <v>80</v>
      </c>
      <c r="BY228" s="106"/>
      <c r="BZ228" s="106"/>
      <c r="CA228" s="106"/>
      <c r="CB228" s="106"/>
      <c r="CC228" s="108">
        <f>SUM(Tabelle4[[#This Row],[Projektverantwortung
(Lenkungsausschuss)   ]:[Kommunikation   ]])</f>
        <v>96</v>
      </c>
      <c r="CD228" s="105"/>
      <c r="CE228" s="106">
        <v>8</v>
      </c>
      <c r="CF228" s="106">
        <v>8</v>
      </c>
      <c r="CG228" s="106">
        <v>80</v>
      </c>
      <c r="CH228" s="106"/>
      <c r="CI228" s="106"/>
      <c r="CJ228" s="106"/>
      <c r="CK228" s="106"/>
      <c r="CL228" s="108">
        <f>SUM(Tabelle4[[#This Row],[Projektverantwortung
(Lenkungsausschuss).]:[Kommunikation    ]])</f>
        <v>96</v>
      </c>
      <c r="CM228" s="105"/>
      <c r="CN228" s="106">
        <v>8</v>
      </c>
      <c r="CO228" s="106">
        <v>8</v>
      </c>
      <c r="CP228" s="106">
        <v>80</v>
      </c>
      <c r="CQ228" s="106"/>
      <c r="CR228" s="106"/>
      <c r="CS228" s="106"/>
      <c r="CT228" s="106"/>
      <c r="CU228" s="108">
        <f>SUM(Tabelle4[[#This Row],[Projektverantwortung
(Lenkungsausschuss)    ]:[Kommunikation     ]])</f>
        <v>96</v>
      </c>
      <c r="CV228" s="107">
        <f>SUM(Tabelle4[[#This Row],[Total Aufwand
1. Quartal 2018]],Tabelle4[[#This Row],[Total Aufwand
2. Quartal 2018]],Tabelle4[[#This Row],[Total Aufwand
3. Quartal 2018]],Tabelle4[[#This Row],[Total Aufwand
4. Quartal 2018]])</f>
        <v>324</v>
      </c>
      <c r="CW228" s="105"/>
      <c r="CX228" s="105"/>
      <c r="CY228" s="105"/>
      <c r="CZ228" s="105"/>
      <c r="DA228" s="105"/>
      <c r="DB228" s="105"/>
      <c r="DC228" s="105"/>
      <c r="DD228" s="105"/>
      <c r="DE228" s="107">
        <f>SUM(Tabelle4[[#This Row],[Aufwand ]],Tabelle4[[#This Row],[Aufwand 2]],Tabelle4[[#This Row],[Aufwand 3]],Tabelle4[[#This Row],[Aufwand 4]])</f>
        <v>0</v>
      </c>
      <c r="DF228" s="105"/>
      <c r="DG228" s="105"/>
      <c r="DH228" s="105"/>
      <c r="DI228" s="105"/>
      <c r="DJ228" s="105"/>
      <c r="DK228" s="105"/>
      <c r="DL228" s="105"/>
      <c r="DM228" s="105"/>
      <c r="DN228" s="107">
        <f>SUM(Tabelle4[[#This Row],[Aufwand  ]],Tabelle4[[#This Row],[Aufwand  2]],Tabelle4[[#This Row],[Aufwand  3]],Tabelle4[[#This Row],[Aufwand  4]])</f>
        <v>0</v>
      </c>
      <c r="DO228" s="105"/>
      <c r="DP228" s="105"/>
      <c r="DQ228" s="105"/>
      <c r="DR228" s="105"/>
      <c r="DS228" s="105"/>
      <c r="DT228" s="105"/>
      <c r="DU228" s="105"/>
      <c r="DV228" s="105"/>
      <c r="DW228" s="107">
        <f>SUM(Tabelle4[[#This Row],[Aufwand   ]],Tabelle4[[#This Row],[Aufwand   2]],Tabelle4[[#This Row],[Aufwand   3]],Tabelle4[[#This Row],[Aufwand   4]])</f>
        <v>0</v>
      </c>
      <c r="DX228" s="105"/>
      <c r="DY228" s="105"/>
      <c r="DZ228" s="105"/>
      <c r="EA228" s="105"/>
      <c r="EB228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324</v>
      </c>
      <c r="EC228" s="122">
        <f>Tabelle4[[#This Row],[Gesamaufwand]]/2000</f>
        <v>0.16200000000000001</v>
      </c>
      <c r="ED228" s="47"/>
      <c r="EE228" s="47"/>
      <c r="EF228" s="47"/>
      <c r="EG228" s="47"/>
      <c r="EH228" s="47"/>
      <c r="EI228" s="47"/>
      <c r="EJ228" s="47"/>
      <c r="EK228" s="47"/>
      <c r="EL228" s="47"/>
    </row>
    <row r="229" spans="1:142">
      <c r="A229" s="255" t="s">
        <v>268</v>
      </c>
      <c r="B229" s="251" t="s">
        <v>105</v>
      </c>
      <c r="C229" s="254" t="s">
        <v>67</v>
      </c>
      <c r="D229" s="251" t="s">
        <v>780</v>
      </c>
      <c r="E229" s="251" t="s">
        <v>114</v>
      </c>
      <c r="F229" s="253">
        <v>3</v>
      </c>
      <c r="G229" s="253">
        <v>1</v>
      </c>
      <c r="H229" s="253"/>
      <c r="I229" s="254" t="s">
        <v>95</v>
      </c>
      <c r="J229" s="254"/>
      <c r="K229" s="105"/>
      <c r="L229" s="105"/>
      <c r="M229" s="48"/>
      <c r="N229" s="105"/>
      <c r="O229" s="255" t="s">
        <v>269</v>
      </c>
      <c r="P229" s="261">
        <v>1</v>
      </c>
      <c r="Q229" s="261">
        <v>0</v>
      </c>
      <c r="R229" s="261">
        <v>0</v>
      </c>
      <c r="S229" s="262" t="s">
        <v>270</v>
      </c>
      <c r="T229" s="263" t="s">
        <v>659</v>
      </c>
      <c r="U229" s="105"/>
      <c r="V229" s="259" t="s">
        <v>12</v>
      </c>
      <c r="W229" s="105" t="s">
        <v>75</v>
      </c>
      <c r="X229" s="105" t="s">
        <v>75</v>
      </c>
      <c r="Y229" s="105" t="s">
        <v>690</v>
      </c>
      <c r="Z229" s="105" t="s">
        <v>75</v>
      </c>
      <c r="AA229" s="105" t="s">
        <v>75</v>
      </c>
      <c r="AB229" s="105" t="s">
        <v>75</v>
      </c>
      <c r="AC229" s="105" t="s">
        <v>75</v>
      </c>
      <c r="AD229" s="105"/>
      <c r="AE229" s="105"/>
      <c r="AF229" s="105"/>
      <c r="AG229" s="105"/>
      <c r="AH229" s="260" t="s">
        <v>802</v>
      </c>
      <c r="AI229" s="115" t="s">
        <v>75</v>
      </c>
      <c r="AJ229" s="115" t="s">
        <v>620</v>
      </c>
      <c r="AK229" s="105"/>
      <c r="AL229" s="115">
        <v>260000</v>
      </c>
      <c r="AM229" s="115"/>
      <c r="AN229" s="115"/>
      <c r="AO229" s="260">
        <f>Tabelle4[[#This Row],[Kredit-  / Budgetsumme
(RADAR: Gesamtkosten S)]]-Tabelle4[[#This Row],[Netto-Ausgaben Vorjahre ]]</f>
        <v>260000</v>
      </c>
      <c r="AP229" s="310"/>
      <c r="AQ229" s="311">
        <v>260000</v>
      </c>
      <c r="AR229" s="115">
        <f>Tabelle4[[#This Row],[Kreditrest per 1.1. aktuelles Jahr]]-Tabelle4[[#This Row],[Prognose 2018
(RADAR: Kosten 2018 S)]]</f>
        <v>0</v>
      </c>
      <c r="AS229" s="115"/>
      <c r="AT229" s="311"/>
      <c r="AU229" s="115"/>
      <c r="AV229" s="311"/>
      <c r="AW229" s="115"/>
      <c r="AX229" s="311"/>
      <c r="AY229" s="115"/>
      <c r="AZ229" s="311"/>
      <c r="BA229" s="115"/>
      <c r="BB229" s="311"/>
      <c r="BC229" s="115"/>
      <c r="BD229" s="311"/>
      <c r="BE229" s="115"/>
      <c r="BF229" s="311"/>
      <c r="BG229" s="115"/>
      <c r="BH229" s="311"/>
      <c r="BI229" s="115"/>
      <c r="BJ229" s="115"/>
      <c r="BK229" s="264"/>
      <c r="BL229" s="105"/>
      <c r="BM229" s="106"/>
      <c r="BN229" s="106"/>
      <c r="BO229" s="106"/>
      <c r="BP229" s="106"/>
      <c r="BQ229" s="106"/>
      <c r="BR229" s="106"/>
      <c r="BS229" s="106"/>
      <c r="BT229" s="108">
        <f>SUM(Tabelle4[[#This Row],[Projektverantwortung
(Lenkungsausschuss) ]:[Kommunikation ]])</f>
        <v>0</v>
      </c>
      <c r="BU229" s="105"/>
      <c r="BV229" s="106"/>
      <c r="BW229" s="106"/>
      <c r="BX229" s="106"/>
      <c r="BY229" s="106"/>
      <c r="BZ229" s="106"/>
      <c r="CA229" s="106"/>
      <c r="CB229" s="106"/>
      <c r="CC229" s="108">
        <f>SUM(Tabelle4[[#This Row],[Projektverantwortung
(Lenkungsausschuss)   ]:[Kommunikation   ]])</f>
        <v>0</v>
      </c>
      <c r="CD229" s="105"/>
      <c r="CE229" s="106"/>
      <c r="CF229" s="106"/>
      <c r="CG229" s="106"/>
      <c r="CH229" s="106"/>
      <c r="CI229" s="106"/>
      <c r="CJ229" s="106"/>
      <c r="CK229" s="106"/>
      <c r="CL229" s="108">
        <f>SUM(Tabelle4[[#This Row],[Projektverantwortung
(Lenkungsausschuss).]:[Kommunikation    ]])</f>
        <v>0</v>
      </c>
      <c r="CM229" s="105"/>
      <c r="CN229" s="106"/>
      <c r="CO229" s="106"/>
      <c r="CP229" s="106"/>
      <c r="CQ229" s="106"/>
      <c r="CR229" s="106"/>
      <c r="CS229" s="106"/>
      <c r="CT229" s="106"/>
      <c r="CU229" s="108">
        <f>SUM(Tabelle4[[#This Row],[Projektverantwortung
(Lenkungsausschuss)    ]:[Kommunikation     ]])</f>
        <v>0</v>
      </c>
      <c r="CV229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229" s="105"/>
      <c r="CX229" s="105"/>
      <c r="CY229" s="105"/>
      <c r="CZ229" s="105"/>
      <c r="DA229" s="105"/>
      <c r="DB229" s="105"/>
      <c r="DC229" s="105"/>
      <c r="DD229" s="105"/>
      <c r="DE229" s="107">
        <f>SUM(Tabelle4[[#This Row],[Aufwand ]],Tabelle4[[#This Row],[Aufwand 2]],Tabelle4[[#This Row],[Aufwand 3]],Tabelle4[[#This Row],[Aufwand 4]])</f>
        <v>0</v>
      </c>
      <c r="DF229" s="105"/>
      <c r="DG229" s="105"/>
      <c r="DH229" s="105"/>
      <c r="DI229" s="105"/>
      <c r="DJ229" s="105"/>
      <c r="DK229" s="105"/>
      <c r="DL229" s="105"/>
      <c r="DM229" s="105"/>
      <c r="DN229" s="107">
        <f>SUM(Tabelle4[[#This Row],[Aufwand  ]],Tabelle4[[#This Row],[Aufwand  2]],Tabelle4[[#This Row],[Aufwand  3]],Tabelle4[[#This Row],[Aufwand  4]])</f>
        <v>0</v>
      </c>
      <c r="DO229" s="105"/>
      <c r="DP229" s="105"/>
      <c r="DQ229" s="105"/>
      <c r="DR229" s="105"/>
      <c r="DS229" s="105"/>
      <c r="DT229" s="105"/>
      <c r="DU229" s="105"/>
      <c r="DV229" s="105"/>
      <c r="DW229" s="107">
        <f>SUM(Tabelle4[[#This Row],[Aufwand   ]],Tabelle4[[#This Row],[Aufwand   2]],Tabelle4[[#This Row],[Aufwand   3]],Tabelle4[[#This Row],[Aufwand   4]])</f>
        <v>0</v>
      </c>
      <c r="DX229" s="105"/>
      <c r="DY229" s="105"/>
      <c r="DZ229" s="105"/>
      <c r="EA229" s="105"/>
      <c r="EB229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229" s="122">
        <f>Tabelle4[[#This Row],[Gesamaufwand]]/2000</f>
        <v>0</v>
      </c>
      <c r="ED229" s="48"/>
      <c r="EE229" s="48"/>
      <c r="EF229" s="48"/>
      <c r="EG229" s="48"/>
      <c r="EH229" s="48"/>
      <c r="EI229" s="47"/>
      <c r="EJ229" s="47"/>
      <c r="EK229" s="47"/>
      <c r="EL229" s="47"/>
    </row>
    <row r="230" spans="1:142">
      <c r="A230" s="255" t="s">
        <v>599</v>
      </c>
      <c r="B230" s="251" t="s">
        <v>75</v>
      </c>
      <c r="C230" s="254" t="s">
        <v>690</v>
      </c>
      <c r="D230" s="251" t="s">
        <v>914</v>
      </c>
      <c r="E230" s="251" t="s">
        <v>859</v>
      </c>
      <c r="F230" s="253">
        <v>1</v>
      </c>
      <c r="G230" s="253">
        <v>1</v>
      </c>
      <c r="H230" s="253" t="s">
        <v>1140</v>
      </c>
      <c r="I230" s="254" t="s">
        <v>24</v>
      </c>
      <c r="J230" s="254"/>
      <c r="K230" s="105"/>
      <c r="L230" s="105"/>
      <c r="M230" s="48"/>
      <c r="N230" s="105"/>
      <c r="O230" s="255" t="s">
        <v>600</v>
      </c>
      <c r="P230" s="261">
        <v>5</v>
      </c>
      <c r="Q230" s="261">
        <v>0</v>
      </c>
      <c r="R230" s="261">
        <v>0</v>
      </c>
      <c r="S230" s="262" t="s">
        <v>243</v>
      </c>
      <c r="T230" s="263" t="s">
        <v>673</v>
      </c>
      <c r="U230" s="105"/>
      <c r="V230" s="259" t="s">
        <v>12</v>
      </c>
      <c r="W230" s="105" t="s">
        <v>8</v>
      </c>
      <c r="X230" s="105" t="s">
        <v>10</v>
      </c>
      <c r="Y230" s="105" t="s">
        <v>690</v>
      </c>
      <c r="Z230" s="105" t="s">
        <v>84</v>
      </c>
      <c r="AA230" s="105" t="s">
        <v>75</v>
      </c>
      <c r="AB230" s="105" t="s">
        <v>75</v>
      </c>
      <c r="AC230" s="105" t="s">
        <v>75</v>
      </c>
      <c r="AD230" s="105"/>
      <c r="AE230" s="105"/>
      <c r="AF230" s="105"/>
      <c r="AG230" s="105"/>
      <c r="AH230" s="115" t="s">
        <v>1092</v>
      </c>
      <c r="AI230" s="115"/>
      <c r="AJ230" s="115"/>
      <c r="AK230" s="105"/>
      <c r="AL230" s="115"/>
      <c r="AM230" s="115"/>
      <c r="AN230" s="115"/>
      <c r="AO230" s="260"/>
      <c r="AP230" s="310"/>
      <c r="AQ230" s="311">
        <v>25000</v>
      </c>
      <c r="AR230" s="115"/>
      <c r="AS230" s="115"/>
      <c r="AT230" s="311">
        <v>35000</v>
      </c>
      <c r="AU230" s="115"/>
      <c r="AV230" s="311">
        <v>35000</v>
      </c>
      <c r="AW230" s="115"/>
      <c r="AX230" s="311">
        <v>35000</v>
      </c>
      <c r="AY230" s="115"/>
      <c r="AZ230" s="311">
        <v>35000</v>
      </c>
      <c r="BA230" s="115"/>
      <c r="BB230" s="311">
        <v>35000</v>
      </c>
      <c r="BC230" s="115"/>
      <c r="BD230" s="311">
        <v>35000</v>
      </c>
      <c r="BE230" s="115"/>
      <c r="BF230" s="311">
        <v>35000</v>
      </c>
      <c r="BG230" s="115"/>
      <c r="BH230" s="311">
        <v>35000</v>
      </c>
      <c r="BI230" s="115"/>
      <c r="BJ230" s="115"/>
      <c r="BK230" s="264"/>
      <c r="BL230" s="105"/>
      <c r="BM230" s="106"/>
      <c r="BN230" s="106"/>
      <c r="BO230" s="106"/>
      <c r="BP230" s="106"/>
      <c r="BQ230" s="106"/>
      <c r="BR230" s="106"/>
      <c r="BS230" s="106"/>
      <c r="BT230" s="108">
        <f>SUM(Tabelle4[[#This Row],[Projektverantwortung
(Lenkungsausschuss) ]:[Kommunikation ]])</f>
        <v>0</v>
      </c>
      <c r="BU230" s="105"/>
      <c r="BV230" s="106"/>
      <c r="BW230" s="106"/>
      <c r="BX230" s="106"/>
      <c r="BY230" s="106"/>
      <c r="BZ230" s="106"/>
      <c r="CA230" s="106"/>
      <c r="CB230" s="106"/>
      <c r="CC230" s="108">
        <f>SUM(Tabelle4[[#This Row],[Projektverantwortung
(Lenkungsausschuss)   ]:[Kommunikation   ]])</f>
        <v>0</v>
      </c>
      <c r="CD230" s="105"/>
      <c r="CE230" s="106"/>
      <c r="CF230" s="106"/>
      <c r="CG230" s="106"/>
      <c r="CH230" s="106"/>
      <c r="CI230" s="106"/>
      <c r="CJ230" s="106"/>
      <c r="CK230" s="106"/>
      <c r="CL230" s="108">
        <f>SUM(Tabelle4[[#This Row],[Projektverantwortung
(Lenkungsausschuss).]:[Kommunikation    ]])</f>
        <v>0</v>
      </c>
      <c r="CM230" s="105"/>
      <c r="CN230" s="106"/>
      <c r="CO230" s="106"/>
      <c r="CP230" s="106"/>
      <c r="CQ230" s="106"/>
      <c r="CR230" s="106"/>
      <c r="CS230" s="106"/>
      <c r="CT230" s="106"/>
      <c r="CU230" s="108">
        <f>SUM(Tabelle4[[#This Row],[Projektverantwortung
(Lenkungsausschuss)    ]:[Kommunikation     ]])</f>
        <v>0</v>
      </c>
      <c r="CV230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230" s="105"/>
      <c r="CX230" s="105"/>
      <c r="CY230" s="105"/>
      <c r="CZ230" s="105"/>
      <c r="DA230" s="105"/>
      <c r="DB230" s="105"/>
      <c r="DC230" s="105"/>
      <c r="DD230" s="105"/>
      <c r="DE230" s="107">
        <f>SUM(Tabelle4[[#This Row],[Aufwand ]],Tabelle4[[#This Row],[Aufwand 2]],Tabelle4[[#This Row],[Aufwand 3]],Tabelle4[[#This Row],[Aufwand 4]])</f>
        <v>0</v>
      </c>
      <c r="DF230" s="105"/>
      <c r="DG230" s="105"/>
      <c r="DH230" s="105"/>
      <c r="DI230" s="105"/>
      <c r="DJ230" s="105"/>
      <c r="DK230" s="105"/>
      <c r="DL230" s="105"/>
      <c r="DM230" s="105"/>
      <c r="DN230" s="107">
        <f>SUM(Tabelle4[[#This Row],[Aufwand  ]],Tabelle4[[#This Row],[Aufwand  2]],Tabelle4[[#This Row],[Aufwand  3]],Tabelle4[[#This Row],[Aufwand  4]])</f>
        <v>0</v>
      </c>
      <c r="DO230" s="105"/>
      <c r="DP230" s="105"/>
      <c r="DQ230" s="105"/>
      <c r="DR230" s="105"/>
      <c r="DS230" s="105"/>
      <c r="DT230" s="105"/>
      <c r="DU230" s="105"/>
      <c r="DV230" s="105"/>
      <c r="DW230" s="107">
        <f>SUM(Tabelle4[[#This Row],[Aufwand   ]],Tabelle4[[#This Row],[Aufwand   2]],Tabelle4[[#This Row],[Aufwand   3]],Tabelle4[[#This Row],[Aufwand   4]])</f>
        <v>0</v>
      </c>
      <c r="DX230" s="105"/>
      <c r="DY230" s="105"/>
      <c r="DZ230" s="105"/>
      <c r="EA230" s="105"/>
      <c r="EB230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230" s="122">
        <f>Tabelle4[[#This Row],[Gesamaufwand]]/2000</f>
        <v>0</v>
      </c>
      <c r="ED230" s="48"/>
      <c r="EE230" s="48"/>
      <c r="EF230" s="48"/>
      <c r="EG230" s="48"/>
      <c r="EH230" s="48"/>
      <c r="EI230" s="47"/>
      <c r="EJ230" s="47"/>
      <c r="EK230" s="47"/>
      <c r="EL230" s="47"/>
    </row>
    <row r="231" spans="1:142">
      <c r="A231" s="255" t="s">
        <v>227</v>
      </c>
      <c r="B231" s="251" t="s">
        <v>75</v>
      </c>
      <c r="C231" s="254" t="s">
        <v>690</v>
      </c>
      <c r="D231" s="251" t="s">
        <v>914</v>
      </c>
      <c r="E231" s="251" t="s">
        <v>859</v>
      </c>
      <c r="F231" s="253">
        <v>1</v>
      </c>
      <c r="G231" s="253">
        <v>1</v>
      </c>
      <c r="H231" s="253" t="s">
        <v>1140</v>
      </c>
      <c r="I231" s="254" t="s">
        <v>24</v>
      </c>
      <c r="J231" s="254"/>
      <c r="K231" s="105"/>
      <c r="L231" s="105"/>
      <c r="M231" s="48"/>
      <c r="N231" s="105"/>
      <c r="O231" s="255" t="s">
        <v>228</v>
      </c>
      <c r="P231" s="261">
        <v>1</v>
      </c>
      <c r="Q231" s="261">
        <v>0</v>
      </c>
      <c r="R231" s="261">
        <v>0</v>
      </c>
      <c r="S231" s="262" t="s">
        <v>229</v>
      </c>
      <c r="T231" s="263" t="s">
        <v>673</v>
      </c>
      <c r="U231" s="105"/>
      <c r="V231" s="259" t="s">
        <v>12</v>
      </c>
      <c r="W231" s="105" t="s">
        <v>8</v>
      </c>
      <c r="X231" s="105" t="s">
        <v>10</v>
      </c>
      <c r="Y231" s="105" t="s">
        <v>690</v>
      </c>
      <c r="Z231" s="105" t="s">
        <v>84</v>
      </c>
      <c r="AA231" s="105" t="s">
        <v>75</v>
      </c>
      <c r="AB231" s="105" t="s">
        <v>75</v>
      </c>
      <c r="AC231" s="105" t="s">
        <v>75</v>
      </c>
      <c r="AD231" s="105"/>
      <c r="AE231" s="105"/>
      <c r="AF231" s="105"/>
      <c r="AG231" s="105"/>
      <c r="AH231" s="115" t="s">
        <v>75</v>
      </c>
      <c r="AI231" s="115"/>
      <c r="AJ231" s="115"/>
      <c r="AK231" s="105"/>
      <c r="AL231" s="115"/>
      <c r="AM231" s="115"/>
      <c r="AN231" s="115"/>
      <c r="AO231" s="260">
        <f>Tabelle4[[#This Row],[Kredit-  / Budgetsumme
(RADAR: Gesamtkosten S)]]-Tabelle4[[#This Row],[Netto-Ausgaben Vorjahre ]]</f>
        <v>0</v>
      </c>
      <c r="AP231" s="310"/>
      <c r="AQ231" s="311"/>
      <c r="AR231" s="115">
        <f>Tabelle4[[#This Row],[Kreditrest per 1.1. aktuelles Jahr]]-Tabelle4[[#This Row],[Prognose 2018
(RADAR: Kosten 2018 S)]]</f>
        <v>0</v>
      </c>
      <c r="AS231" s="115"/>
      <c r="AT231" s="311"/>
      <c r="AU231" s="115"/>
      <c r="AV231" s="311"/>
      <c r="AW231" s="115"/>
      <c r="AX231" s="311"/>
      <c r="AY231" s="115"/>
      <c r="AZ231" s="311"/>
      <c r="BA231" s="115"/>
      <c r="BB231" s="311"/>
      <c r="BC231" s="115"/>
      <c r="BD231" s="311"/>
      <c r="BE231" s="115"/>
      <c r="BF231" s="311"/>
      <c r="BG231" s="115"/>
      <c r="BH231" s="311"/>
      <c r="BI231" s="115"/>
      <c r="BJ231" s="115"/>
      <c r="BK231" s="264"/>
      <c r="BL231" s="105"/>
      <c r="BM231" s="106"/>
      <c r="BN231" s="106"/>
      <c r="BO231" s="106"/>
      <c r="BP231" s="106"/>
      <c r="BQ231" s="106"/>
      <c r="BR231" s="106"/>
      <c r="BS231" s="106"/>
      <c r="BT231" s="108">
        <f>SUM(Tabelle4[[#This Row],[Projektverantwortung
(Lenkungsausschuss) ]:[Kommunikation ]])</f>
        <v>0</v>
      </c>
      <c r="BU231" s="105"/>
      <c r="BV231" s="106"/>
      <c r="BW231" s="106"/>
      <c r="BX231" s="106"/>
      <c r="BY231" s="106"/>
      <c r="BZ231" s="106"/>
      <c r="CA231" s="106"/>
      <c r="CB231" s="106"/>
      <c r="CC231" s="108">
        <f>SUM(Tabelle4[[#This Row],[Projektverantwortung
(Lenkungsausschuss)   ]:[Kommunikation   ]])</f>
        <v>0</v>
      </c>
      <c r="CD231" s="105"/>
      <c r="CE231" s="106"/>
      <c r="CF231" s="106"/>
      <c r="CG231" s="106"/>
      <c r="CH231" s="106"/>
      <c r="CI231" s="106"/>
      <c r="CJ231" s="106"/>
      <c r="CK231" s="106"/>
      <c r="CL231" s="108">
        <f>SUM(Tabelle4[[#This Row],[Projektverantwortung
(Lenkungsausschuss).]:[Kommunikation    ]])</f>
        <v>0</v>
      </c>
      <c r="CM231" s="105"/>
      <c r="CN231" s="106"/>
      <c r="CO231" s="106"/>
      <c r="CP231" s="106"/>
      <c r="CQ231" s="106"/>
      <c r="CR231" s="106"/>
      <c r="CS231" s="106"/>
      <c r="CT231" s="106"/>
      <c r="CU231" s="108">
        <f>SUM(Tabelle4[[#This Row],[Projektverantwortung
(Lenkungsausschuss)    ]:[Kommunikation     ]])</f>
        <v>0</v>
      </c>
      <c r="CV231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231" s="105"/>
      <c r="CX231" s="105"/>
      <c r="CY231" s="105"/>
      <c r="CZ231" s="105"/>
      <c r="DA231" s="105"/>
      <c r="DB231" s="105"/>
      <c r="DC231" s="105"/>
      <c r="DD231" s="105"/>
      <c r="DE231" s="107">
        <f>SUM(Tabelle4[[#This Row],[Aufwand ]],Tabelle4[[#This Row],[Aufwand 2]],Tabelle4[[#This Row],[Aufwand 3]],Tabelle4[[#This Row],[Aufwand 4]])</f>
        <v>0</v>
      </c>
      <c r="DF231" s="105"/>
      <c r="DG231" s="105"/>
      <c r="DH231" s="105"/>
      <c r="DI231" s="105"/>
      <c r="DJ231" s="105"/>
      <c r="DK231" s="105"/>
      <c r="DL231" s="105"/>
      <c r="DM231" s="105"/>
      <c r="DN231" s="107">
        <f>SUM(Tabelle4[[#This Row],[Aufwand  ]],Tabelle4[[#This Row],[Aufwand  2]],Tabelle4[[#This Row],[Aufwand  3]],Tabelle4[[#This Row],[Aufwand  4]])</f>
        <v>0</v>
      </c>
      <c r="DO231" s="105"/>
      <c r="DP231" s="105"/>
      <c r="DQ231" s="105"/>
      <c r="DR231" s="105"/>
      <c r="DS231" s="105"/>
      <c r="DT231" s="105"/>
      <c r="DU231" s="105"/>
      <c r="DV231" s="105"/>
      <c r="DW231" s="107">
        <f>SUM(Tabelle4[[#This Row],[Aufwand   ]],Tabelle4[[#This Row],[Aufwand   2]],Tabelle4[[#This Row],[Aufwand   3]],Tabelle4[[#This Row],[Aufwand   4]])</f>
        <v>0</v>
      </c>
      <c r="DX231" s="105"/>
      <c r="DY231" s="105"/>
      <c r="DZ231" s="105"/>
      <c r="EA231" s="105"/>
      <c r="EB231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231" s="122">
        <f>Tabelle4[[#This Row],[Gesamaufwand]]/2000</f>
        <v>0</v>
      </c>
      <c r="ED231" s="47"/>
      <c r="EE231" s="47"/>
      <c r="EF231" s="47"/>
      <c r="EG231" s="47"/>
      <c r="EH231" s="47"/>
      <c r="EI231" s="47"/>
      <c r="EJ231" s="47"/>
      <c r="EK231" s="47"/>
      <c r="EL231" s="47"/>
    </row>
    <row r="232" spans="1:142">
      <c r="A232" s="255" t="s">
        <v>406</v>
      </c>
      <c r="B232" s="251" t="s">
        <v>105</v>
      </c>
      <c r="C232" s="254" t="s">
        <v>67</v>
      </c>
      <c r="D232" s="251" t="s">
        <v>914</v>
      </c>
      <c r="E232" s="251" t="s">
        <v>113</v>
      </c>
      <c r="F232" s="253">
        <v>2</v>
      </c>
      <c r="G232" s="253">
        <v>2</v>
      </c>
      <c r="H232" s="253"/>
      <c r="I232" s="254" t="s">
        <v>95</v>
      </c>
      <c r="J232" s="254"/>
      <c r="K232" s="105"/>
      <c r="L232" s="105"/>
      <c r="M232" s="48"/>
      <c r="N232" s="105"/>
      <c r="O232" s="255" t="s">
        <v>407</v>
      </c>
      <c r="P232" s="261">
        <v>1</v>
      </c>
      <c r="Q232" s="261">
        <v>0</v>
      </c>
      <c r="R232" s="261">
        <v>0</v>
      </c>
      <c r="S232" s="262" t="s">
        <v>408</v>
      </c>
      <c r="T232" s="263" t="s">
        <v>659</v>
      </c>
      <c r="U232" s="105"/>
      <c r="V232" s="259" t="s">
        <v>12</v>
      </c>
      <c r="W232" s="105" t="s">
        <v>6</v>
      </c>
      <c r="X232" s="105" t="s">
        <v>86</v>
      </c>
      <c r="Y232" s="105" t="s">
        <v>690</v>
      </c>
      <c r="Z232" s="105" t="s">
        <v>80</v>
      </c>
      <c r="AA232" s="105" t="s">
        <v>75</v>
      </c>
      <c r="AB232" s="105" t="s">
        <v>75</v>
      </c>
      <c r="AC232" s="105" t="s">
        <v>75</v>
      </c>
      <c r="AD232" s="105"/>
      <c r="AE232" s="105"/>
      <c r="AF232" s="105"/>
      <c r="AG232" s="105"/>
      <c r="AH232" s="115" t="s">
        <v>799</v>
      </c>
      <c r="AI232" s="115" t="s">
        <v>73</v>
      </c>
      <c r="AJ232" s="115" t="s">
        <v>21</v>
      </c>
      <c r="AK232" s="105" t="s">
        <v>1102</v>
      </c>
      <c r="AL232" s="115">
        <v>200000</v>
      </c>
      <c r="AM232" s="115"/>
      <c r="AN232" s="115">
        <v>282</v>
      </c>
      <c r="AO232" s="260">
        <f>Tabelle4[[#This Row],[Kredit-  / Budgetsumme
(RADAR: Gesamtkosten S)]]-Tabelle4[[#This Row],[Netto-Ausgaben Vorjahre ]]</f>
        <v>199718</v>
      </c>
      <c r="AP232" s="310"/>
      <c r="AQ232" s="311">
        <v>50000</v>
      </c>
      <c r="AR232" s="115">
        <f>Tabelle4[[#This Row],[Kreditrest per 1.1. aktuelles Jahr]]-Tabelle4[[#This Row],[Prognose 2018
(RADAR: Kosten 2018 S)]]</f>
        <v>149718</v>
      </c>
      <c r="AS232" s="115"/>
      <c r="AT232" s="311">
        <v>149718</v>
      </c>
      <c r="AU232" s="115"/>
      <c r="AV232" s="311"/>
      <c r="AW232" s="115"/>
      <c r="AX232" s="311"/>
      <c r="AY232" s="115"/>
      <c r="AZ232" s="311"/>
      <c r="BA232" s="115"/>
      <c r="BB232" s="311"/>
      <c r="BC232" s="115"/>
      <c r="BD232" s="311"/>
      <c r="BE232" s="115"/>
      <c r="BF232" s="311"/>
      <c r="BG232" s="115"/>
      <c r="BH232" s="311"/>
      <c r="BI232" s="115"/>
      <c r="BJ232" s="115"/>
      <c r="BK232" s="264"/>
      <c r="BL232" s="105"/>
      <c r="BM232" s="106">
        <v>20</v>
      </c>
      <c r="BN232" s="106"/>
      <c r="BO232" s="106">
        <v>60</v>
      </c>
      <c r="BP232" s="106"/>
      <c r="BQ232" s="106"/>
      <c r="BR232" s="106">
        <v>40</v>
      </c>
      <c r="BS232" s="106"/>
      <c r="BT232" s="108">
        <f>SUM(Tabelle4[[#This Row],[Projektverantwortung
(Lenkungsausschuss) ]:[Kommunikation ]])</f>
        <v>120</v>
      </c>
      <c r="BU232" s="105"/>
      <c r="BV232" s="106">
        <v>8</v>
      </c>
      <c r="BW232" s="106"/>
      <c r="BX232" s="106">
        <v>40</v>
      </c>
      <c r="BY232" s="106"/>
      <c r="BZ232" s="106">
        <v>40</v>
      </c>
      <c r="CA232" s="106">
        <v>20</v>
      </c>
      <c r="CB232" s="106"/>
      <c r="CC232" s="108">
        <f>SUM(Tabelle4[[#This Row],[Projektverantwortung
(Lenkungsausschuss)   ]:[Kommunikation   ]])</f>
        <v>108</v>
      </c>
      <c r="CD232" s="105"/>
      <c r="CE232" s="106">
        <v>8</v>
      </c>
      <c r="CF232" s="106"/>
      <c r="CG232" s="106">
        <v>20</v>
      </c>
      <c r="CH232" s="106"/>
      <c r="CI232" s="106">
        <v>40</v>
      </c>
      <c r="CJ232" s="106">
        <v>8</v>
      </c>
      <c r="CK232" s="106"/>
      <c r="CL232" s="108">
        <f>SUM(Tabelle4[[#This Row],[Projektverantwortung
(Lenkungsausschuss).]:[Kommunikation    ]])</f>
        <v>76</v>
      </c>
      <c r="CM232" s="105"/>
      <c r="CN232" s="106">
        <v>8</v>
      </c>
      <c r="CO232" s="106"/>
      <c r="CP232" s="106"/>
      <c r="CQ232" s="106"/>
      <c r="CR232" s="106">
        <v>20</v>
      </c>
      <c r="CS232" s="106">
        <v>8</v>
      </c>
      <c r="CT232" s="106"/>
      <c r="CU232" s="108">
        <f>SUM(Tabelle4[[#This Row],[Projektverantwortung
(Lenkungsausschuss)    ]:[Kommunikation     ]])</f>
        <v>36</v>
      </c>
      <c r="CV232" s="107">
        <f>SUM(Tabelle4[[#This Row],[Total Aufwand
1. Quartal 2018]],Tabelle4[[#This Row],[Total Aufwand
2. Quartal 2018]],Tabelle4[[#This Row],[Total Aufwand
3. Quartal 2018]],Tabelle4[[#This Row],[Total Aufwand
4. Quartal 2018]])</f>
        <v>340</v>
      </c>
      <c r="CW232" s="105"/>
      <c r="CX232" s="105"/>
      <c r="CY232" s="105"/>
      <c r="CZ232" s="105"/>
      <c r="DA232" s="105"/>
      <c r="DB232" s="105"/>
      <c r="DC232" s="105"/>
      <c r="DD232" s="105"/>
      <c r="DE232" s="107">
        <f>SUM(Tabelle4[[#This Row],[Aufwand ]],Tabelle4[[#This Row],[Aufwand 2]],Tabelle4[[#This Row],[Aufwand 3]],Tabelle4[[#This Row],[Aufwand 4]])</f>
        <v>0</v>
      </c>
      <c r="DF232" s="105"/>
      <c r="DG232" s="105"/>
      <c r="DH232" s="105"/>
      <c r="DI232" s="105"/>
      <c r="DJ232" s="105"/>
      <c r="DK232" s="105"/>
      <c r="DL232" s="105"/>
      <c r="DM232" s="105"/>
      <c r="DN232" s="107">
        <f>SUM(Tabelle4[[#This Row],[Aufwand  ]],Tabelle4[[#This Row],[Aufwand  2]],Tabelle4[[#This Row],[Aufwand  3]],Tabelle4[[#This Row],[Aufwand  4]])</f>
        <v>0</v>
      </c>
      <c r="DO232" s="105"/>
      <c r="DP232" s="105"/>
      <c r="DQ232" s="105"/>
      <c r="DR232" s="105"/>
      <c r="DS232" s="105"/>
      <c r="DT232" s="105"/>
      <c r="DU232" s="105"/>
      <c r="DV232" s="105"/>
      <c r="DW232" s="107">
        <f>SUM(Tabelle4[[#This Row],[Aufwand   ]],Tabelle4[[#This Row],[Aufwand   2]],Tabelle4[[#This Row],[Aufwand   3]],Tabelle4[[#This Row],[Aufwand   4]])</f>
        <v>0</v>
      </c>
      <c r="DX232" s="105"/>
      <c r="DY232" s="105"/>
      <c r="DZ232" s="105"/>
      <c r="EA232" s="105"/>
      <c r="EB232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340</v>
      </c>
      <c r="EC232" s="122">
        <f>Tabelle4[[#This Row],[Gesamaufwand]]/2000</f>
        <v>0.17</v>
      </c>
      <c r="ED232" s="47"/>
      <c r="EE232" s="47"/>
      <c r="EF232" s="47"/>
      <c r="EG232" s="47"/>
      <c r="EH232" s="47"/>
      <c r="EI232" s="47"/>
      <c r="EJ232" s="47"/>
      <c r="EK232" s="47"/>
      <c r="EL232" s="47"/>
    </row>
    <row r="233" spans="1:142">
      <c r="A233" s="255" t="s">
        <v>169</v>
      </c>
      <c r="B233" s="251" t="s">
        <v>1331</v>
      </c>
      <c r="C233" s="254" t="s">
        <v>690</v>
      </c>
      <c r="D233" s="251"/>
      <c r="E233" s="251"/>
      <c r="F233" s="253"/>
      <c r="G233" s="253"/>
      <c r="H233" s="253"/>
      <c r="I233" s="254"/>
      <c r="J233" s="254"/>
      <c r="K233" s="105"/>
      <c r="L233" s="105"/>
      <c r="M233" s="48"/>
      <c r="N233" s="105"/>
      <c r="O233" s="255" t="s">
        <v>170</v>
      </c>
      <c r="P233" s="261">
        <v>4</v>
      </c>
      <c r="Q233" s="261">
        <v>0</v>
      </c>
      <c r="R233" s="261">
        <v>0</v>
      </c>
      <c r="S233" s="262" t="s">
        <v>171</v>
      </c>
      <c r="T233" s="263" t="s">
        <v>673</v>
      </c>
      <c r="U233" s="105"/>
      <c r="V233" s="259" t="s">
        <v>12</v>
      </c>
      <c r="W233" s="105" t="s">
        <v>75</v>
      </c>
      <c r="X233" s="105" t="s">
        <v>75</v>
      </c>
      <c r="Y233" s="105" t="s">
        <v>690</v>
      </c>
      <c r="Z233" s="105" t="s">
        <v>75</v>
      </c>
      <c r="AA233" s="105" t="s">
        <v>75</v>
      </c>
      <c r="AB233" s="105" t="s">
        <v>75</v>
      </c>
      <c r="AC233" s="105" t="s">
        <v>75</v>
      </c>
      <c r="AD233" s="105"/>
      <c r="AE233" s="105"/>
      <c r="AF233" s="105"/>
      <c r="AG233" s="105"/>
      <c r="AH233" s="115" t="s">
        <v>690</v>
      </c>
      <c r="AI233" s="115"/>
      <c r="AJ233" s="115"/>
      <c r="AK233" s="105"/>
      <c r="AL233" s="115"/>
      <c r="AM233" s="115"/>
      <c r="AN233" s="115"/>
      <c r="AO233" s="260">
        <f>Tabelle4[[#This Row],[Kredit-  / Budgetsumme
(RADAR: Gesamtkosten S)]]-Tabelle4[[#This Row],[Netto-Ausgaben Vorjahre ]]</f>
        <v>0</v>
      </c>
      <c r="AP233" s="310"/>
      <c r="AQ233" s="311"/>
      <c r="AR233" s="115">
        <f>Tabelle4[[#This Row],[Kreditrest per 1.1. aktuelles Jahr]]-Tabelle4[[#This Row],[Prognose 2018
(RADAR: Kosten 2018 S)]]</f>
        <v>0</v>
      </c>
      <c r="AS233" s="115"/>
      <c r="AT233" s="311"/>
      <c r="AU233" s="115"/>
      <c r="AV233" s="311"/>
      <c r="AW233" s="115"/>
      <c r="AX233" s="311"/>
      <c r="AY233" s="115"/>
      <c r="AZ233" s="311"/>
      <c r="BA233" s="115"/>
      <c r="BB233" s="311"/>
      <c r="BC233" s="115"/>
      <c r="BD233" s="311"/>
      <c r="BE233" s="115"/>
      <c r="BF233" s="311"/>
      <c r="BG233" s="115"/>
      <c r="BH233" s="311"/>
      <c r="BI233" s="115"/>
      <c r="BJ233" s="115"/>
      <c r="BK233" s="264"/>
      <c r="BL233" s="105"/>
      <c r="BM233" s="106"/>
      <c r="BN233" s="106"/>
      <c r="BO233" s="106"/>
      <c r="BP233" s="106"/>
      <c r="BQ233" s="106"/>
      <c r="BR233" s="106"/>
      <c r="BS233" s="106"/>
      <c r="BT233" s="108">
        <f>SUM(Tabelle4[[#This Row],[Projektverantwortung
(Lenkungsausschuss) ]:[Kommunikation ]])</f>
        <v>0</v>
      </c>
      <c r="BU233" s="105"/>
      <c r="BV233" s="106"/>
      <c r="BW233" s="106"/>
      <c r="BX233" s="106"/>
      <c r="BY233" s="106"/>
      <c r="BZ233" s="106"/>
      <c r="CA233" s="106"/>
      <c r="CB233" s="106"/>
      <c r="CC233" s="108">
        <f>SUM(Tabelle4[[#This Row],[Projektverantwortung
(Lenkungsausschuss)   ]:[Kommunikation   ]])</f>
        <v>0</v>
      </c>
      <c r="CD233" s="105"/>
      <c r="CE233" s="106"/>
      <c r="CF233" s="106"/>
      <c r="CG233" s="106"/>
      <c r="CH233" s="106"/>
      <c r="CI233" s="106"/>
      <c r="CJ233" s="106"/>
      <c r="CK233" s="106"/>
      <c r="CL233" s="108">
        <f>SUM(Tabelle4[[#This Row],[Projektverantwortung
(Lenkungsausschuss).]:[Kommunikation    ]])</f>
        <v>0</v>
      </c>
      <c r="CM233" s="105"/>
      <c r="CN233" s="106"/>
      <c r="CO233" s="106"/>
      <c r="CP233" s="106"/>
      <c r="CQ233" s="106"/>
      <c r="CR233" s="106"/>
      <c r="CS233" s="106"/>
      <c r="CT233" s="106"/>
      <c r="CU233" s="108">
        <f>SUM(Tabelle4[[#This Row],[Projektverantwortung
(Lenkungsausschuss)    ]:[Kommunikation     ]])</f>
        <v>0</v>
      </c>
      <c r="CV233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233" s="105"/>
      <c r="CX233" s="105"/>
      <c r="CY233" s="105"/>
      <c r="CZ233" s="105"/>
      <c r="DA233" s="105"/>
      <c r="DB233" s="105"/>
      <c r="DC233" s="105"/>
      <c r="DD233" s="105"/>
      <c r="DE233" s="107">
        <f>SUM(Tabelle4[[#This Row],[Aufwand ]],Tabelle4[[#This Row],[Aufwand 2]],Tabelle4[[#This Row],[Aufwand 3]],Tabelle4[[#This Row],[Aufwand 4]])</f>
        <v>0</v>
      </c>
      <c r="DF233" s="105"/>
      <c r="DG233" s="105"/>
      <c r="DH233" s="105"/>
      <c r="DI233" s="105"/>
      <c r="DJ233" s="105"/>
      <c r="DK233" s="105"/>
      <c r="DL233" s="105"/>
      <c r="DM233" s="105"/>
      <c r="DN233" s="107">
        <f>SUM(Tabelle4[[#This Row],[Aufwand  ]],Tabelle4[[#This Row],[Aufwand  2]],Tabelle4[[#This Row],[Aufwand  3]],Tabelle4[[#This Row],[Aufwand  4]])</f>
        <v>0</v>
      </c>
      <c r="DO233" s="105"/>
      <c r="DP233" s="105"/>
      <c r="DQ233" s="105"/>
      <c r="DR233" s="105"/>
      <c r="DS233" s="105"/>
      <c r="DT233" s="105"/>
      <c r="DU233" s="105"/>
      <c r="DV233" s="105"/>
      <c r="DW233" s="107">
        <f>SUM(Tabelle4[[#This Row],[Aufwand   ]],Tabelle4[[#This Row],[Aufwand   2]],Tabelle4[[#This Row],[Aufwand   3]],Tabelle4[[#This Row],[Aufwand   4]])</f>
        <v>0</v>
      </c>
      <c r="DX233" s="105"/>
      <c r="DY233" s="105"/>
      <c r="DZ233" s="105"/>
      <c r="EA233" s="105"/>
      <c r="EB233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233" s="122">
        <f>Tabelle4[[#This Row],[Gesamaufwand]]/2000</f>
        <v>0</v>
      </c>
      <c r="ED233" s="47"/>
      <c r="EE233" s="47"/>
      <c r="EF233" s="47"/>
      <c r="EG233" s="47"/>
      <c r="EH233" s="47"/>
      <c r="EI233" s="47"/>
      <c r="EJ233" s="47"/>
      <c r="EK233" s="47"/>
      <c r="EL233" s="47"/>
    </row>
    <row r="234" spans="1:142">
      <c r="A234" s="255" t="s">
        <v>230</v>
      </c>
      <c r="B234" s="251" t="s">
        <v>75</v>
      </c>
      <c r="C234" s="254" t="s">
        <v>690</v>
      </c>
      <c r="D234" s="251" t="s">
        <v>913</v>
      </c>
      <c r="E234" s="251" t="s">
        <v>859</v>
      </c>
      <c r="F234" s="253">
        <v>3</v>
      </c>
      <c r="G234" s="253">
        <v>1</v>
      </c>
      <c r="H234" s="253"/>
      <c r="I234" s="254" t="s">
        <v>95</v>
      </c>
      <c r="J234" s="254"/>
      <c r="K234" s="105"/>
      <c r="L234" s="105"/>
      <c r="M234" s="48"/>
      <c r="N234" s="105"/>
      <c r="O234" s="255" t="s">
        <v>231</v>
      </c>
      <c r="P234" s="261">
        <v>4</v>
      </c>
      <c r="Q234" s="261">
        <v>0</v>
      </c>
      <c r="R234" s="261">
        <v>0</v>
      </c>
      <c r="S234" s="262" t="s">
        <v>164</v>
      </c>
      <c r="T234" s="263" t="s">
        <v>673</v>
      </c>
      <c r="U234" s="105"/>
      <c r="V234" s="259" t="s">
        <v>12</v>
      </c>
      <c r="W234" s="105" t="s">
        <v>8</v>
      </c>
      <c r="X234" s="105" t="s">
        <v>11</v>
      </c>
      <c r="Y234" s="105" t="s">
        <v>690</v>
      </c>
      <c r="Z234" s="105" t="s">
        <v>84</v>
      </c>
      <c r="AA234" s="105" t="s">
        <v>75</v>
      </c>
      <c r="AB234" s="105" t="s">
        <v>75</v>
      </c>
      <c r="AC234" s="105" t="s">
        <v>75</v>
      </c>
      <c r="AD234" s="105"/>
      <c r="AE234" s="105"/>
      <c r="AF234" s="105"/>
      <c r="AG234" s="105"/>
      <c r="AH234" s="115" t="s">
        <v>690</v>
      </c>
      <c r="AI234" s="115"/>
      <c r="AJ234" s="115"/>
      <c r="AK234" s="105"/>
      <c r="AL234" s="115"/>
      <c r="AM234" s="115"/>
      <c r="AN234" s="115"/>
      <c r="AO234" s="260">
        <f>Tabelle4[[#This Row],[Kredit-  / Budgetsumme
(RADAR: Gesamtkosten S)]]-Tabelle4[[#This Row],[Netto-Ausgaben Vorjahre ]]</f>
        <v>0</v>
      </c>
      <c r="AP234" s="310"/>
      <c r="AQ234" s="311"/>
      <c r="AR234" s="115">
        <f>Tabelle4[[#This Row],[Kreditrest per 1.1. aktuelles Jahr]]-Tabelle4[[#This Row],[Prognose 2018
(RADAR: Kosten 2018 S)]]</f>
        <v>0</v>
      </c>
      <c r="AS234" s="115"/>
      <c r="AT234" s="311"/>
      <c r="AU234" s="115"/>
      <c r="AV234" s="311"/>
      <c r="AW234" s="115"/>
      <c r="AX234" s="311"/>
      <c r="AY234" s="115"/>
      <c r="AZ234" s="311"/>
      <c r="BA234" s="115"/>
      <c r="BB234" s="311"/>
      <c r="BC234" s="115"/>
      <c r="BD234" s="311"/>
      <c r="BE234" s="115"/>
      <c r="BF234" s="311"/>
      <c r="BG234" s="115"/>
      <c r="BH234" s="311"/>
      <c r="BI234" s="115"/>
      <c r="BJ234" s="115"/>
      <c r="BK234" s="264"/>
      <c r="BL234" s="105"/>
      <c r="BM234" s="106"/>
      <c r="BN234" s="106"/>
      <c r="BO234" s="106"/>
      <c r="BP234" s="106"/>
      <c r="BQ234" s="106"/>
      <c r="BR234" s="106"/>
      <c r="BS234" s="106"/>
      <c r="BT234" s="108">
        <f>SUM(Tabelle4[[#This Row],[Projektverantwortung
(Lenkungsausschuss) ]:[Kommunikation ]])</f>
        <v>0</v>
      </c>
      <c r="BU234" s="105"/>
      <c r="BV234" s="106"/>
      <c r="BW234" s="106"/>
      <c r="BX234" s="106"/>
      <c r="BY234" s="106"/>
      <c r="BZ234" s="106"/>
      <c r="CA234" s="106"/>
      <c r="CB234" s="106"/>
      <c r="CC234" s="108">
        <f>SUM(Tabelle4[[#This Row],[Projektverantwortung
(Lenkungsausschuss)   ]:[Kommunikation   ]])</f>
        <v>0</v>
      </c>
      <c r="CD234" s="105"/>
      <c r="CE234" s="106"/>
      <c r="CF234" s="106"/>
      <c r="CG234" s="106"/>
      <c r="CH234" s="106"/>
      <c r="CI234" s="106"/>
      <c r="CJ234" s="106"/>
      <c r="CK234" s="106"/>
      <c r="CL234" s="108">
        <f>SUM(Tabelle4[[#This Row],[Projektverantwortung
(Lenkungsausschuss).]:[Kommunikation    ]])</f>
        <v>0</v>
      </c>
      <c r="CM234" s="105"/>
      <c r="CN234" s="106"/>
      <c r="CO234" s="106"/>
      <c r="CP234" s="106"/>
      <c r="CQ234" s="106"/>
      <c r="CR234" s="106"/>
      <c r="CS234" s="106"/>
      <c r="CT234" s="106"/>
      <c r="CU234" s="108">
        <f>SUM(Tabelle4[[#This Row],[Projektverantwortung
(Lenkungsausschuss)    ]:[Kommunikation     ]])</f>
        <v>0</v>
      </c>
      <c r="CV234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234" s="105"/>
      <c r="CX234" s="105"/>
      <c r="CY234" s="105"/>
      <c r="CZ234" s="105"/>
      <c r="DA234" s="105"/>
      <c r="DB234" s="105"/>
      <c r="DC234" s="105"/>
      <c r="DD234" s="105"/>
      <c r="DE234" s="107">
        <f>SUM(Tabelle4[[#This Row],[Aufwand ]],Tabelle4[[#This Row],[Aufwand 2]],Tabelle4[[#This Row],[Aufwand 3]],Tabelle4[[#This Row],[Aufwand 4]])</f>
        <v>0</v>
      </c>
      <c r="DF234" s="105"/>
      <c r="DG234" s="105"/>
      <c r="DH234" s="105"/>
      <c r="DI234" s="105"/>
      <c r="DJ234" s="105"/>
      <c r="DK234" s="105"/>
      <c r="DL234" s="105"/>
      <c r="DM234" s="105"/>
      <c r="DN234" s="107">
        <f>SUM(Tabelle4[[#This Row],[Aufwand  ]],Tabelle4[[#This Row],[Aufwand  2]],Tabelle4[[#This Row],[Aufwand  3]],Tabelle4[[#This Row],[Aufwand  4]])</f>
        <v>0</v>
      </c>
      <c r="DO234" s="105"/>
      <c r="DP234" s="105"/>
      <c r="DQ234" s="105"/>
      <c r="DR234" s="105"/>
      <c r="DS234" s="105"/>
      <c r="DT234" s="105"/>
      <c r="DU234" s="105"/>
      <c r="DV234" s="105"/>
      <c r="DW234" s="107">
        <f>SUM(Tabelle4[[#This Row],[Aufwand   ]],Tabelle4[[#This Row],[Aufwand   2]],Tabelle4[[#This Row],[Aufwand   3]],Tabelle4[[#This Row],[Aufwand   4]])</f>
        <v>0</v>
      </c>
      <c r="DX234" s="105"/>
      <c r="DY234" s="105"/>
      <c r="DZ234" s="105"/>
      <c r="EA234" s="105"/>
      <c r="EB234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234" s="122">
        <f>Tabelle4[[#This Row],[Gesamaufwand]]/2000</f>
        <v>0</v>
      </c>
      <c r="ED234" s="47"/>
      <c r="EE234" s="47"/>
      <c r="EF234" s="47"/>
      <c r="EG234" s="47"/>
      <c r="EH234" s="47"/>
      <c r="EI234" s="47"/>
      <c r="EJ234" s="47"/>
      <c r="EK234" s="47"/>
      <c r="EL234" s="47"/>
    </row>
    <row r="235" spans="1:142">
      <c r="A235" s="255" t="s">
        <v>331</v>
      </c>
      <c r="B235" s="251" t="s">
        <v>105</v>
      </c>
      <c r="C235" s="254" t="s">
        <v>68</v>
      </c>
      <c r="D235" s="251" t="s">
        <v>914</v>
      </c>
      <c r="E235" s="251" t="s">
        <v>112</v>
      </c>
      <c r="F235" s="253">
        <v>2</v>
      </c>
      <c r="G235" s="253">
        <v>1</v>
      </c>
      <c r="H235" s="253"/>
      <c r="I235" s="254" t="s">
        <v>95</v>
      </c>
      <c r="J235" s="254"/>
      <c r="K235" s="105"/>
      <c r="L235" s="105"/>
      <c r="M235" s="48"/>
      <c r="N235" s="105"/>
      <c r="O235" s="255" t="s">
        <v>332</v>
      </c>
      <c r="P235" s="261">
        <v>1</v>
      </c>
      <c r="Q235" s="261">
        <v>0</v>
      </c>
      <c r="R235" s="261">
        <v>0</v>
      </c>
      <c r="S235" s="262" t="s">
        <v>333</v>
      </c>
      <c r="T235" s="263" t="s">
        <v>674</v>
      </c>
      <c r="U235" s="105"/>
      <c r="V235" s="259" t="s">
        <v>12</v>
      </c>
      <c r="W235" s="105" t="s">
        <v>6</v>
      </c>
      <c r="X235" s="105" t="s">
        <v>86</v>
      </c>
      <c r="Y235" s="105" t="s">
        <v>690</v>
      </c>
      <c r="Z235" s="105" t="s">
        <v>86</v>
      </c>
      <c r="AA235" s="105" t="s">
        <v>75</v>
      </c>
      <c r="AB235" s="105" t="s">
        <v>75</v>
      </c>
      <c r="AC235" s="105" t="s">
        <v>75</v>
      </c>
      <c r="AD235" s="105"/>
      <c r="AE235" s="105"/>
      <c r="AF235" s="105"/>
      <c r="AG235" s="105"/>
      <c r="AH235" s="115" t="s">
        <v>857</v>
      </c>
      <c r="AI235" s="115" t="s">
        <v>73</v>
      </c>
      <c r="AJ235" s="115" t="s">
        <v>74</v>
      </c>
      <c r="AK235" s="105"/>
      <c r="AL235" s="115"/>
      <c r="AM235" s="115"/>
      <c r="AN235" s="115">
        <v>793793.45</v>
      </c>
      <c r="AO235" s="260">
        <f>Tabelle4[[#This Row],[Kredit-  / Budgetsumme
(RADAR: Gesamtkosten S)]]-Tabelle4[[#This Row],[Netto-Ausgaben Vorjahre ]]</f>
        <v>-793793.45</v>
      </c>
      <c r="AP235" s="310"/>
      <c r="AQ235" s="311"/>
      <c r="AR235" s="115">
        <f>Tabelle4[[#This Row],[Kreditrest per 1.1. aktuelles Jahr]]-Tabelle4[[#This Row],[Prognose 2018
(RADAR: Kosten 2018 S)]]</f>
        <v>-793793.45</v>
      </c>
      <c r="AS235" s="115"/>
      <c r="AT235" s="311"/>
      <c r="AU235" s="115"/>
      <c r="AV235" s="311"/>
      <c r="AW235" s="115"/>
      <c r="AX235" s="311"/>
      <c r="AY235" s="115"/>
      <c r="AZ235" s="311"/>
      <c r="BA235" s="115"/>
      <c r="BB235" s="311"/>
      <c r="BC235" s="115"/>
      <c r="BD235" s="311"/>
      <c r="BE235" s="115"/>
      <c r="BF235" s="311"/>
      <c r="BG235" s="115"/>
      <c r="BH235" s="311"/>
      <c r="BI235" s="115"/>
      <c r="BJ235" s="115"/>
      <c r="BK235" s="264"/>
      <c r="BL235" s="105"/>
      <c r="BM235" s="106"/>
      <c r="BN235" s="106"/>
      <c r="BO235" s="106"/>
      <c r="BP235" s="106"/>
      <c r="BQ235" s="106"/>
      <c r="BR235" s="106"/>
      <c r="BS235" s="106"/>
      <c r="BT235" s="108">
        <f>SUM(Tabelle4[[#This Row],[Projektverantwortung
(Lenkungsausschuss) ]:[Kommunikation ]])</f>
        <v>0</v>
      </c>
      <c r="BU235" s="105"/>
      <c r="BV235" s="106"/>
      <c r="BW235" s="106"/>
      <c r="BX235" s="106"/>
      <c r="BY235" s="106"/>
      <c r="BZ235" s="106"/>
      <c r="CA235" s="106"/>
      <c r="CB235" s="106"/>
      <c r="CC235" s="108">
        <f>SUM(Tabelle4[[#This Row],[Projektverantwortung
(Lenkungsausschuss)   ]:[Kommunikation   ]])</f>
        <v>0</v>
      </c>
      <c r="CD235" s="105"/>
      <c r="CE235" s="106"/>
      <c r="CF235" s="106"/>
      <c r="CG235" s="106"/>
      <c r="CH235" s="106"/>
      <c r="CI235" s="106"/>
      <c r="CJ235" s="106"/>
      <c r="CK235" s="106"/>
      <c r="CL235" s="108">
        <f>SUM(Tabelle4[[#This Row],[Projektverantwortung
(Lenkungsausschuss).]:[Kommunikation    ]])</f>
        <v>0</v>
      </c>
      <c r="CM235" s="105"/>
      <c r="CN235" s="106"/>
      <c r="CO235" s="106"/>
      <c r="CP235" s="106"/>
      <c r="CQ235" s="106"/>
      <c r="CR235" s="106"/>
      <c r="CS235" s="106"/>
      <c r="CT235" s="106"/>
      <c r="CU235" s="108">
        <f>SUM(Tabelle4[[#This Row],[Projektverantwortung
(Lenkungsausschuss)    ]:[Kommunikation     ]])</f>
        <v>0</v>
      </c>
      <c r="CV235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235" s="105"/>
      <c r="CX235" s="105"/>
      <c r="CY235" s="105"/>
      <c r="CZ235" s="105"/>
      <c r="DA235" s="105"/>
      <c r="DB235" s="105"/>
      <c r="DC235" s="105"/>
      <c r="DD235" s="105"/>
      <c r="DE235" s="107">
        <f>SUM(Tabelle4[[#This Row],[Aufwand ]],Tabelle4[[#This Row],[Aufwand 2]],Tabelle4[[#This Row],[Aufwand 3]],Tabelle4[[#This Row],[Aufwand 4]])</f>
        <v>0</v>
      </c>
      <c r="DF235" s="105"/>
      <c r="DG235" s="105"/>
      <c r="DH235" s="105"/>
      <c r="DI235" s="105"/>
      <c r="DJ235" s="105"/>
      <c r="DK235" s="105"/>
      <c r="DL235" s="105"/>
      <c r="DM235" s="105"/>
      <c r="DN235" s="107">
        <f>SUM(Tabelle4[[#This Row],[Aufwand  ]],Tabelle4[[#This Row],[Aufwand  2]],Tabelle4[[#This Row],[Aufwand  3]],Tabelle4[[#This Row],[Aufwand  4]])</f>
        <v>0</v>
      </c>
      <c r="DO235" s="105"/>
      <c r="DP235" s="105"/>
      <c r="DQ235" s="105"/>
      <c r="DR235" s="105"/>
      <c r="DS235" s="105"/>
      <c r="DT235" s="105"/>
      <c r="DU235" s="105"/>
      <c r="DV235" s="105"/>
      <c r="DW235" s="107">
        <f>SUM(Tabelle4[[#This Row],[Aufwand   ]],Tabelle4[[#This Row],[Aufwand   2]],Tabelle4[[#This Row],[Aufwand   3]],Tabelle4[[#This Row],[Aufwand   4]])</f>
        <v>0</v>
      </c>
      <c r="DX235" s="105"/>
      <c r="DY235" s="105"/>
      <c r="DZ235" s="105"/>
      <c r="EA235" s="105"/>
      <c r="EB235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235" s="122">
        <f>Tabelle4[[#This Row],[Gesamaufwand]]/2000</f>
        <v>0</v>
      </c>
      <c r="ED235" s="48"/>
      <c r="EE235" s="48"/>
      <c r="EF235" s="48"/>
      <c r="EG235" s="48"/>
      <c r="EH235" s="48"/>
      <c r="EI235" s="47"/>
      <c r="EJ235" s="47"/>
      <c r="EK235" s="47"/>
      <c r="EL235" s="47"/>
    </row>
    <row r="236" spans="1:142">
      <c r="A236" s="255" t="s">
        <v>334</v>
      </c>
      <c r="B236" s="251" t="s">
        <v>103</v>
      </c>
      <c r="C236" s="254" t="s">
        <v>690</v>
      </c>
      <c r="D236" s="251" t="s">
        <v>914</v>
      </c>
      <c r="E236" s="251" t="s">
        <v>112</v>
      </c>
      <c r="F236" s="253">
        <v>2</v>
      </c>
      <c r="G236" s="253">
        <v>2</v>
      </c>
      <c r="H236" s="253"/>
      <c r="I236" s="254" t="s">
        <v>95</v>
      </c>
      <c r="J236" s="254"/>
      <c r="K236" s="105"/>
      <c r="L236" s="105"/>
      <c r="M236" s="48"/>
      <c r="N236" s="105"/>
      <c r="O236" s="255" t="s">
        <v>335</v>
      </c>
      <c r="P236" s="261">
        <v>1</v>
      </c>
      <c r="Q236" s="261">
        <v>0</v>
      </c>
      <c r="R236" s="261">
        <v>0</v>
      </c>
      <c r="S236" s="262" t="s">
        <v>336</v>
      </c>
      <c r="T236" s="263" t="s">
        <v>670</v>
      </c>
      <c r="U236" s="105"/>
      <c r="V236" s="259" t="s">
        <v>12</v>
      </c>
      <c r="W236" s="105" t="s">
        <v>6</v>
      </c>
      <c r="X236" s="105" t="s">
        <v>86</v>
      </c>
      <c r="Y236" s="105" t="s">
        <v>690</v>
      </c>
      <c r="Z236" s="105" t="s">
        <v>86</v>
      </c>
      <c r="AA236" s="105" t="s">
        <v>690</v>
      </c>
      <c r="AB236" s="110" t="s">
        <v>690</v>
      </c>
      <c r="AC236" s="105" t="s">
        <v>690</v>
      </c>
      <c r="AD236" s="105"/>
      <c r="AE236" s="105"/>
      <c r="AF236" s="105"/>
      <c r="AG236" s="105"/>
      <c r="AH236" s="115" t="s">
        <v>690</v>
      </c>
      <c r="AI236" s="115"/>
      <c r="AJ236" s="115"/>
      <c r="AK236" s="105"/>
      <c r="AL236" s="115"/>
      <c r="AM236" s="115"/>
      <c r="AN236" s="115"/>
      <c r="AO236" s="260">
        <f>Tabelle4[[#This Row],[Kredit-  / Budgetsumme
(RADAR: Gesamtkosten S)]]-Tabelle4[[#This Row],[Netto-Ausgaben Vorjahre ]]</f>
        <v>0</v>
      </c>
      <c r="AP236" s="310"/>
      <c r="AQ236" s="311"/>
      <c r="AR236" s="115">
        <f>Tabelle4[[#This Row],[Kreditrest per 1.1. aktuelles Jahr]]-Tabelle4[[#This Row],[Prognose 2018
(RADAR: Kosten 2018 S)]]</f>
        <v>0</v>
      </c>
      <c r="AS236" s="115"/>
      <c r="AT236" s="311"/>
      <c r="AU236" s="115"/>
      <c r="AV236" s="311"/>
      <c r="AW236" s="115"/>
      <c r="AX236" s="311"/>
      <c r="AY236" s="115"/>
      <c r="AZ236" s="311"/>
      <c r="BA236" s="115"/>
      <c r="BB236" s="311"/>
      <c r="BC236" s="115"/>
      <c r="BD236" s="311"/>
      <c r="BE236" s="115"/>
      <c r="BF236" s="311"/>
      <c r="BG236" s="115"/>
      <c r="BH236" s="311"/>
      <c r="BI236" s="115"/>
      <c r="BJ236" s="115"/>
      <c r="BK236" s="264"/>
      <c r="BL236" s="105"/>
      <c r="BM236" s="106"/>
      <c r="BN236" s="106"/>
      <c r="BO236" s="106"/>
      <c r="BP236" s="106"/>
      <c r="BQ236" s="106"/>
      <c r="BR236" s="106"/>
      <c r="BS236" s="106"/>
      <c r="BT236" s="108">
        <f>SUM(Tabelle4[[#This Row],[Projektverantwortung
(Lenkungsausschuss) ]:[Kommunikation ]])</f>
        <v>0</v>
      </c>
      <c r="BU236" s="105"/>
      <c r="BV236" s="106"/>
      <c r="BW236" s="106"/>
      <c r="BX236" s="106"/>
      <c r="BY236" s="106"/>
      <c r="BZ236" s="106"/>
      <c r="CA236" s="106"/>
      <c r="CB236" s="106"/>
      <c r="CC236" s="108">
        <f>SUM(Tabelle4[[#This Row],[Projektverantwortung
(Lenkungsausschuss)   ]:[Kommunikation   ]])</f>
        <v>0</v>
      </c>
      <c r="CD236" s="105"/>
      <c r="CE236" s="106"/>
      <c r="CF236" s="106"/>
      <c r="CG236" s="106"/>
      <c r="CH236" s="106"/>
      <c r="CI236" s="106"/>
      <c r="CJ236" s="106"/>
      <c r="CK236" s="106"/>
      <c r="CL236" s="108">
        <f>SUM(Tabelle4[[#This Row],[Projektverantwortung
(Lenkungsausschuss).]:[Kommunikation    ]])</f>
        <v>0</v>
      </c>
      <c r="CM236" s="105"/>
      <c r="CN236" s="106"/>
      <c r="CO236" s="106"/>
      <c r="CP236" s="106"/>
      <c r="CQ236" s="106"/>
      <c r="CR236" s="106"/>
      <c r="CS236" s="106"/>
      <c r="CT236" s="106"/>
      <c r="CU236" s="108">
        <f>SUM(Tabelle4[[#This Row],[Projektverantwortung
(Lenkungsausschuss)    ]:[Kommunikation     ]])</f>
        <v>0</v>
      </c>
      <c r="CV236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236" s="105"/>
      <c r="CX236" s="105"/>
      <c r="CY236" s="105"/>
      <c r="CZ236" s="105"/>
      <c r="DA236" s="105"/>
      <c r="DB236" s="105"/>
      <c r="DC236" s="105"/>
      <c r="DD236" s="105"/>
      <c r="DE236" s="107">
        <f>SUM(Tabelle4[[#This Row],[Aufwand ]],Tabelle4[[#This Row],[Aufwand 2]],Tabelle4[[#This Row],[Aufwand 3]],Tabelle4[[#This Row],[Aufwand 4]])</f>
        <v>0</v>
      </c>
      <c r="DF236" s="105"/>
      <c r="DG236" s="105"/>
      <c r="DH236" s="105"/>
      <c r="DI236" s="105"/>
      <c r="DJ236" s="105"/>
      <c r="DK236" s="105"/>
      <c r="DL236" s="105"/>
      <c r="DM236" s="105"/>
      <c r="DN236" s="107">
        <f>SUM(Tabelle4[[#This Row],[Aufwand  ]],Tabelle4[[#This Row],[Aufwand  2]],Tabelle4[[#This Row],[Aufwand  3]],Tabelle4[[#This Row],[Aufwand  4]])</f>
        <v>0</v>
      </c>
      <c r="DO236" s="105"/>
      <c r="DP236" s="105"/>
      <c r="DQ236" s="105"/>
      <c r="DR236" s="105"/>
      <c r="DS236" s="105"/>
      <c r="DT236" s="105"/>
      <c r="DU236" s="105"/>
      <c r="DV236" s="105"/>
      <c r="DW236" s="107">
        <f>SUM(Tabelle4[[#This Row],[Aufwand   ]],Tabelle4[[#This Row],[Aufwand   2]],Tabelle4[[#This Row],[Aufwand   3]],Tabelle4[[#This Row],[Aufwand   4]])</f>
        <v>0</v>
      </c>
      <c r="DX236" s="105"/>
      <c r="DY236" s="105"/>
      <c r="DZ236" s="105"/>
      <c r="EA236" s="105"/>
      <c r="EB236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236" s="122">
        <f>Tabelle4[[#This Row],[Gesamaufwand]]/2000</f>
        <v>0</v>
      </c>
      <c r="ED236" s="47"/>
      <c r="EE236" s="47"/>
      <c r="EF236" s="47"/>
      <c r="EG236" s="47"/>
      <c r="EH236" s="47"/>
      <c r="EI236" s="47"/>
      <c r="EJ236" s="47"/>
      <c r="EK236" s="47"/>
      <c r="EL236" s="47"/>
    </row>
    <row r="237" spans="1:142">
      <c r="A237" s="248" t="s">
        <v>837</v>
      </c>
      <c r="B237" s="249"/>
      <c r="C237" s="250"/>
      <c r="D237" s="249"/>
      <c r="E237" s="249"/>
      <c r="F237" s="252"/>
      <c r="G237" s="252"/>
      <c r="H237" s="252"/>
      <c r="I237" s="250"/>
      <c r="J237" s="250"/>
      <c r="K237" s="110"/>
      <c r="L237" s="110"/>
      <c r="M237" s="77"/>
      <c r="N237" s="110"/>
      <c r="O237" s="248"/>
      <c r="P237" s="256"/>
      <c r="Q237" s="256"/>
      <c r="R237" s="256"/>
      <c r="S237" s="257"/>
      <c r="T237" s="258"/>
      <c r="U237" s="110"/>
      <c r="V237" s="266"/>
      <c r="W237" s="110"/>
      <c r="X237" s="110"/>
      <c r="Y237" s="110"/>
      <c r="Z237" s="110"/>
      <c r="AA237" s="110"/>
      <c r="AB237" s="110"/>
      <c r="AC237" s="110"/>
      <c r="AD237" s="105"/>
      <c r="AE237" s="110"/>
      <c r="AF237" s="110"/>
      <c r="AG237" s="110"/>
      <c r="AH237" s="115" t="s">
        <v>800</v>
      </c>
      <c r="AI237" s="260" t="s">
        <v>73</v>
      </c>
      <c r="AJ237" s="260" t="s">
        <v>75</v>
      </c>
      <c r="AK237" s="110"/>
      <c r="AL237" s="260">
        <v>2000000</v>
      </c>
      <c r="AM237" s="260"/>
      <c r="AN237" s="260"/>
      <c r="AO237" s="260">
        <f>Tabelle4[[#This Row],[Kredit-  / Budgetsumme
(RADAR: Gesamtkosten S)]]-Tabelle4[[#This Row],[Netto-Ausgaben Vorjahre ]]</f>
        <v>2000000</v>
      </c>
      <c r="AP237" s="310"/>
      <c r="AQ237" s="310"/>
      <c r="AR237" s="260">
        <f>Tabelle4[[#This Row],[Kreditrest per 1.1. aktuelles Jahr]]-Tabelle4[[#This Row],[Prognose 2018
(RADAR: Kosten 2018 S)]]</f>
        <v>2000000</v>
      </c>
      <c r="AS237" s="260"/>
      <c r="AT237" s="310"/>
      <c r="AU237" s="260"/>
      <c r="AV237" s="310">
        <v>500000</v>
      </c>
      <c r="AW237" s="260"/>
      <c r="AX237" s="310">
        <v>500000</v>
      </c>
      <c r="AY237" s="260"/>
      <c r="AZ237" s="310">
        <v>500000</v>
      </c>
      <c r="BA237" s="260"/>
      <c r="BB237" s="310">
        <v>500000</v>
      </c>
      <c r="BC237" s="260"/>
      <c r="BD237" s="310"/>
      <c r="BE237" s="260"/>
      <c r="BF237" s="310"/>
      <c r="BG237" s="260"/>
      <c r="BH237" s="310"/>
      <c r="BI237" s="260"/>
      <c r="BJ237" s="260"/>
      <c r="BK237" s="260"/>
      <c r="BL237" s="105"/>
      <c r="BM237" s="111"/>
      <c r="BN237" s="111"/>
      <c r="BO237" s="111"/>
      <c r="BP237" s="111"/>
      <c r="BQ237" s="111"/>
      <c r="BR237" s="111"/>
      <c r="BS237" s="111"/>
      <c r="BT237" s="113">
        <f>SUM(Tabelle4[[#This Row],[Projektverantwortung
(Lenkungsausschuss) ]:[Kommunikation ]])</f>
        <v>0</v>
      </c>
      <c r="BU237" s="113"/>
      <c r="BV237" s="106"/>
      <c r="BW237" s="106"/>
      <c r="BX237" s="106"/>
      <c r="BY237" s="106"/>
      <c r="BZ237" s="106"/>
      <c r="CA237" s="106"/>
      <c r="CB237" s="106"/>
      <c r="CC237" s="113">
        <f>SUM(Tabelle4[[#This Row],[Projektverantwortung
(Lenkungsausschuss)   ]:[Kommunikation   ]])</f>
        <v>0</v>
      </c>
      <c r="CD237" s="113"/>
      <c r="CE237" s="114"/>
      <c r="CF237" s="114"/>
      <c r="CG237" s="114"/>
      <c r="CH237" s="114"/>
      <c r="CI237" s="114"/>
      <c r="CJ237" s="114"/>
      <c r="CK237" s="114"/>
      <c r="CL237" s="113">
        <f>SUM(Tabelle4[[#This Row],[Projektverantwortung
(Lenkungsausschuss).]:[Kommunikation    ]])</f>
        <v>0</v>
      </c>
      <c r="CM237" s="113"/>
      <c r="CN237" s="114"/>
      <c r="CO237" s="114"/>
      <c r="CP237" s="114"/>
      <c r="CQ237" s="114"/>
      <c r="CR237" s="114"/>
      <c r="CS237" s="114"/>
      <c r="CT237" s="114"/>
      <c r="CU237" s="113">
        <f>SUM(Tabelle4[[#This Row],[Projektverantwortung
(Lenkungsausschuss)    ]:[Kommunikation     ]])</f>
        <v>0</v>
      </c>
      <c r="CV237" s="112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237" s="105"/>
      <c r="CX237" s="105"/>
      <c r="CY237" s="105"/>
      <c r="CZ237" s="105"/>
      <c r="DA237" s="105"/>
      <c r="DB237" s="105"/>
      <c r="DC237" s="105"/>
      <c r="DD237" s="105"/>
      <c r="DE237" s="112">
        <f>SUM(Tabelle4[[#This Row],[Aufwand ]],Tabelle4[[#This Row],[Aufwand 2]],Tabelle4[[#This Row],[Aufwand 3]],Tabelle4[[#This Row],[Aufwand 4]])</f>
        <v>0</v>
      </c>
      <c r="DF237" s="142"/>
      <c r="DG237" s="110"/>
      <c r="DH237" s="110"/>
      <c r="DI237" s="142"/>
      <c r="DJ237" s="110"/>
      <c r="DK237" s="142"/>
      <c r="DL237" s="110"/>
      <c r="DM237" s="142"/>
      <c r="DN237" s="112">
        <f>SUM(Tabelle4[[#This Row],[Aufwand  ]],Tabelle4[[#This Row],[Aufwand  2]],Tabelle4[[#This Row],[Aufwand  3]],Tabelle4[[#This Row],[Aufwand  4]])</f>
        <v>0</v>
      </c>
      <c r="DO237" s="142"/>
      <c r="DP237" s="110"/>
      <c r="DQ237" s="110"/>
      <c r="DR237" s="142"/>
      <c r="DS237" s="110"/>
      <c r="DT237" s="142"/>
      <c r="DU237" s="110"/>
      <c r="DV237" s="142"/>
      <c r="DW237" s="107">
        <f>SUM(Tabelle4[[#This Row],[Aufwand   ]],Tabelle4[[#This Row],[Aufwand   2]],Tabelle4[[#This Row],[Aufwand   3]],Tabelle4[[#This Row],[Aufwand   4]])</f>
        <v>0</v>
      </c>
      <c r="DX237" s="142"/>
      <c r="DY237" s="143"/>
      <c r="DZ237" s="105"/>
      <c r="EA237" s="105"/>
      <c r="EB237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237" s="122">
        <f>Tabelle4[[#This Row],[Gesamaufwand]]/2000</f>
        <v>0</v>
      </c>
      <c r="ED237" s="47"/>
      <c r="EE237" s="47"/>
      <c r="EF237" s="47"/>
      <c r="EG237" s="47"/>
      <c r="EH237" s="47"/>
      <c r="EI237" s="47"/>
      <c r="EJ237" s="47"/>
      <c r="EK237" s="47"/>
      <c r="EL237" s="47"/>
    </row>
    <row r="238" spans="1:142">
      <c r="A238" s="255" t="s">
        <v>841</v>
      </c>
      <c r="B238" s="251"/>
      <c r="C238" s="254"/>
      <c r="D238" s="251"/>
      <c r="E238" s="251"/>
      <c r="F238" s="253"/>
      <c r="G238" s="253"/>
      <c r="H238" s="253"/>
      <c r="I238" s="254"/>
      <c r="J238" s="254"/>
      <c r="K238" s="105"/>
      <c r="L238" s="105"/>
      <c r="M238" s="48"/>
      <c r="N238" s="105"/>
      <c r="O238" s="255"/>
      <c r="P238" s="261"/>
      <c r="Q238" s="261"/>
      <c r="R238" s="261"/>
      <c r="S238" s="262"/>
      <c r="T238" s="263"/>
      <c r="U238" s="105"/>
      <c r="V238" s="259"/>
      <c r="W238" s="105"/>
      <c r="X238" s="105"/>
      <c r="Y238" s="105"/>
      <c r="Z238" s="105"/>
      <c r="AA238" s="105"/>
      <c r="AB238" s="105"/>
      <c r="AC238" s="105"/>
      <c r="AD238" s="105"/>
      <c r="AE238" s="105"/>
      <c r="AF238" s="105"/>
      <c r="AG238" s="105"/>
      <c r="AH238" s="115" t="s">
        <v>856</v>
      </c>
      <c r="AI238" s="115"/>
      <c r="AJ238" s="115" t="s">
        <v>75</v>
      </c>
      <c r="AK238" s="105"/>
      <c r="AL238" s="115">
        <v>2000000</v>
      </c>
      <c r="AM238" s="115"/>
      <c r="AN238" s="115"/>
      <c r="AO238" s="260">
        <f>Tabelle4[[#This Row],[Kredit-  / Budgetsumme
(RADAR: Gesamtkosten S)]]-Tabelle4[[#This Row],[Netto-Ausgaben Vorjahre ]]</f>
        <v>2000000</v>
      </c>
      <c r="AP238" s="310"/>
      <c r="AQ238" s="311"/>
      <c r="AR238" s="115">
        <f>Tabelle4[[#This Row],[Kreditrest per 1.1. aktuelles Jahr]]-Tabelle4[[#This Row],[Prognose 2018
(RADAR: Kosten 2018 S)]]</f>
        <v>2000000</v>
      </c>
      <c r="AS238" s="115"/>
      <c r="AT238" s="311"/>
      <c r="AU238" s="115"/>
      <c r="AV238" s="311"/>
      <c r="AW238" s="115"/>
      <c r="AX238" s="311"/>
      <c r="AY238" s="115"/>
      <c r="AZ238" s="311"/>
      <c r="BA238" s="115"/>
      <c r="BB238" s="311"/>
      <c r="BC238" s="115"/>
      <c r="BD238" s="310">
        <v>500000</v>
      </c>
      <c r="BE238" s="115"/>
      <c r="BF238" s="310">
        <v>500000</v>
      </c>
      <c r="BG238" s="115"/>
      <c r="BH238" s="310">
        <v>500000</v>
      </c>
      <c r="BI238" s="115"/>
      <c r="BJ238" s="115"/>
      <c r="BK238" s="115"/>
      <c r="BL238" s="105"/>
      <c r="BM238" s="106"/>
      <c r="BN238" s="106"/>
      <c r="BO238" s="106"/>
      <c r="BP238" s="106"/>
      <c r="BQ238" s="106"/>
      <c r="BR238" s="106"/>
      <c r="BS238" s="106"/>
      <c r="BT238" s="108">
        <f>SUM(Tabelle4[[#This Row],[Projektverantwortung
(Lenkungsausschuss) ]:[Kommunikation ]])</f>
        <v>0</v>
      </c>
      <c r="BU238" s="108"/>
      <c r="BV238" s="106"/>
      <c r="BW238" s="106"/>
      <c r="BX238" s="106"/>
      <c r="BY238" s="106"/>
      <c r="BZ238" s="106"/>
      <c r="CA238" s="106"/>
      <c r="CB238" s="106"/>
      <c r="CC238" s="108">
        <f>SUM(Tabelle4[[#This Row],[Projektverantwortung
(Lenkungsausschuss)   ]:[Kommunikation   ]])</f>
        <v>0</v>
      </c>
      <c r="CD238" s="108"/>
      <c r="CE238" s="151"/>
      <c r="CF238" s="151"/>
      <c r="CG238" s="151"/>
      <c r="CH238" s="151"/>
      <c r="CI238" s="151"/>
      <c r="CJ238" s="151"/>
      <c r="CK238" s="151"/>
      <c r="CL238" s="108">
        <f>SUM(Tabelle4[[#This Row],[Projektverantwortung
(Lenkungsausschuss).]:[Kommunikation    ]])</f>
        <v>0</v>
      </c>
      <c r="CM238" s="108"/>
      <c r="CN238" s="151"/>
      <c r="CO238" s="151"/>
      <c r="CP238" s="151"/>
      <c r="CQ238" s="151"/>
      <c r="CR238" s="151"/>
      <c r="CS238" s="151"/>
      <c r="CT238" s="151"/>
      <c r="CU238" s="108">
        <f>SUM(Tabelle4[[#This Row],[Projektverantwortung
(Lenkungsausschuss)    ]:[Kommunikation     ]])</f>
        <v>0</v>
      </c>
      <c r="CV238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238" s="105"/>
      <c r="CX238" s="105"/>
      <c r="CY238" s="105"/>
      <c r="CZ238" s="105"/>
      <c r="DA238" s="105"/>
      <c r="DB238" s="105"/>
      <c r="DC238" s="105"/>
      <c r="DD238" s="105"/>
      <c r="DE238" s="107">
        <f>SUM(Tabelle4[[#This Row],[Aufwand ]],Tabelle4[[#This Row],[Aufwand 2]],Tabelle4[[#This Row],[Aufwand 3]],Tabelle4[[#This Row],[Aufwand 4]])</f>
        <v>0</v>
      </c>
      <c r="DF238" s="116"/>
      <c r="DG238" s="105"/>
      <c r="DH238" s="105"/>
      <c r="DI238" s="116"/>
      <c r="DJ238" s="105"/>
      <c r="DK238" s="116"/>
      <c r="DL238" s="105"/>
      <c r="DM238" s="116"/>
      <c r="DN238" s="107">
        <f>SUM(Tabelle4[[#This Row],[Aufwand  ]],Tabelle4[[#This Row],[Aufwand  2]],Tabelle4[[#This Row],[Aufwand  3]],Tabelle4[[#This Row],[Aufwand  4]])</f>
        <v>0</v>
      </c>
      <c r="DO238" s="116"/>
      <c r="DP238" s="105"/>
      <c r="DQ238" s="105"/>
      <c r="DR238" s="116"/>
      <c r="DS238" s="105"/>
      <c r="DT238" s="116"/>
      <c r="DU238" s="105"/>
      <c r="DV238" s="116"/>
      <c r="DW238" s="107">
        <f>SUM(Tabelle4[[#This Row],[Aufwand   ]],Tabelle4[[#This Row],[Aufwand   2]],Tabelle4[[#This Row],[Aufwand   3]],Tabelle4[[#This Row],[Aufwand   4]])</f>
        <v>0</v>
      </c>
      <c r="DX238" s="116"/>
      <c r="DY238" s="152"/>
      <c r="DZ238" s="105"/>
      <c r="EA238" s="105"/>
      <c r="EB238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238" s="122">
        <f>Tabelle4[[#This Row],[Gesamaufwand]]/2000</f>
        <v>0</v>
      </c>
      <c r="ED238" s="47"/>
      <c r="EE238" s="47"/>
      <c r="EF238" s="47"/>
      <c r="EG238" s="47"/>
      <c r="EH238" s="47"/>
      <c r="EI238" s="47"/>
      <c r="EJ238" s="47"/>
      <c r="EK238" s="47"/>
      <c r="EL238" s="47"/>
    </row>
    <row r="239" spans="1:142">
      <c r="A239" s="255" t="s">
        <v>385</v>
      </c>
      <c r="B239" s="251" t="s">
        <v>105</v>
      </c>
      <c r="C239" s="254" t="s">
        <v>67</v>
      </c>
      <c r="D239" s="251" t="s">
        <v>780</v>
      </c>
      <c r="E239" s="251" t="s">
        <v>778</v>
      </c>
      <c r="F239" s="253">
        <v>2</v>
      </c>
      <c r="G239" s="253">
        <v>1</v>
      </c>
      <c r="H239" s="253"/>
      <c r="I239" s="254" t="s">
        <v>95</v>
      </c>
      <c r="J239" s="254"/>
      <c r="K239" s="105"/>
      <c r="L239" s="105"/>
      <c r="M239" s="48"/>
      <c r="N239" s="105"/>
      <c r="O239" s="255" t="s">
        <v>386</v>
      </c>
      <c r="P239" s="261">
        <v>1</v>
      </c>
      <c r="Q239" s="261">
        <v>0</v>
      </c>
      <c r="R239" s="261">
        <v>0</v>
      </c>
      <c r="S239" s="262" t="s">
        <v>387</v>
      </c>
      <c r="T239" s="263" t="s">
        <v>672</v>
      </c>
      <c r="U239" s="105"/>
      <c r="V239" s="259" t="s">
        <v>12</v>
      </c>
      <c r="W239" s="105" t="s">
        <v>6</v>
      </c>
      <c r="X239" s="105" t="s">
        <v>86</v>
      </c>
      <c r="Y239" s="105" t="s">
        <v>690</v>
      </c>
      <c r="Z239" s="105" t="s">
        <v>80</v>
      </c>
      <c r="AA239" s="105" t="s">
        <v>639</v>
      </c>
      <c r="AB239" s="105" t="s">
        <v>639</v>
      </c>
      <c r="AC239" s="105" t="s">
        <v>639</v>
      </c>
      <c r="AD239" s="105"/>
      <c r="AE239" s="105"/>
      <c r="AF239" s="105"/>
      <c r="AG239" s="105"/>
      <c r="AH239" s="115" t="s">
        <v>857</v>
      </c>
      <c r="AI239" s="115" t="s">
        <v>73</v>
      </c>
      <c r="AJ239" s="115" t="s">
        <v>74</v>
      </c>
      <c r="AK239" s="105" t="s">
        <v>1103</v>
      </c>
      <c r="AL239" s="115">
        <v>167000</v>
      </c>
      <c r="AM239" s="115"/>
      <c r="AN239" s="115">
        <v>4301</v>
      </c>
      <c r="AO239" s="260">
        <f>Tabelle4[[#This Row],[Kredit-  / Budgetsumme
(RADAR: Gesamtkosten S)]]-Tabelle4[[#This Row],[Netto-Ausgaben Vorjahre ]]</f>
        <v>162699</v>
      </c>
      <c r="AP239" s="310"/>
      <c r="AQ239" s="311">
        <v>150000</v>
      </c>
      <c r="AR239" s="115">
        <f>Tabelle4[[#This Row],[Kreditrest per 1.1. aktuelles Jahr]]-Tabelle4[[#This Row],[Prognose 2018
(RADAR: Kosten 2018 S)]]</f>
        <v>12699</v>
      </c>
      <c r="AS239" s="115"/>
      <c r="AT239" s="311"/>
      <c r="AU239" s="115"/>
      <c r="AV239" s="311"/>
      <c r="AW239" s="115"/>
      <c r="AX239" s="311"/>
      <c r="AY239" s="115"/>
      <c r="AZ239" s="311"/>
      <c r="BA239" s="115"/>
      <c r="BB239" s="311"/>
      <c r="BC239" s="115"/>
      <c r="BD239" s="311"/>
      <c r="BE239" s="115"/>
      <c r="BF239" s="311"/>
      <c r="BG239" s="115"/>
      <c r="BH239" s="311"/>
      <c r="BI239" s="115"/>
      <c r="BJ239" s="115"/>
      <c r="BK239" s="264"/>
      <c r="BL239" s="105"/>
      <c r="BM239" s="106"/>
      <c r="BN239" s="106"/>
      <c r="BO239" s="106"/>
      <c r="BP239" s="106"/>
      <c r="BQ239" s="106"/>
      <c r="BR239" s="106"/>
      <c r="BS239" s="106"/>
      <c r="BT239" s="108">
        <f>SUM(Tabelle4[[#This Row],[Projektverantwortung
(Lenkungsausschuss) ]:[Kommunikation ]])</f>
        <v>0</v>
      </c>
      <c r="BU239" s="105"/>
      <c r="BV239" s="106"/>
      <c r="BW239" s="106"/>
      <c r="BX239" s="106">
        <v>20</v>
      </c>
      <c r="BY239" s="106"/>
      <c r="BZ239" s="106"/>
      <c r="CA239" s="106"/>
      <c r="CB239" s="106"/>
      <c r="CC239" s="108">
        <f>SUM(Tabelle4[[#This Row],[Projektverantwortung
(Lenkungsausschuss)   ]:[Kommunikation   ]])</f>
        <v>20</v>
      </c>
      <c r="CD239" s="105"/>
      <c r="CE239" s="106">
        <v>0</v>
      </c>
      <c r="CF239" s="106">
        <v>0</v>
      </c>
      <c r="CG239" s="106">
        <v>0</v>
      </c>
      <c r="CH239" s="106">
        <v>0</v>
      </c>
      <c r="CI239" s="106">
        <v>0</v>
      </c>
      <c r="CJ239" s="106">
        <v>0</v>
      </c>
      <c r="CK239" s="106">
        <v>0</v>
      </c>
      <c r="CL239" s="108">
        <f>SUM(Tabelle4[[#This Row],[Projektverantwortung
(Lenkungsausschuss).]:[Kommunikation    ]])</f>
        <v>0</v>
      </c>
      <c r="CM239" s="105"/>
      <c r="CN239" s="106">
        <v>0</v>
      </c>
      <c r="CO239" s="106">
        <v>0</v>
      </c>
      <c r="CP239" s="106">
        <v>0</v>
      </c>
      <c r="CQ239" s="106">
        <v>0</v>
      </c>
      <c r="CR239" s="106">
        <v>0</v>
      </c>
      <c r="CS239" s="106">
        <v>0</v>
      </c>
      <c r="CT239" s="106">
        <v>0</v>
      </c>
      <c r="CU239" s="108">
        <f>SUM(Tabelle4[[#This Row],[Projektverantwortung
(Lenkungsausschuss)    ]:[Kommunikation     ]])</f>
        <v>0</v>
      </c>
      <c r="CV239" s="107">
        <f>SUM(Tabelle4[[#This Row],[Total Aufwand
1. Quartal 2018]],Tabelle4[[#This Row],[Total Aufwand
2. Quartal 2018]],Tabelle4[[#This Row],[Total Aufwand
3. Quartal 2018]],Tabelle4[[#This Row],[Total Aufwand
4. Quartal 2018]])</f>
        <v>20</v>
      </c>
      <c r="CW239" s="105"/>
      <c r="CX239" s="105"/>
      <c r="CY239" s="105"/>
      <c r="CZ239" s="105"/>
      <c r="DA239" s="105"/>
      <c r="DB239" s="105"/>
      <c r="DC239" s="105"/>
      <c r="DD239" s="105"/>
      <c r="DE239" s="107">
        <f>SUM(Tabelle4[[#This Row],[Aufwand ]],Tabelle4[[#This Row],[Aufwand 2]],Tabelle4[[#This Row],[Aufwand 3]],Tabelle4[[#This Row],[Aufwand 4]])</f>
        <v>0</v>
      </c>
      <c r="DF239" s="105"/>
      <c r="DG239" s="105"/>
      <c r="DH239" s="105"/>
      <c r="DI239" s="105"/>
      <c r="DJ239" s="105"/>
      <c r="DK239" s="105"/>
      <c r="DL239" s="105"/>
      <c r="DM239" s="105"/>
      <c r="DN239" s="107">
        <f>SUM(Tabelle4[[#This Row],[Aufwand  ]],Tabelle4[[#This Row],[Aufwand  2]],Tabelle4[[#This Row],[Aufwand  3]],Tabelle4[[#This Row],[Aufwand  4]])</f>
        <v>0</v>
      </c>
      <c r="DO239" s="105"/>
      <c r="DP239" s="105"/>
      <c r="DQ239" s="105"/>
      <c r="DR239" s="105"/>
      <c r="DS239" s="105"/>
      <c r="DT239" s="105"/>
      <c r="DU239" s="105"/>
      <c r="DV239" s="105"/>
      <c r="DW239" s="107">
        <f>SUM(Tabelle4[[#This Row],[Aufwand   ]],Tabelle4[[#This Row],[Aufwand   2]],Tabelle4[[#This Row],[Aufwand   3]],Tabelle4[[#This Row],[Aufwand   4]])</f>
        <v>0</v>
      </c>
      <c r="DX239" s="105"/>
      <c r="DY239" s="105"/>
      <c r="DZ239" s="105"/>
      <c r="EA239" s="105"/>
      <c r="EB239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20</v>
      </c>
      <c r="EC239" s="122">
        <f>Tabelle4[[#This Row],[Gesamaufwand]]/2000</f>
        <v>0.01</v>
      </c>
      <c r="ED239" s="47"/>
      <c r="EE239" s="47"/>
      <c r="EF239" s="47"/>
      <c r="EG239" s="47"/>
      <c r="EH239" s="47"/>
      <c r="EI239" s="47"/>
      <c r="EJ239" s="47"/>
      <c r="EK239" s="47"/>
      <c r="EL239" s="47"/>
    </row>
    <row r="240" spans="1:142">
      <c r="A240" s="255" t="s">
        <v>583</v>
      </c>
      <c r="B240" s="251" t="s">
        <v>105</v>
      </c>
      <c r="C240" s="254" t="s">
        <v>75</v>
      </c>
      <c r="D240" s="251" t="s">
        <v>914</v>
      </c>
      <c r="E240" s="251" t="s">
        <v>111</v>
      </c>
      <c r="F240" s="253">
        <v>1</v>
      </c>
      <c r="G240" s="253">
        <v>1</v>
      </c>
      <c r="H240" s="253"/>
      <c r="I240" s="254" t="s">
        <v>94</v>
      </c>
      <c r="J240" s="254"/>
      <c r="K240" s="105"/>
      <c r="L240" s="105"/>
      <c r="M240" s="48"/>
      <c r="N240" s="105"/>
      <c r="O240" s="255" t="s">
        <v>584</v>
      </c>
      <c r="P240" s="261">
        <v>2</v>
      </c>
      <c r="Q240" s="261">
        <v>0</v>
      </c>
      <c r="R240" s="261">
        <v>0</v>
      </c>
      <c r="S240" s="262" t="s">
        <v>248</v>
      </c>
      <c r="T240" s="263" t="s">
        <v>75</v>
      </c>
      <c r="U240" s="105"/>
      <c r="V240" s="259" t="s">
        <v>609</v>
      </c>
      <c r="W240" s="105" t="s">
        <v>7</v>
      </c>
      <c r="X240" s="105" t="s">
        <v>11</v>
      </c>
      <c r="Y240" s="105" t="s">
        <v>22</v>
      </c>
      <c r="Z240" s="105" t="s">
        <v>75</v>
      </c>
      <c r="AA240" s="105" t="s">
        <v>639</v>
      </c>
      <c r="AB240" s="105" t="s">
        <v>639</v>
      </c>
      <c r="AC240" s="105" t="s">
        <v>639</v>
      </c>
      <c r="AD240" s="105"/>
      <c r="AE240" s="105"/>
      <c r="AF240" s="105"/>
      <c r="AG240" s="105"/>
      <c r="AH240" s="115" t="s">
        <v>21</v>
      </c>
      <c r="AI240" s="115" t="s">
        <v>73</v>
      </c>
      <c r="AJ240" s="115" t="s">
        <v>620</v>
      </c>
      <c r="AK240" s="105" t="s">
        <v>842</v>
      </c>
      <c r="AL240" s="297">
        <v>450000</v>
      </c>
      <c r="AM240" s="297">
        <v>450000</v>
      </c>
      <c r="AN240" s="297"/>
      <c r="AO240" s="260">
        <f>Tabelle4[[#This Row],[Kredit-  / Budgetsumme
(RADAR: Gesamtkosten S)]]-Tabelle4[[#This Row],[Netto-Ausgaben Vorjahre ]]</f>
        <v>450000</v>
      </c>
      <c r="AP240" s="310"/>
      <c r="AQ240" s="315">
        <v>50000</v>
      </c>
      <c r="AR240" s="297">
        <f>Tabelle4[[#This Row],[Kreditrest per 1.1. aktuelles Jahr]]-Tabelle4[[#This Row],[Prognose 2018
(RADAR: Kosten 2018 S)]]</f>
        <v>400000</v>
      </c>
      <c r="AS240" s="297"/>
      <c r="AT240" s="315">
        <v>50000</v>
      </c>
      <c r="AU240" s="297"/>
      <c r="AV240" s="315">
        <v>350000</v>
      </c>
      <c r="AW240" s="115"/>
      <c r="AX240" s="311"/>
      <c r="AY240" s="115"/>
      <c r="AZ240" s="311"/>
      <c r="BA240" s="115"/>
      <c r="BB240" s="311"/>
      <c r="BC240" s="115"/>
      <c r="BD240" s="311"/>
      <c r="BE240" s="115"/>
      <c r="BF240" s="311"/>
      <c r="BG240" s="115"/>
      <c r="BH240" s="311"/>
      <c r="BI240" s="115"/>
      <c r="BJ240" s="115"/>
      <c r="BK240" s="264"/>
      <c r="BL240" s="105"/>
      <c r="BM240" s="106"/>
      <c r="BN240" s="106"/>
      <c r="BO240" s="106"/>
      <c r="BP240" s="106"/>
      <c r="BQ240" s="106"/>
      <c r="BR240" s="106"/>
      <c r="BS240" s="106"/>
      <c r="BT240" s="108">
        <f>SUM(Tabelle4[[#This Row],[Projektverantwortung
(Lenkungsausschuss) ]:[Kommunikation ]])</f>
        <v>0</v>
      </c>
      <c r="BU240" s="105"/>
      <c r="BV240" s="106"/>
      <c r="BW240" s="106"/>
      <c r="BX240" s="106"/>
      <c r="BY240" s="106"/>
      <c r="BZ240" s="106"/>
      <c r="CA240" s="106"/>
      <c r="CB240" s="106"/>
      <c r="CC240" s="108">
        <f>SUM(Tabelle4[[#This Row],[Projektverantwortung
(Lenkungsausschuss)   ]:[Kommunikation   ]])</f>
        <v>0</v>
      </c>
      <c r="CD240" s="105"/>
      <c r="CE240" s="106"/>
      <c r="CF240" s="106"/>
      <c r="CG240" s="106"/>
      <c r="CH240" s="106"/>
      <c r="CI240" s="106"/>
      <c r="CJ240" s="106"/>
      <c r="CK240" s="106"/>
      <c r="CL240" s="108">
        <f>SUM(Tabelle4[[#This Row],[Projektverantwortung
(Lenkungsausschuss).]:[Kommunikation    ]])</f>
        <v>0</v>
      </c>
      <c r="CM240" s="105"/>
      <c r="CN240" s="106"/>
      <c r="CO240" s="106"/>
      <c r="CP240" s="106"/>
      <c r="CQ240" s="106"/>
      <c r="CR240" s="106"/>
      <c r="CS240" s="106"/>
      <c r="CT240" s="106"/>
      <c r="CU240" s="108">
        <f>SUM(Tabelle4[[#This Row],[Projektverantwortung
(Lenkungsausschuss)    ]:[Kommunikation     ]])</f>
        <v>0</v>
      </c>
      <c r="CV240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240" s="105"/>
      <c r="CX240" s="105"/>
      <c r="CY240" s="105"/>
      <c r="CZ240" s="105"/>
      <c r="DA240" s="105"/>
      <c r="DB240" s="105"/>
      <c r="DC240" s="105"/>
      <c r="DD240" s="105"/>
      <c r="DE240" s="107">
        <f>SUM(Tabelle4[[#This Row],[Aufwand ]],Tabelle4[[#This Row],[Aufwand 2]],Tabelle4[[#This Row],[Aufwand 3]],Tabelle4[[#This Row],[Aufwand 4]])</f>
        <v>0</v>
      </c>
      <c r="DF240" s="105"/>
      <c r="DG240" s="105"/>
      <c r="DH240" s="105"/>
      <c r="DI240" s="105"/>
      <c r="DJ240" s="105"/>
      <c r="DK240" s="105"/>
      <c r="DL240" s="105"/>
      <c r="DM240" s="105"/>
      <c r="DN240" s="107">
        <f>SUM(Tabelle4[[#This Row],[Aufwand  ]],Tabelle4[[#This Row],[Aufwand  2]],Tabelle4[[#This Row],[Aufwand  3]],Tabelle4[[#This Row],[Aufwand  4]])</f>
        <v>0</v>
      </c>
      <c r="DO240" s="105"/>
      <c r="DP240" s="105"/>
      <c r="DQ240" s="105"/>
      <c r="DR240" s="105"/>
      <c r="DS240" s="105"/>
      <c r="DT240" s="105"/>
      <c r="DU240" s="105"/>
      <c r="DV240" s="105"/>
      <c r="DW240" s="107">
        <f>SUM(Tabelle4[[#This Row],[Aufwand   ]],Tabelle4[[#This Row],[Aufwand   2]],Tabelle4[[#This Row],[Aufwand   3]],Tabelle4[[#This Row],[Aufwand   4]])</f>
        <v>0</v>
      </c>
      <c r="DX240" s="105"/>
      <c r="DY240" s="105"/>
      <c r="DZ240" s="105"/>
      <c r="EA240" s="105"/>
      <c r="EB240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240" s="122">
        <f>Tabelle4[[#This Row],[Gesamaufwand]]/2000</f>
        <v>0</v>
      </c>
      <c r="ED240" s="47"/>
      <c r="EE240" s="47"/>
      <c r="EF240" s="47"/>
      <c r="EG240" s="47"/>
      <c r="EH240" s="47"/>
      <c r="EI240" s="47"/>
      <c r="EJ240" s="47"/>
      <c r="EK240" s="47"/>
      <c r="EL240" s="47"/>
    </row>
    <row r="241" spans="1:142">
      <c r="A241" s="255" t="s">
        <v>585</v>
      </c>
      <c r="B241" s="251" t="s">
        <v>105</v>
      </c>
      <c r="C241" s="254" t="s">
        <v>75</v>
      </c>
      <c r="D241" s="251" t="s">
        <v>913</v>
      </c>
      <c r="E241" s="251" t="s">
        <v>695</v>
      </c>
      <c r="F241" s="253">
        <v>1</v>
      </c>
      <c r="G241" s="253">
        <v>1</v>
      </c>
      <c r="H241" s="253"/>
      <c r="I241" s="254" t="s">
        <v>94</v>
      </c>
      <c r="J241" s="254"/>
      <c r="K241" s="105"/>
      <c r="L241" s="105"/>
      <c r="M241" s="48"/>
      <c r="N241" s="105"/>
      <c r="O241" s="255" t="s">
        <v>586</v>
      </c>
      <c r="P241" s="261">
        <v>2</v>
      </c>
      <c r="Q241" s="261">
        <v>0</v>
      </c>
      <c r="R241" s="261">
        <v>0</v>
      </c>
      <c r="S241" s="262" t="s">
        <v>310</v>
      </c>
      <c r="T241" s="263" t="s">
        <v>75</v>
      </c>
      <c r="U241" s="105"/>
      <c r="V241" s="259" t="s">
        <v>607</v>
      </c>
      <c r="W241" s="105" t="s">
        <v>656</v>
      </c>
      <c r="X241" s="105" t="s">
        <v>11</v>
      </c>
      <c r="Y241" s="105" t="s">
        <v>22</v>
      </c>
      <c r="Z241" s="105" t="s">
        <v>860</v>
      </c>
      <c r="AA241" s="105" t="s">
        <v>75</v>
      </c>
      <c r="AB241" s="105" t="s">
        <v>75</v>
      </c>
      <c r="AC241" s="105" t="s">
        <v>75</v>
      </c>
      <c r="AD241" s="105"/>
      <c r="AE241" s="105"/>
      <c r="AF241" s="105"/>
      <c r="AG241" s="105"/>
      <c r="AH241" s="115" t="s">
        <v>621</v>
      </c>
      <c r="AI241" s="115"/>
      <c r="AJ241" s="115"/>
      <c r="AK241" s="105"/>
      <c r="AL241" s="115"/>
      <c r="AM241" s="115"/>
      <c r="AN241" s="115"/>
      <c r="AO241" s="260">
        <f>Tabelle4[[#This Row],[Kredit-  / Budgetsumme
(RADAR: Gesamtkosten S)]]-Tabelle4[[#This Row],[Netto-Ausgaben Vorjahre ]]</f>
        <v>0</v>
      </c>
      <c r="AP241" s="310"/>
      <c r="AQ241" s="311"/>
      <c r="AR241" s="115">
        <f>Tabelle4[[#This Row],[Kreditrest per 1.1. aktuelles Jahr]]-Tabelle4[[#This Row],[Prognose 2018
(RADAR: Kosten 2018 S)]]</f>
        <v>0</v>
      </c>
      <c r="AS241" s="115"/>
      <c r="AT241" s="311"/>
      <c r="AU241" s="115"/>
      <c r="AV241" s="311"/>
      <c r="AW241" s="115"/>
      <c r="AX241" s="311"/>
      <c r="AY241" s="115"/>
      <c r="AZ241" s="311"/>
      <c r="BA241" s="115"/>
      <c r="BB241" s="311"/>
      <c r="BC241" s="115"/>
      <c r="BD241" s="311"/>
      <c r="BE241" s="115"/>
      <c r="BF241" s="311"/>
      <c r="BG241" s="115"/>
      <c r="BH241" s="311"/>
      <c r="BI241" s="115"/>
      <c r="BJ241" s="115"/>
      <c r="BK241" s="264"/>
      <c r="BL241" s="105"/>
      <c r="BM241" s="106"/>
      <c r="BN241" s="106"/>
      <c r="BO241" s="106"/>
      <c r="BP241" s="106"/>
      <c r="BQ241" s="106"/>
      <c r="BR241" s="106"/>
      <c r="BS241" s="106"/>
      <c r="BT241" s="108">
        <f>SUM(Tabelle4[[#This Row],[Projektverantwortung
(Lenkungsausschuss) ]:[Kommunikation ]])</f>
        <v>0</v>
      </c>
      <c r="BU241" s="105"/>
      <c r="BV241" s="106"/>
      <c r="BW241" s="106"/>
      <c r="BX241" s="106"/>
      <c r="BY241" s="106"/>
      <c r="BZ241" s="106"/>
      <c r="CA241" s="106"/>
      <c r="CB241" s="106"/>
      <c r="CC241" s="108">
        <f>SUM(Tabelle4[[#This Row],[Projektverantwortung
(Lenkungsausschuss)   ]:[Kommunikation   ]])</f>
        <v>0</v>
      </c>
      <c r="CD241" s="105"/>
      <c r="CE241" s="106"/>
      <c r="CF241" s="106"/>
      <c r="CG241" s="106"/>
      <c r="CH241" s="106"/>
      <c r="CI241" s="106"/>
      <c r="CJ241" s="106"/>
      <c r="CK241" s="106"/>
      <c r="CL241" s="108">
        <f>SUM(Tabelle4[[#This Row],[Projektverantwortung
(Lenkungsausschuss).]:[Kommunikation    ]])</f>
        <v>0</v>
      </c>
      <c r="CM241" s="105"/>
      <c r="CN241" s="106"/>
      <c r="CO241" s="106"/>
      <c r="CP241" s="106"/>
      <c r="CQ241" s="106"/>
      <c r="CR241" s="106"/>
      <c r="CS241" s="106"/>
      <c r="CT241" s="106"/>
      <c r="CU241" s="108">
        <f>SUM(Tabelle4[[#This Row],[Projektverantwortung
(Lenkungsausschuss)    ]:[Kommunikation     ]])</f>
        <v>0</v>
      </c>
      <c r="CV241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241" s="105"/>
      <c r="CX241" s="105"/>
      <c r="CY241" s="105"/>
      <c r="CZ241" s="105"/>
      <c r="DA241" s="105"/>
      <c r="DB241" s="105"/>
      <c r="DC241" s="105"/>
      <c r="DD241" s="105"/>
      <c r="DE241" s="107">
        <f>SUM(Tabelle4[[#This Row],[Aufwand ]],Tabelle4[[#This Row],[Aufwand 2]],Tabelle4[[#This Row],[Aufwand 3]],Tabelle4[[#This Row],[Aufwand 4]])</f>
        <v>0</v>
      </c>
      <c r="DF241" s="105"/>
      <c r="DG241" s="105"/>
      <c r="DH241" s="105"/>
      <c r="DI241" s="105"/>
      <c r="DJ241" s="105"/>
      <c r="DK241" s="105"/>
      <c r="DL241" s="105"/>
      <c r="DM241" s="105"/>
      <c r="DN241" s="107">
        <f>SUM(Tabelle4[[#This Row],[Aufwand  ]],Tabelle4[[#This Row],[Aufwand  2]],Tabelle4[[#This Row],[Aufwand  3]],Tabelle4[[#This Row],[Aufwand  4]])</f>
        <v>0</v>
      </c>
      <c r="DO241" s="105"/>
      <c r="DP241" s="105"/>
      <c r="DQ241" s="105"/>
      <c r="DR241" s="105"/>
      <c r="DS241" s="105"/>
      <c r="DT241" s="105"/>
      <c r="DU241" s="105"/>
      <c r="DV241" s="105"/>
      <c r="DW241" s="107">
        <f>SUM(Tabelle4[[#This Row],[Aufwand   ]],Tabelle4[[#This Row],[Aufwand   2]],Tabelle4[[#This Row],[Aufwand   3]],Tabelle4[[#This Row],[Aufwand   4]])</f>
        <v>0</v>
      </c>
      <c r="DX241" s="105"/>
      <c r="DY241" s="105"/>
      <c r="DZ241" s="105"/>
      <c r="EA241" s="105"/>
      <c r="EB241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241" s="122">
        <f>Tabelle4[[#This Row],[Gesamaufwand]]/2000</f>
        <v>0</v>
      </c>
      <c r="ED241" s="47"/>
      <c r="EE241" s="47"/>
      <c r="EF241" s="47"/>
      <c r="EG241" s="47"/>
      <c r="EH241" s="47"/>
      <c r="EI241" s="47"/>
      <c r="EJ241" s="47"/>
      <c r="EK241" s="47"/>
      <c r="EL241" s="47"/>
    </row>
    <row r="242" spans="1:142">
      <c r="A242" s="255" t="s">
        <v>388</v>
      </c>
      <c r="B242" s="251" t="s">
        <v>105</v>
      </c>
      <c r="C242" s="254" t="s">
        <v>75</v>
      </c>
      <c r="D242" s="251" t="s">
        <v>914</v>
      </c>
      <c r="E242" s="251" t="s">
        <v>112</v>
      </c>
      <c r="F242" s="253">
        <v>1</v>
      </c>
      <c r="G242" s="253">
        <v>1</v>
      </c>
      <c r="H242" s="253"/>
      <c r="I242" s="254" t="s">
        <v>94</v>
      </c>
      <c r="J242" s="254"/>
      <c r="K242" s="105"/>
      <c r="L242" s="105"/>
      <c r="M242" s="48"/>
      <c r="N242" s="105"/>
      <c r="O242" s="255" t="s">
        <v>389</v>
      </c>
      <c r="P242" s="261">
        <v>1</v>
      </c>
      <c r="Q242" s="261">
        <v>0</v>
      </c>
      <c r="R242" s="261">
        <v>0</v>
      </c>
      <c r="S242" s="262" t="s">
        <v>390</v>
      </c>
      <c r="T242" s="263" t="s">
        <v>667</v>
      </c>
      <c r="U242" s="105"/>
      <c r="V242" s="259" t="s">
        <v>12</v>
      </c>
      <c r="W242" s="105" t="s">
        <v>8</v>
      </c>
      <c r="X242" s="105" t="s">
        <v>10</v>
      </c>
      <c r="Y242" s="105" t="s">
        <v>690</v>
      </c>
      <c r="Z242" s="105" t="s">
        <v>82</v>
      </c>
      <c r="AA242" s="105"/>
      <c r="AB242" s="110" t="s">
        <v>690</v>
      </c>
      <c r="AC242" s="105" t="s">
        <v>690</v>
      </c>
      <c r="AD242" s="105"/>
      <c r="AE242" s="105"/>
      <c r="AF242" s="105"/>
      <c r="AG242" s="105"/>
      <c r="AH242" s="115" t="s">
        <v>21</v>
      </c>
      <c r="AI242" s="115" t="s">
        <v>73</v>
      </c>
      <c r="AJ242" s="115" t="s">
        <v>74</v>
      </c>
      <c r="AK242" s="105" t="s">
        <v>1097</v>
      </c>
      <c r="AL242" s="298">
        <v>108000</v>
      </c>
      <c r="AM242" s="298"/>
      <c r="AN242" s="298">
        <f>Tabelle4[[#This Row],[Kredit-  / Budgetsumme
(RADAR: Gesamtkosten S)]]-Tabelle4[[#This Row],[Kreditrest per 1.1. aktuelles Jahr]]</f>
        <v>98854</v>
      </c>
      <c r="AO242" s="260">
        <v>9146</v>
      </c>
      <c r="AP242" s="310"/>
      <c r="AQ242" s="316"/>
      <c r="AR242" s="298">
        <f>Tabelle4[[#This Row],[Kreditrest per 1.1. aktuelles Jahr]]-Tabelle4[[#This Row],[Prognose 2018
(RADAR: Kosten 2018 S)]]</f>
        <v>9146</v>
      </c>
      <c r="AS242" s="298"/>
      <c r="AT242" s="316"/>
      <c r="AU242" s="298"/>
      <c r="AV242" s="316"/>
      <c r="AW242" s="115"/>
      <c r="AX242" s="311"/>
      <c r="AY242" s="115"/>
      <c r="AZ242" s="311"/>
      <c r="BA242" s="115"/>
      <c r="BB242" s="311"/>
      <c r="BC242" s="115"/>
      <c r="BD242" s="311"/>
      <c r="BE242" s="115"/>
      <c r="BF242" s="311"/>
      <c r="BG242" s="115"/>
      <c r="BH242" s="311"/>
      <c r="BI242" s="115"/>
      <c r="BJ242" s="115"/>
      <c r="BK242" s="264"/>
      <c r="BL242" s="105"/>
      <c r="BM242" s="106"/>
      <c r="BN242" s="106"/>
      <c r="BO242" s="106"/>
      <c r="BP242" s="106"/>
      <c r="BQ242" s="106"/>
      <c r="BR242" s="106"/>
      <c r="BS242" s="106"/>
      <c r="BT242" s="108">
        <f>SUM(Tabelle4[[#This Row],[Projektverantwortung
(Lenkungsausschuss) ]:[Kommunikation ]])</f>
        <v>0</v>
      </c>
      <c r="BU242" s="105"/>
      <c r="BV242" s="106"/>
      <c r="BW242" s="106"/>
      <c r="BX242" s="106"/>
      <c r="BY242" s="106"/>
      <c r="BZ242" s="106"/>
      <c r="CA242" s="106"/>
      <c r="CB242" s="106"/>
      <c r="CC242" s="108">
        <f>SUM(Tabelle4[[#This Row],[Projektverantwortung
(Lenkungsausschuss)   ]:[Kommunikation   ]])</f>
        <v>0</v>
      </c>
      <c r="CD242" s="105"/>
      <c r="CE242" s="106"/>
      <c r="CF242" s="106"/>
      <c r="CG242" s="106"/>
      <c r="CH242" s="106"/>
      <c r="CI242" s="106"/>
      <c r="CJ242" s="106"/>
      <c r="CK242" s="106"/>
      <c r="CL242" s="108">
        <f>SUM(Tabelle4[[#This Row],[Projektverantwortung
(Lenkungsausschuss).]:[Kommunikation    ]])</f>
        <v>0</v>
      </c>
      <c r="CM242" s="105"/>
      <c r="CN242" s="106"/>
      <c r="CO242" s="106"/>
      <c r="CP242" s="106"/>
      <c r="CQ242" s="106"/>
      <c r="CR242" s="106"/>
      <c r="CS242" s="106"/>
      <c r="CT242" s="106"/>
      <c r="CU242" s="108">
        <f>SUM(Tabelle4[[#This Row],[Projektverantwortung
(Lenkungsausschuss)    ]:[Kommunikation     ]])</f>
        <v>0</v>
      </c>
      <c r="CV242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242" s="105"/>
      <c r="CX242" s="105"/>
      <c r="CY242" s="105"/>
      <c r="CZ242" s="105"/>
      <c r="DA242" s="105"/>
      <c r="DB242" s="105"/>
      <c r="DC242" s="105"/>
      <c r="DD242" s="105"/>
      <c r="DE242" s="107">
        <f>SUM(Tabelle4[[#This Row],[Aufwand ]],Tabelle4[[#This Row],[Aufwand 2]],Tabelle4[[#This Row],[Aufwand 3]],Tabelle4[[#This Row],[Aufwand 4]])</f>
        <v>0</v>
      </c>
      <c r="DF242" s="105"/>
      <c r="DG242" s="105"/>
      <c r="DH242" s="105"/>
      <c r="DI242" s="105"/>
      <c r="DJ242" s="105"/>
      <c r="DK242" s="105"/>
      <c r="DL242" s="105"/>
      <c r="DM242" s="105"/>
      <c r="DN242" s="107">
        <f>SUM(Tabelle4[[#This Row],[Aufwand  ]],Tabelle4[[#This Row],[Aufwand  2]],Tabelle4[[#This Row],[Aufwand  3]],Tabelle4[[#This Row],[Aufwand  4]])</f>
        <v>0</v>
      </c>
      <c r="DO242" s="105"/>
      <c r="DP242" s="105"/>
      <c r="DQ242" s="105"/>
      <c r="DR242" s="105"/>
      <c r="DS242" s="105"/>
      <c r="DT242" s="105"/>
      <c r="DU242" s="105"/>
      <c r="DV242" s="105"/>
      <c r="DW242" s="107">
        <f>SUM(Tabelle4[[#This Row],[Aufwand   ]],Tabelle4[[#This Row],[Aufwand   2]],Tabelle4[[#This Row],[Aufwand   3]],Tabelle4[[#This Row],[Aufwand   4]])</f>
        <v>0</v>
      </c>
      <c r="DX242" s="105"/>
      <c r="DY242" s="105"/>
      <c r="DZ242" s="105"/>
      <c r="EA242" s="105"/>
      <c r="EB242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242" s="122">
        <f>Tabelle4[[#This Row],[Gesamaufwand]]/2000</f>
        <v>0</v>
      </c>
      <c r="ED242" s="47"/>
      <c r="EE242" s="47"/>
      <c r="EF242" s="47"/>
      <c r="EG242" s="47"/>
      <c r="EH242" s="47"/>
      <c r="EI242" s="47"/>
      <c r="EJ242" s="47"/>
      <c r="EK242" s="47"/>
      <c r="EL242" s="47"/>
    </row>
    <row r="243" spans="1:142">
      <c r="A243" s="255" t="s">
        <v>1219</v>
      </c>
      <c r="B243" s="251" t="s">
        <v>105</v>
      </c>
      <c r="C243" s="254" t="s">
        <v>75</v>
      </c>
      <c r="D243" s="251"/>
      <c r="E243" s="251"/>
      <c r="F243" s="253"/>
      <c r="G243" s="253"/>
      <c r="H243" s="253"/>
      <c r="I243" s="254"/>
      <c r="J243" s="254"/>
      <c r="K243" s="105"/>
      <c r="L243" s="105"/>
      <c r="M243" s="48"/>
      <c r="N243" s="105"/>
      <c r="O243" s="255" t="s">
        <v>389</v>
      </c>
      <c r="P243" s="261">
        <v>1</v>
      </c>
      <c r="Q243" s="261">
        <v>0</v>
      </c>
      <c r="R243" s="261">
        <v>0</v>
      </c>
      <c r="S243" s="262" t="s">
        <v>390</v>
      </c>
      <c r="T243" s="263" t="s">
        <v>673</v>
      </c>
      <c r="U243" s="105"/>
      <c r="V243" s="259" t="s">
        <v>12</v>
      </c>
      <c r="W243" s="105" t="s">
        <v>75</v>
      </c>
      <c r="X243" s="105"/>
      <c r="Y243" s="105"/>
      <c r="Z243" s="105"/>
      <c r="AA243" s="105"/>
      <c r="AB243" s="105"/>
      <c r="AC243" s="105"/>
      <c r="AD243" s="105"/>
      <c r="AE243" s="105"/>
      <c r="AF243" s="105"/>
      <c r="AG243" s="105"/>
      <c r="AH243" s="115" t="s">
        <v>1089</v>
      </c>
      <c r="AI243" s="115"/>
      <c r="AJ243" s="115"/>
      <c r="AK243" s="105"/>
      <c r="AL243" s="115"/>
      <c r="AM243" s="115"/>
      <c r="AN243" s="115"/>
      <c r="AO243" s="260"/>
      <c r="AP243" s="310"/>
      <c r="AQ243" s="311">
        <v>70800</v>
      </c>
      <c r="AR243" s="115"/>
      <c r="AS243" s="115"/>
      <c r="AT243" s="311">
        <v>95000</v>
      </c>
      <c r="AU243" s="115"/>
      <c r="AV243" s="311">
        <v>95000</v>
      </c>
      <c r="AW243" s="115"/>
      <c r="AX243" s="311">
        <v>95000</v>
      </c>
      <c r="AY243" s="115"/>
      <c r="AZ243" s="311">
        <v>95000</v>
      </c>
      <c r="BA243" s="115"/>
      <c r="BB243" s="311">
        <v>95000</v>
      </c>
      <c r="BC243" s="115"/>
      <c r="BD243" s="311">
        <v>95000</v>
      </c>
      <c r="BE243" s="115"/>
      <c r="BF243" s="311">
        <v>95000</v>
      </c>
      <c r="BG243" s="115"/>
      <c r="BH243" s="311">
        <v>95000</v>
      </c>
      <c r="BI243" s="115"/>
      <c r="BJ243" s="115"/>
      <c r="BK243" s="264"/>
      <c r="BL243" s="105"/>
      <c r="BM243" s="106"/>
      <c r="BN243" s="106"/>
      <c r="BO243" s="106"/>
      <c r="BP243" s="106"/>
      <c r="BQ243" s="106"/>
      <c r="BR243" s="106"/>
      <c r="BS243" s="106"/>
      <c r="BT243" s="108">
        <f>SUM(Tabelle4[[#This Row],[Projektverantwortung
(Lenkungsausschuss) ]:[Kommunikation ]])</f>
        <v>0</v>
      </c>
      <c r="BU243" s="105"/>
      <c r="BV243" s="106"/>
      <c r="BW243" s="106"/>
      <c r="BX243" s="106"/>
      <c r="BY243" s="106"/>
      <c r="BZ243" s="106"/>
      <c r="CA243" s="106"/>
      <c r="CB243" s="106"/>
      <c r="CC243" s="108">
        <f>SUM(Tabelle4[[#This Row],[Projektverantwortung
(Lenkungsausschuss)   ]:[Kommunikation   ]])</f>
        <v>0</v>
      </c>
      <c r="CD243" s="105"/>
      <c r="CE243" s="106"/>
      <c r="CF243" s="106"/>
      <c r="CG243" s="106"/>
      <c r="CH243" s="106"/>
      <c r="CI243" s="106"/>
      <c r="CJ243" s="106"/>
      <c r="CK243" s="106"/>
      <c r="CL243" s="108">
        <f>SUM(Tabelle4[[#This Row],[Projektverantwortung
(Lenkungsausschuss).]:[Kommunikation    ]])</f>
        <v>0</v>
      </c>
      <c r="CM243" s="105"/>
      <c r="CN243" s="106"/>
      <c r="CO243" s="106"/>
      <c r="CP243" s="106"/>
      <c r="CQ243" s="106"/>
      <c r="CR243" s="106"/>
      <c r="CS243" s="106"/>
      <c r="CT243" s="106"/>
      <c r="CU243" s="108">
        <f>SUM(Tabelle4[[#This Row],[Projektverantwortung
(Lenkungsausschuss)    ]:[Kommunikation     ]])</f>
        <v>0</v>
      </c>
      <c r="CV243" s="107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243" s="105"/>
      <c r="CX243" s="105"/>
      <c r="CY243" s="105"/>
      <c r="CZ243" s="105"/>
      <c r="DA243" s="105"/>
      <c r="DB243" s="105"/>
      <c r="DC243" s="105"/>
      <c r="DD243" s="105"/>
      <c r="DE243" s="107">
        <f>SUM(Tabelle4[[#This Row],[Aufwand ]],Tabelle4[[#This Row],[Aufwand 2]],Tabelle4[[#This Row],[Aufwand 3]],Tabelle4[[#This Row],[Aufwand 4]])</f>
        <v>0</v>
      </c>
      <c r="DF243" s="105"/>
      <c r="DG243" s="105"/>
      <c r="DH243" s="105"/>
      <c r="DI243" s="105"/>
      <c r="DJ243" s="105"/>
      <c r="DK243" s="105"/>
      <c r="DL243" s="105"/>
      <c r="DM243" s="105"/>
      <c r="DN243" s="107">
        <f>SUM(Tabelle4[[#This Row],[Aufwand  ]],Tabelle4[[#This Row],[Aufwand  2]],Tabelle4[[#This Row],[Aufwand  3]],Tabelle4[[#This Row],[Aufwand  4]])</f>
        <v>0</v>
      </c>
      <c r="DO243" s="105"/>
      <c r="DP243" s="105"/>
      <c r="DQ243" s="105"/>
      <c r="DR243" s="105"/>
      <c r="DS243" s="105"/>
      <c r="DT243" s="105"/>
      <c r="DU243" s="105"/>
      <c r="DV243" s="105"/>
      <c r="DW243" s="107">
        <f>SUM(Tabelle4[[#This Row],[Aufwand   ]],Tabelle4[[#This Row],[Aufwand   2]],Tabelle4[[#This Row],[Aufwand   3]],Tabelle4[[#This Row],[Aufwand   4]])</f>
        <v>0</v>
      </c>
      <c r="DX243" s="105"/>
      <c r="DY243" s="105"/>
      <c r="DZ243" s="105"/>
      <c r="EA243" s="105"/>
      <c r="EB243" s="109">
        <f>SUM(Tabelle4[[#This Row],[Total Aufwand
2018]],Tabelle4[[#This Row],[Total Aufwand
2019]],Tabelle4[[#This Row],[Total Aufwand
2020]],Tabelle4[[#This Row],[Total Aufwand
2021]],Tabelle4[[#This Row],[Aufwand 2022]],Tabelle4[[#This Row],[Aufwand 2023]])</f>
        <v>0</v>
      </c>
      <c r="EC243" s="122">
        <f>Tabelle4[[#This Row],[Gesamaufwand]]/2000</f>
        <v>0</v>
      </c>
      <c r="ED243" s="47"/>
      <c r="EE243" s="47"/>
      <c r="EF243" s="47"/>
      <c r="EG243" s="47"/>
      <c r="EH243" s="47"/>
      <c r="EI243" s="47"/>
      <c r="EJ243" s="47"/>
      <c r="EK243" s="47"/>
      <c r="EL243" s="47"/>
    </row>
    <row r="244" spans="1:142">
      <c r="A244" s="378"/>
      <c r="B244" s="300"/>
      <c r="C244" s="301"/>
      <c r="D244" s="300"/>
      <c r="E244" s="300"/>
      <c r="F244" s="302"/>
      <c r="G244" s="302"/>
      <c r="H244" s="302"/>
      <c r="I244" s="301"/>
      <c r="J244" s="301"/>
      <c r="K244" s="133"/>
      <c r="L244" s="133"/>
      <c r="M244" s="131"/>
      <c r="N244" s="133"/>
      <c r="O244" s="299"/>
      <c r="P244" s="303"/>
      <c r="Q244" s="303"/>
      <c r="R244" s="303"/>
      <c r="S244" s="304"/>
      <c r="T244" s="305"/>
      <c r="U244" s="133"/>
      <c r="V244" s="306"/>
      <c r="W244" s="133"/>
      <c r="X244" s="133"/>
      <c r="Y244" s="133"/>
      <c r="Z244" s="133"/>
      <c r="AA244" s="133"/>
      <c r="AB244" s="133"/>
      <c r="AC244" s="133"/>
      <c r="AD244" s="133"/>
      <c r="AE244" s="133"/>
      <c r="AF244" s="307"/>
      <c r="AG244" s="307"/>
      <c r="AH244" s="307"/>
      <c r="AI244" s="307"/>
      <c r="AJ244" s="307"/>
      <c r="AK244" s="133"/>
      <c r="AL244" s="307"/>
      <c r="AM244" s="307"/>
      <c r="AN244" s="307"/>
      <c r="AO244" s="307"/>
      <c r="AP244" s="132"/>
      <c r="AQ244" s="132"/>
      <c r="AR244" s="307">
        <f>Tabelle4[[#This Row],[Kreditrest per 1.1. aktuelles Jahr]]-Tabelle4[[#This Row],[Prognose 2018
(RADAR: Kosten 2018 S)]]</f>
        <v>0</v>
      </c>
      <c r="AS244" s="307"/>
      <c r="AT244" s="132"/>
      <c r="AU244" s="307"/>
      <c r="AV244" s="132"/>
      <c r="AW244" s="307"/>
      <c r="AX244" s="132"/>
      <c r="AY244" s="307"/>
      <c r="AZ244" s="132"/>
      <c r="BA244" s="307"/>
      <c r="BB244" s="132"/>
      <c r="BC244" s="307"/>
      <c r="BD244" s="132"/>
      <c r="BE244" s="307"/>
      <c r="BF244" s="132"/>
      <c r="BG244" s="307"/>
      <c r="BH244" s="132"/>
      <c r="BI244" s="307"/>
      <c r="BJ244" s="307"/>
      <c r="BK244" s="264"/>
      <c r="BL244" s="133"/>
      <c r="BM244" s="134"/>
      <c r="BN244" s="134"/>
      <c r="BO244" s="134"/>
      <c r="BP244" s="134"/>
      <c r="BQ244" s="134"/>
      <c r="BR244" s="134"/>
      <c r="BS244" s="134"/>
      <c r="BT244" s="136">
        <f>SUM(Tabelle4[[#This Row],[Projektverantwortung
(Lenkungsausschuss) ]:[Kommunikation ]])</f>
        <v>0</v>
      </c>
      <c r="BU244" s="136"/>
      <c r="BV244" s="137"/>
      <c r="BW244" s="137"/>
      <c r="BX244" s="137"/>
      <c r="BY244" s="137"/>
      <c r="BZ244" s="137"/>
      <c r="CA244" s="137"/>
      <c r="CB244" s="137"/>
      <c r="CC244" s="136">
        <f>SUM(Tabelle4[[#This Row],[Projektverantwortung
(Lenkungsausschuss)   ]:[Kommunikation   ]])</f>
        <v>0</v>
      </c>
      <c r="CD244" s="136"/>
      <c r="CE244" s="137"/>
      <c r="CF244" s="137"/>
      <c r="CG244" s="137"/>
      <c r="CH244" s="137"/>
      <c r="CI244" s="137"/>
      <c r="CJ244" s="137"/>
      <c r="CK244" s="137"/>
      <c r="CL244" s="136">
        <f>SUM(Tabelle4[[#This Row],[Projektverantwortung
(Lenkungsausschuss).]:[Kommunikation    ]])</f>
        <v>0</v>
      </c>
      <c r="CM244" s="136"/>
      <c r="CN244" s="137"/>
      <c r="CO244" s="137"/>
      <c r="CP244" s="137"/>
      <c r="CQ244" s="137"/>
      <c r="CR244" s="137"/>
      <c r="CS244" s="137"/>
      <c r="CT244" s="137"/>
      <c r="CU244" s="136">
        <f>SUM(Tabelle4[[#This Row],[Projektverantwortung
(Lenkungsausschuss)    ]:[Kommunikation     ]])</f>
        <v>0</v>
      </c>
      <c r="CV244" s="135">
        <f>SUM(Tabelle4[[#This Row],[Total Aufwand
1. Quartal 2018]],Tabelle4[[#This Row],[Total Aufwand
2. Quartal 2018]],Tabelle4[[#This Row],[Total Aufwand
3. Quartal 2018]],Tabelle4[[#This Row],[Total Aufwand
4. Quartal 2018]])</f>
        <v>0</v>
      </c>
      <c r="CW244" s="133"/>
      <c r="CX244" s="133"/>
      <c r="CY244" s="138"/>
      <c r="CZ244" s="133"/>
      <c r="DA244" s="138"/>
      <c r="DB244" s="133"/>
      <c r="DC244" s="138"/>
      <c r="DD244" s="133"/>
      <c r="DE244" s="135">
        <f>SUM(Tabelle4[[#This Row],[Aufwand ]],Tabelle4[[#This Row],[Aufwand 2]],Tabelle4[[#This Row],[Aufwand 3]],Tabelle4[[#This Row],[Aufwand 4]])</f>
        <v>0</v>
      </c>
      <c r="DF244" s="138"/>
      <c r="DG244" s="133"/>
      <c r="DH244" s="133"/>
      <c r="DI244" s="138"/>
      <c r="DJ244" s="133"/>
      <c r="DK244" s="138"/>
      <c r="DL244" s="133"/>
      <c r="DM244" s="138"/>
      <c r="DN244" s="135">
        <f>SUM(Tabelle4[[#This Row],[Aufwand  ]],Tabelle4[[#This Row],[Aufwand  2]],Tabelle4[[#This Row],[Aufwand  3]],Tabelle4[[#This Row],[Aufwand  4]])</f>
        <v>0</v>
      </c>
      <c r="DO244" s="138"/>
      <c r="DP244" s="138"/>
      <c r="DQ244" s="138"/>
      <c r="DR244" s="133"/>
      <c r="DS244" s="133"/>
      <c r="DT244" s="138"/>
      <c r="DU244" s="133"/>
      <c r="DV244" s="138"/>
      <c r="DW244" s="135" t="e">
        <f>#REF!</f>
        <v>#REF!</v>
      </c>
      <c r="DX244" s="138"/>
      <c r="DY244" s="139"/>
      <c r="DZ244" s="133"/>
      <c r="EA244" s="140"/>
      <c r="EB244" s="141" t="e">
        <f>#REF!</f>
        <v>#REF!</v>
      </c>
      <c r="EC244" s="141"/>
      <c r="ED244" s="47"/>
      <c r="EE244" s="47"/>
      <c r="EF244" s="47"/>
      <c r="EG244" s="47"/>
      <c r="EH244" s="47"/>
      <c r="EI244" s="47"/>
      <c r="EJ244" s="47"/>
      <c r="EK244" s="47"/>
      <c r="EL244" s="47"/>
    </row>
    <row r="245" spans="1:142">
      <c r="A245" s="378"/>
      <c r="B245" s="300"/>
      <c r="C245" s="301"/>
      <c r="D245" s="300"/>
      <c r="E245" s="300"/>
      <c r="F245" s="302"/>
      <c r="G245" s="302"/>
      <c r="H245" s="302"/>
      <c r="I245" s="301"/>
      <c r="J245" s="301"/>
      <c r="K245" s="133"/>
      <c r="L245" s="133"/>
      <c r="M245" s="131"/>
      <c r="N245" s="133"/>
      <c r="O245" s="299"/>
      <c r="P245" s="303"/>
      <c r="Q245" s="303"/>
      <c r="R245" s="303"/>
      <c r="S245" s="304"/>
      <c r="T245" s="305"/>
      <c r="U245" s="133"/>
      <c r="V245" s="306"/>
      <c r="W245" s="133"/>
      <c r="X245" s="133"/>
      <c r="Y245" s="133"/>
      <c r="Z245" s="133"/>
      <c r="AA245" s="133"/>
      <c r="AB245" s="133"/>
      <c r="AC245" s="133"/>
      <c r="AD245" s="133"/>
      <c r="AE245" s="133"/>
      <c r="AF245" s="307"/>
      <c r="AG245" s="307"/>
      <c r="AH245" s="307"/>
      <c r="AI245" s="307"/>
      <c r="AJ245" s="307"/>
      <c r="AK245" s="133"/>
      <c r="AL245" s="307"/>
      <c r="AM245" s="307"/>
      <c r="AN245" s="307"/>
      <c r="AO245" s="307"/>
      <c r="AP245" s="132"/>
      <c r="AQ245" s="132"/>
      <c r="AR245" s="307">
        <f>Tabelle4[[#This Row],[Kreditrest per 1.1. aktuelles Jahr]]-Tabelle4[[#This Row],[Prognose 2018
(RADAR: Kosten 2018 S)]]</f>
        <v>0</v>
      </c>
      <c r="AS245" s="307"/>
      <c r="AT245" s="132"/>
      <c r="AU245" s="307"/>
      <c r="AV245" s="132"/>
      <c r="AW245" s="307"/>
      <c r="AX245" s="132"/>
      <c r="AY245" s="307"/>
      <c r="AZ245" s="132"/>
      <c r="BA245" s="307"/>
      <c r="BB245" s="132"/>
      <c r="BC245" s="307"/>
      <c r="BD245" s="132"/>
      <c r="BE245" s="307"/>
      <c r="BF245" s="132"/>
      <c r="BG245" s="307"/>
      <c r="BH245" s="132"/>
      <c r="BI245" s="307"/>
      <c r="BJ245" s="307"/>
      <c r="BK245" s="264"/>
      <c r="BL245" s="133"/>
      <c r="BM245" s="134"/>
      <c r="BN245" s="134"/>
      <c r="BO245" s="134"/>
      <c r="BP245" s="134"/>
      <c r="BQ245" s="134"/>
      <c r="BR245" s="134"/>
      <c r="BS245" s="134"/>
      <c r="BT245" s="136"/>
      <c r="BU245" s="136"/>
      <c r="BV245" s="137"/>
      <c r="BW245" s="137"/>
      <c r="BX245" s="137"/>
      <c r="BY245" s="137"/>
      <c r="BZ245" s="137"/>
      <c r="CA245" s="137"/>
      <c r="CB245" s="137"/>
      <c r="CC245" s="136"/>
      <c r="CD245" s="136"/>
      <c r="CE245" s="137"/>
      <c r="CF245" s="137"/>
      <c r="CG245" s="137"/>
      <c r="CH245" s="137"/>
      <c r="CI245" s="137"/>
      <c r="CJ245" s="137"/>
      <c r="CK245" s="137"/>
      <c r="CL245" s="136"/>
      <c r="CM245" s="136"/>
      <c r="CN245" s="137"/>
      <c r="CO245" s="137"/>
      <c r="CP245" s="137"/>
      <c r="CQ245" s="137"/>
      <c r="CR245" s="137"/>
      <c r="CS245" s="137"/>
      <c r="CT245" s="137"/>
      <c r="CU245" s="136"/>
      <c r="CV245" s="135"/>
      <c r="CW245" s="133"/>
      <c r="CX245" s="133"/>
      <c r="CY245" s="138"/>
      <c r="CZ245" s="133"/>
      <c r="DA245" s="138"/>
      <c r="DB245" s="133"/>
      <c r="DC245" s="138"/>
      <c r="DD245" s="133"/>
      <c r="DE245" s="135"/>
      <c r="DF245" s="138"/>
      <c r="DG245" s="133"/>
      <c r="DH245" s="133"/>
      <c r="DI245" s="138"/>
      <c r="DJ245" s="133"/>
      <c r="DK245" s="138"/>
      <c r="DL245" s="133"/>
      <c r="DM245" s="138"/>
      <c r="DN245" s="135"/>
      <c r="DO245" s="138"/>
      <c r="DP245" s="138"/>
      <c r="DQ245" s="138"/>
      <c r="DR245" s="133"/>
      <c r="DS245" s="133"/>
      <c r="DT245" s="138"/>
      <c r="DU245" s="133"/>
      <c r="DV245" s="138"/>
      <c r="DW245" s="135"/>
      <c r="DX245" s="138"/>
      <c r="DY245" s="139"/>
      <c r="DZ245" s="133"/>
      <c r="EA245" s="140"/>
      <c r="EB245" s="141"/>
      <c r="EC245" s="141"/>
      <c r="ED245" s="47"/>
      <c r="EE245" s="47"/>
      <c r="EF245" s="47"/>
      <c r="EG245" s="47"/>
      <c r="EH245" s="47"/>
      <c r="EI245" s="47"/>
      <c r="EJ245" s="47"/>
      <c r="EK245" s="47"/>
      <c r="EL245" s="47"/>
    </row>
    <row r="246" spans="1:142" s="47" customFormat="1" ht="3.75" customHeight="1">
      <c r="A246" s="379"/>
      <c r="B246" s="346"/>
      <c r="C246" s="347"/>
      <c r="D246" s="348"/>
      <c r="E246" s="346"/>
      <c r="F246" s="349"/>
      <c r="G246" s="349"/>
      <c r="H246" s="349"/>
      <c r="I246" s="350"/>
      <c r="J246" s="350"/>
      <c r="K246" s="351"/>
      <c r="L246" s="351"/>
      <c r="M246" s="352"/>
      <c r="N246" s="351"/>
      <c r="O246" s="345"/>
      <c r="P246" s="353"/>
      <c r="Q246" s="353"/>
      <c r="R246" s="353"/>
      <c r="S246" s="353"/>
      <c r="T246" s="345"/>
      <c r="U246" s="351"/>
      <c r="V246" s="354"/>
      <c r="W246" s="351"/>
      <c r="X246" s="351"/>
      <c r="Y246" s="351"/>
      <c r="Z246" s="351"/>
      <c r="AA246" s="351"/>
      <c r="AB246" s="351"/>
      <c r="AC246" s="351"/>
      <c r="AD246" s="351"/>
      <c r="AE246" s="351"/>
      <c r="AF246" s="351"/>
      <c r="AG246" s="351"/>
      <c r="AH246" s="351"/>
      <c r="AI246" s="351"/>
      <c r="AJ246" s="351"/>
      <c r="AK246" s="351"/>
      <c r="AL246" s="351"/>
      <c r="AM246" s="351"/>
      <c r="AN246" s="351"/>
      <c r="AO246" s="351"/>
      <c r="AP246" s="352"/>
      <c r="AQ246" s="352"/>
      <c r="AR246" s="351"/>
      <c r="AS246" s="351"/>
      <c r="AT246" s="352"/>
      <c r="AU246" s="351"/>
      <c r="AV246" s="352"/>
      <c r="AW246" s="351"/>
      <c r="AX246" s="352"/>
      <c r="AY246" s="351"/>
      <c r="AZ246" s="352"/>
      <c r="BA246" s="351"/>
      <c r="BB246" s="352"/>
      <c r="BC246" s="351"/>
      <c r="BD246" s="352"/>
      <c r="BE246" s="351"/>
      <c r="BF246" s="352"/>
      <c r="BG246" s="351"/>
      <c r="BH246" s="352"/>
      <c r="BI246" s="351"/>
      <c r="BJ246" s="351"/>
      <c r="BK246" s="351"/>
      <c r="BL246" s="355"/>
      <c r="BM246" s="355"/>
      <c r="BN246" s="355"/>
      <c r="BO246" s="355"/>
      <c r="BP246" s="355"/>
      <c r="BQ246" s="355"/>
      <c r="BR246" s="355"/>
      <c r="BS246" s="355"/>
      <c r="BT246" s="356"/>
      <c r="BU246" s="356"/>
      <c r="BV246" s="356"/>
      <c r="BW246" s="356"/>
      <c r="BX246" s="356"/>
      <c r="BY246" s="356"/>
      <c r="BZ246" s="356"/>
      <c r="CA246" s="356"/>
      <c r="CB246" s="356"/>
      <c r="CC246" s="356"/>
      <c r="CD246" s="356"/>
      <c r="CE246" s="356"/>
      <c r="CF246" s="356"/>
      <c r="CG246" s="356"/>
      <c r="CH246" s="356"/>
      <c r="CI246" s="356"/>
      <c r="CJ246" s="356"/>
      <c r="CK246" s="356"/>
      <c r="CL246" s="356"/>
      <c r="CM246" s="356"/>
      <c r="CN246" s="356"/>
      <c r="CO246" s="356"/>
      <c r="CP246" s="356"/>
      <c r="CQ246" s="356"/>
      <c r="CR246" s="356"/>
      <c r="CS246" s="356"/>
      <c r="CT246" s="356"/>
      <c r="CU246" s="356"/>
      <c r="CV246" s="357"/>
      <c r="CW246" s="355"/>
      <c r="CX246" s="355"/>
      <c r="CY246" s="355"/>
      <c r="CZ246" s="355"/>
      <c r="DA246" s="355"/>
      <c r="DB246" s="355"/>
      <c r="DC246" s="355"/>
      <c r="DD246" s="355"/>
      <c r="DE246" s="357"/>
      <c r="DF246" s="355"/>
      <c r="DG246" s="355"/>
      <c r="DH246" s="355"/>
      <c r="DI246" s="355"/>
      <c r="DJ246" s="355"/>
      <c r="DK246" s="355"/>
      <c r="DL246" s="355"/>
      <c r="DM246" s="355"/>
      <c r="DN246" s="357"/>
      <c r="DO246" s="355"/>
      <c r="DP246" s="355"/>
      <c r="DQ246" s="355"/>
      <c r="DR246" s="355"/>
      <c r="DS246" s="355"/>
      <c r="DT246" s="355"/>
      <c r="DU246" s="355"/>
      <c r="DV246" s="355"/>
      <c r="DW246" s="357"/>
      <c r="DX246" s="355"/>
      <c r="DY246" s="355"/>
      <c r="DZ246" s="355"/>
      <c r="EA246" s="357"/>
      <c r="EB246" s="358"/>
      <c r="EC246" s="359"/>
      <c r="ED246" s="51"/>
    </row>
    <row r="247" spans="1:142" s="150" customFormat="1">
      <c r="A247" s="46"/>
      <c r="B247" s="47"/>
      <c r="C247" s="81"/>
      <c r="D247" s="47"/>
      <c r="E247" s="47"/>
      <c r="F247" s="85"/>
      <c r="G247" s="85"/>
      <c r="H247" s="81"/>
      <c r="I247" s="47"/>
      <c r="J247" s="47"/>
      <c r="K247" s="47"/>
      <c r="L247" s="47"/>
      <c r="N247" s="47"/>
      <c r="O247" s="47"/>
      <c r="P247" s="48"/>
      <c r="Q247" s="48"/>
      <c r="R247" s="48"/>
      <c r="S247" s="48"/>
      <c r="T247" s="48"/>
      <c r="U247" s="48"/>
      <c r="V247" s="47"/>
      <c r="W247" s="49"/>
      <c r="X247" s="47"/>
      <c r="Y247" s="47"/>
      <c r="Z247" s="47"/>
      <c r="AA247" s="47"/>
      <c r="AB247" s="47"/>
      <c r="AC247" s="47"/>
      <c r="AD247" s="47"/>
      <c r="AE247" s="47"/>
      <c r="AF247" s="47"/>
      <c r="AG247" s="47"/>
      <c r="AH247" s="47"/>
      <c r="AI247" s="50"/>
      <c r="AJ247" s="50"/>
      <c r="AK247" s="50"/>
      <c r="AL247" s="47"/>
      <c r="AM247" s="50"/>
      <c r="AN247" s="50"/>
      <c r="AO247" s="50"/>
      <c r="AP247" s="311"/>
      <c r="AQ247" s="311"/>
      <c r="AR247" s="50"/>
      <c r="AS247" s="50"/>
      <c r="AT247" s="311"/>
      <c r="AU247" s="50"/>
      <c r="AV247" s="311"/>
      <c r="AW247" s="50"/>
      <c r="AX247" s="311"/>
      <c r="AY247" s="50"/>
      <c r="AZ247" s="311"/>
      <c r="BA247" s="50"/>
      <c r="BB247" s="311"/>
      <c r="BC247" s="50"/>
      <c r="BD247" s="311"/>
      <c r="BE247" s="50"/>
      <c r="BF247" s="311"/>
      <c r="BG247" s="50"/>
      <c r="BH247" s="311"/>
      <c r="BI247" s="50"/>
      <c r="BJ247" s="50"/>
      <c r="BK247" s="117"/>
      <c r="BL247" s="116"/>
      <c r="BM247" s="116"/>
      <c r="BN247" s="116"/>
      <c r="BO247" s="116"/>
      <c r="BP247" s="116"/>
      <c r="BQ247" s="116"/>
      <c r="BR247" s="116"/>
      <c r="BS247" s="116"/>
      <c r="BT247" s="117"/>
      <c r="BU247" s="116"/>
      <c r="BV247" s="116"/>
      <c r="BW247" s="116"/>
      <c r="BX247" s="116"/>
      <c r="BY247" s="116"/>
      <c r="BZ247" s="116"/>
      <c r="CA247" s="116"/>
      <c r="CB247" s="116"/>
      <c r="CC247" s="117"/>
      <c r="CD247" s="116"/>
      <c r="CE247" s="116"/>
      <c r="CF247" s="116"/>
      <c r="CG247" s="116"/>
      <c r="CH247" s="116"/>
      <c r="CI247" s="116"/>
      <c r="CJ247" s="116"/>
      <c r="CK247" s="116"/>
      <c r="CL247" s="117"/>
      <c r="CM247" s="116"/>
      <c r="CN247" s="116"/>
      <c r="CO247" s="116"/>
      <c r="CP247" s="116"/>
      <c r="CQ247" s="116"/>
      <c r="CR247" s="116"/>
      <c r="CS247" s="116"/>
      <c r="CT247" s="116"/>
      <c r="CU247" s="118"/>
      <c r="CV247" s="117"/>
      <c r="CW247" s="115"/>
      <c r="CX247" s="117"/>
      <c r="CY247" s="115"/>
      <c r="CZ247" s="117"/>
      <c r="DA247" s="115"/>
      <c r="DB247" s="117"/>
      <c r="DC247" s="115"/>
      <c r="DD247" s="116"/>
      <c r="DE247" s="119"/>
      <c r="DF247" s="115"/>
      <c r="DG247" s="105"/>
      <c r="DH247" s="105"/>
      <c r="DI247" s="116"/>
      <c r="DJ247" s="105"/>
      <c r="DK247" s="116"/>
      <c r="DL247" s="105"/>
      <c r="DM247" s="116"/>
      <c r="DN247" s="119"/>
      <c r="DO247" s="115"/>
      <c r="DP247" s="119"/>
      <c r="DQ247" s="105"/>
      <c r="DR247" s="119"/>
      <c r="DS247" s="105"/>
      <c r="DT247" s="119"/>
      <c r="DU247" s="105"/>
      <c r="DV247" s="116"/>
      <c r="DW247" s="119"/>
      <c r="DX247" s="115"/>
      <c r="DY247" s="116"/>
      <c r="DZ247" s="115"/>
      <c r="EA247" s="119"/>
      <c r="EB247" s="119"/>
    </row>
    <row r="248" spans="1:142" s="47" customFormat="1">
      <c r="A248" s="144" t="s">
        <v>797</v>
      </c>
      <c r="B248" s="145"/>
      <c r="C248" s="147"/>
      <c r="D248" s="145"/>
      <c r="E248" s="145"/>
      <c r="F248" s="146"/>
      <c r="G248" s="146"/>
      <c r="H248" s="147"/>
      <c r="I248" s="145"/>
      <c r="J248" s="145"/>
      <c r="K248" s="145"/>
      <c r="L248" s="145"/>
      <c r="N248" s="145"/>
      <c r="O248" s="145"/>
      <c r="P248" s="148"/>
      <c r="Q248" s="148"/>
      <c r="R248" s="148"/>
      <c r="S248" s="148"/>
      <c r="T248" s="148"/>
      <c r="U248" s="148"/>
      <c r="V248" s="145"/>
      <c r="W248" s="149"/>
      <c r="X248" s="145"/>
      <c r="Y248" s="145"/>
      <c r="Z248" s="145"/>
      <c r="AA248" s="145"/>
      <c r="AB248" s="145"/>
      <c r="AC248" s="145"/>
      <c r="AD248" s="145"/>
      <c r="AE248" s="145"/>
      <c r="AF248" s="145"/>
      <c r="AG248" s="145"/>
      <c r="AH248" s="145"/>
      <c r="AI248" s="145"/>
      <c r="AJ248" s="145"/>
      <c r="AK248" s="156"/>
      <c r="AL248" s="145"/>
      <c r="AM248" s="145">
        <f>SUBTOTAL(9,AM11:AM245)</f>
        <v>709500</v>
      </c>
      <c r="AN248" s="145">
        <f>SUBTOTAL(9,AN11:AN245)</f>
        <v>4383386.68</v>
      </c>
      <c r="AO248" s="145">
        <f>SUBTOTAL(9,AO11:AO245)</f>
        <v>50765913.319999993</v>
      </c>
      <c r="AP248" s="148"/>
      <c r="AQ248" s="148">
        <f t="shared" ref="AQ248:BV248" si="0">SUBTOTAL(9,AQ11:AQ245)</f>
        <v>5607168</v>
      </c>
      <c r="AR248" s="145">
        <f t="shared" si="0"/>
        <v>45738545.319999993</v>
      </c>
      <c r="AS248" s="145">
        <f t="shared" si="0"/>
        <v>818310</v>
      </c>
      <c r="AT248" s="148">
        <f t="shared" si="0"/>
        <v>6740978</v>
      </c>
      <c r="AU248" s="145">
        <f t="shared" si="0"/>
        <v>0</v>
      </c>
      <c r="AV248" s="148">
        <f t="shared" si="0"/>
        <v>7418500</v>
      </c>
      <c r="AW248" s="145">
        <f t="shared" si="0"/>
        <v>0</v>
      </c>
      <c r="AX248" s="148">
        <f t="shared" si="0"/>
        <v>7747000</v>
      </c>
      <c r="AY248" s="145">
        <f t="shared" si="0"/>
        <v>3000000</v>
      </c>
      <c r="AZ248" s="148">
        <f t="shared" si="0"/>
        <v>4107000</v>
      </c>
      <c r="BA248" s="145">
        <f t="shared" si="0"/>
        <v>0</v>
      </c>
      <c r="BB248" s="148">
        <f t="shared" si="0"/>
        <v>7064500</v>
      </c>
      <c r="BC248" s="145">
        <f t="shared" si="0"/>
        <v>0</v>
      </c>
      <c r="BD248" s="148">
        <f t="shared" si="0"/>
        <v>6954500</v>
      </c>
      <c r="BE248" s="145">
        <f t="shared" si="0"/>
        <v>0</v>
      </c>
      <c r="BF248" s="148">
        <f t="shared" si="0"/>
        <v>6951500</v>
      </c>
      <c r="BG248" s="145">
        <f t="shared" si="0"/>
        <v>0</v>
      </c>
      <c r="BH248" s="148">
        <f t="shared" si="0"/>
        <v>6916500</v>
      </c>
      <c r="BI248" s="145">
        <f t="shared" si="0"/>
        <v>0</v>
      </c>
      <c r="BJ248" s="201">
        <f t="shared" si="0"/>
        <v>0</v>
      </c>
      <c r="BK248" s="201">
        <f t="shared" si="0"/>
        <v>0</v>
      </c>
      <c r="BL248" s="201">
        <f t="shared" si="0"/>
        <v>0</v>
      </c>
      <c r="BM248" s="201">
        <f t="shared" si="0"/>
        <v>644</v>
      </c>
      <c r="BN248" s="201">
        <f t="shared" si="0"/>
        <v>336</v>
      </c>
      <c r="BO248" s="201">
        <f t="shared" si="0"/>
        <v>2344</v>
      </c>
      <c r="BP248" s="201">
        <f t="shared" si="0"/>
        <v>240</v>
      </c>
      <c r="BQ248" s="201">
        <f t="shared" si="0"/>
        <v>304</v>
      </c>
      <c r="BR248" s="201">
        <f t="shared" si="0"/>
        <v>388</v>
      </c>
      <c r="BS248" s="201">
        <f t="shared" si="0"/>
        <v>0</v>
      </c>
      <c r="BT248" s="201">
        <f t="shared" si="0"/>
        <v>4256</v>
      </c>
      <c r="BU248" s="201">
        <f t="shared" si="0"/>
        <v>0</v>
      </c>
      <c r="BV248" s="201">
        <f t="shared" si="0"/>
        <v>284</v>
      </c>
      <c r="BW248" s="201">
        <f t="shared" ref="BW248:DC248" si="1">SUBTOTAL(9,BW11:BW245)</f>
        <v>232</v>
      </c>
      <c r="BX248" s="201">
        <f t="shared" si="1"/>
        <v>1752</v>
      </c>
      <c r="BY248" s="201">
        <f t="shared" si="1"/>
        <v>200</v>
      </c>
      <c r="BZ248" s="201">
        <f t="shared" si="1"/>
        <v>600</v>
      </c>
      <c r="CA248" s="201">
        <f t="shared" si="1"/>
        <v>228</v>
      </c>
      <c r="CB248" s="201">
        <f t="shared" si="1"/>
        <v>0</v>
      </c>
      <c r="CC248" s="201">
        <f t="shared" si="1"/>
        <v>3296</v>
      </c>
      <c r="CD248" s="201">
        <f t="shared" si="1"/>
        <v>0</v>
      </c>
      <c r="CE248" s="201">
        <f t="shared" si="1"/>
        <v>248</v>
      </c>
      <c r="CF248" s="201">
        <f t="shared" si="1"/>
        <v>236</v>
      </c>
      <c r="CG248" s="201">
        <f t="shared" si="1"/>
        <v>1488</v>
      </c>
      <c r="CH248" s="201">
        <f t="shared" si="1"/>
        <v>208</v>
      </c>
      <c r="CI248" s="201">
        <f t="shared" si="1"/>
        <v>368</v>
      </c>
      <c r="CJ248" s="201">
        <f t="shared" si="1"/>
        <v>88</v>
      </c>
      <c r="CK248" s="201">
        <f t="shared" si="1"/>
        <v>0</v>
      </c>
      <c r="CL248" s="201">
        <f t="shared" si="1"/>
        <v>2636</v>
      </c>
      <c r="CM248" s="201">
        <f t="shared" si="1"/>
        <v>0</v>
      </c>
      <c r="CN248" s="201">
        <f t="shared" si="1"/>
        <v>244</v>
      </c>
      <c r="CO248" s="201">
        <f t="shared" si="1"/>
        <v>252</v>
      </c>
      <c r="CP248" s="201">
        <f t="shared" si="1"/>
        <v>1587</v>
      </c>
      <c r="CQ248" s="201">
        <f t="shared" si="1"/>
        <v>180</v>
      </c>
      <c r="CR248" s="201">
        <f t="shared" si="1"/>
        <v>280</v>
      </c>
      <c r="CS248" s="201">
        <f t="shared" si="1"/>
        <v>68</v>
      </c>
      <c r="CT248" s="201">
        <f t="shared" si="1"/>
        <v>0</v>
      </c>
      <c r="CU248" s="201">
        <f t="shared" si="1"/>
        <v>2611</v>
      </c>
      <c r="CV248" s="201">
        <f t="shared" si="1"/>
        <v>12799</v>
      </c>
      <c r="CW248" s="201">
        <f t="shared" si="1"/>
        <v>0</v>
      </c>
      <c r="CX248" s="201">
        <f t="shared" si="1"/>
        <v>160</v>
      </c>
      <c r="CY248" s="201">
        <f t="shared" si="1"/>
        <v>0</v>
      </c>
      <c r="CZ248" s="201">
        <f t="shared" si="1"/>
        <v>60</v>
      </c>
      <c r="DA248" s="201">
        <f t="shared" si="1"/>
        <v>0</v>
      </c>
      <c r="DB248" s="201">
        <f t="shared" si="1"/>
        <v>40</v>
      </c>
      <c r="DC248" s="201">
        <f t="shared" si="1"/>
        <v>0</v>
      </c>
      <c r="DD248" s="201">
        <f t="shared" ref="DD248:EC248" si="2">SUBTOTAL(9,DD11:DD245)</f>
        <v>0</v>
      </c>
      <c r="DE248" s="201">
        <f t="shared" si="2"/>
        <v>260</v>
      </c>
      <c r="DF248" s="201">
        <f t="shared" si="2"/>
        <v>0</v>
      </c>
      <c r="DG248" s="201">
        <f t="shared" si="2"/>
        <v>0</v>
      </c>
      <c r="DH248" s="201">
        <f t="shared" si="2"/>
        <v>0</v>
      </c>
      <c r="DI248" s="201">
        <f t="shared" si="2"/>
        <v>0</v>
      </c>
      <c r="DJ248" s="201">
        <f t="shared" si="2"/>
        <v>0</v>
      </c>
      <c r="DK248" s="201">
        <f t="shared" si="2"/>
        <v>0</v>
      </c>
      <c r="DL248" s="201">
        <f t="shared" si="2"/>
        <v>0</v>
      </c>
      <c r="DM248" s="201">
        <f t="shared" si="2"/>
        <v>0</v>
      </c>
      <c r="DN248" s="201">
        <f t="shared" si="2"/>
        <v>0</v>
      </c>
      <c r="DO248" s="201">
        <f t="shared" si="2"/>
        <v>0</v>
      </c>
      <c r="DP248" s="201">
        <f t="shared" si="2"/>
        <v>0</v>
      </c>
      <c r="DQ248" s="201">
        <f t="shared" si="2"/>
        <v>0</v>
      </c>
      <c r="DR248" s="201">
        <f t="shared" si="2"/>
        <v>0</v>
      </c>
      <c r="DS248" s="201">
        <f t="shared" si="2"/>
        <v>0</v>
      </c>
      <c r="DT248" s="201">
        <f t="shared" si="2"/>
        <v>0</v>
      </c>
      <c r="DU248" s="201">
        <f t="shared" si="2"/>
        <v>0</v>
      </c>
      <c r="DV248" s="201">
        <f t="shared" si="2"/>
        <v>0</v>
      </c>
      <c r="DW248" s="201" t="e">
        <f t="shared" si="2"/>
        <v>#REF!</v>
      </c>
      <c r="DX248" s="201">
        <f t="shared" si="2"/>
        <v>0</v>
      </c>
      <c r="DY248" s="201">
        <f t="shared" si="2"/>
        <v>0</v>
      </c>
      <c r="DZ248" s="201">
        <f t="shared" si="2"/>
        <v>0</v>
      </c>
      <c r="EA248" s="201">
        <f t="shared" si="2"/>
        <v>0</v>
      </c>
      <c r="EB248" s="201" t="e">
        <f t="shared" si="2"/>
        <v>#REF!</v>
      </c>
      <c r="EC248" s="201">
        <f t="shared" si="2"/>
        <v>6.5294999999999987</v>
      </c>
    </row>
    <row r="249" spans="1:142" s="47" customFormat="1">
      <c r="A249" s="46"/>
      <c r="C249" s="81"/>
      <c r="F249" s="85"/>
      <c r="G249" s="85"/>
      <c r="H249" s="81"/>
      <c r="P249" s="48"/>
      <c r="Q249" s="48"/>
      <c r="R249" s="48"/>
      <c r="S249" s="48"/>
      <c r="T249" s="48"/>
      <c r="U249" s="48"/>
      <c r="W249" s="49"/>
      <c r="AI249" s="50"/>
      <c r="AJ249" s="50"/>
      <c r="AK249" s="50"/>
      <c r="AM249" s="50"/>
      <c r="AN249" s="50"/>
      <c r="AO249" s="50"/>
      <c r="AP249" s="311"/>
      <c r="AQ249" s="311"/>
      <c r="AR249" s="50"/>
      <c r="AS249" s="50"/>
      <c r="AT249" s="311"/>
      <c r="AU249" s="50"/>
      <c r="AV249" s="311"/>
      <c r="AW249" s="50"/>
      <c r="AX249" s="311"/>
      <c r="AY249" s="50"/>
      <c r="AZ249" s="311"/>
      <c r="BA249" s="50"/>
      <c r="BB249" s="311"/>
      <c r="BC249" s="50"/>
      <c r="BD249" s="311"/>
      <c r="BE249" s="50"/>
      <c r="BF249" s="311"/>
      <c r="BG249" s="50"/>
      <c r="BH249" s="311"/>
      <c r="BI249" s="50"/>
      <c r="BJ249" s="50"/>
      <c r="BK249" s="117"/>
      <c r="BL249" s="116"/>
      <c r="BM249" s="116"/>
      <c r="BN249" s="116"/>
      <c r="BO249" s="116"/>
      <c r="BP249" s="116"/>
      <c r="BQ249" s="116"/>
      <c r="BR249" s="116"/>
      <c r="BS249" s="116"/>
      <c r="BT249" s="117"/>
      <c r="BU249" s="116"/>
      <c r="BV249" s="116"/>
      <c r="BW249" s="116"/>
      <c r="BX249" s="116"/>
      <c r="BY249" s="116"/>
      <c r="BZ249" s="116"/>
      <c r="CA249" s="116"/>
      <c r="CB249" s="116"/>
      <c r="CC249" s="117"/>
      <c r="CD249" s="116"/>
      <c r="CE249" s="116"/>
      <c r="CF249" s="116"/>
      <c r="CG249" s="116"/>
      <c r="CH249" s="116"/>
      <c r="CI249" s="116"/>
      <c r="CJ249" s="116"/>
      <c r="CK249" s="116"/>
      <c r="CL249" s="117"/>
      <c r="CM249" s="116"/>
      <c r="CN249" s="116"/>
      <c r="CO249" s="116"/>
      <c r="CP249" s="116"/>
      <c r="CQ249" s="116"/>
      <c r="CR249" s="116"/>
      <c r="CS249" s="116"/>
      <c r="CT249" s="116"/>
      <c r="CU249" s="118"/>
      <c r="CV249" s="117"/>
      <c r="CW249" s="115"/>
      <c r="CX249" s="117"/>
      <c r="CY249" s="115"/>
      <c r="CZ249" s="117"/>
      <c r="DA249" s="115"/>
      <c r="DB249" s="117"/>
      <c r="DC249" s="115"/>
      <c r="DD249" s="116"/>
      <c r="DE249" s="119"/>
      <c r="DF249" s="115"/>
      <c r="DG249" s="105"/>
      <c r="DH249" s="105"/>
      <c r="DI249" s="116"/>
      <c r="DJ249" s="105"/>
      <c r="DK249" s="116"/>
      <c r="DL249" s="105"/>
      <c r="DM249" s="116"/>
      <c r="DN249" s="119"/>
      <c r="DO249" s="115"/>
      <c r="DP249" s="119"/>
      <c r="DQ249" s="105"/>
      <c r="DR249" s="119"/>
      <c r="DS249" s="105"/>
      <c r="DT249" s="119"/>
      <c r="DU249" s="105"/>
      <c r="DV249" s="116"/>
      <c r="DW249" s="119"/>
      <c r="DX249" s="115"/>
      <c r="DY249" s="116"/>
      <c r="DZ249" s="115"/>
      <c r="EA249" s="119"/>
      <c r="EB249" s="119"/>
      <c r="EC249" s="51"/>
    </row>
    <row r="250" spans="1:142" s="47" customFormat="1">
      <c r="A250" s="155" t="s">
        <v>869</v>
      </c>
      <c r="C250" s="81"/>
      <c r="F250" s="85"/>
      <c r="G250" s="85"/>
      <c r="H250" s="81"/>
      <c r="P250" s="48"/>
      <c r="Q250" s="48"/>
      <c r="R250" s="48"/>
      <c r="S250" s="48"/>
      <c r="T250" s="48"/>
      <c r="U250" s="48"/>
      <c r="W250" s="49"/>
      <c r="AI250" s="50"/>
      <c r="AJ250" s="50"/>
      <c r="AK250" s="50"/>
      <c r="AM250" s="50"/>
      <c r="AN250" s="50"/>
      <c r="AO250" s="50"/>
      <c r="AP250" s="311"/>
      <c r="AQ250" s="311"/>
      <c r="AR250" s="50"/>
      <c r="AS250" s="50"/>
      <c r="AT250" s="311"/>
      <c r="AU250" s="50"/>
      <c r="AV250" s="311"/>
      <c r="AW250" s="50"/>
      <c r="AX250" s="311"/>
      <c r="AY250" s="50"/>
      <c r="AZ250" s="311"/>
      <c r="BA250" s="50"/>
      <c r="BB250" s="311"/>
      <c r="BC250" s="50"/>
      <c r="BD250" s="311"/>
      <c r="BE250" s="50"/>
      <c r="BF250" s="311"/>
      <c r="BG250" s="50"/>
      <c r="BH250" s="311"/>
      <c r="BI250" s="50"/>
      <c r="BJ250" s="50"/>
      <c r="BK250" s="117"/>
      <c r="BL250" s="116"/>
      <c r="BM250" s="116"/>
      <c r="BN250" s="116"/>
      <c r="BO250" s="116"/>
      <c r="BP250" s="116"/>
      <c r="BQ250" s="116"/>
      <c r="BR250" s="116"/>
      <c r="BS250" s="116"/>
      <c r="BT250" s="117"/>
      <c r="BU250" s="116"/>
      <c r="BV250" s="116"/>
      <c r="BW250" s="116"/>
      <c r="BX250" s="116"/>
      <c r="BY250" s="116"/>
      <c r="BZ250" s="116"/>
      <c r="CA250" s="116"/>
      <c r="CB250" s="116"/>
      <c r="CC250" s="117"/>
      <c r="CD250" s="116"/>
      <c r="CE250" s="116"/>
      <c r="CF250" s="116"/>
      <c r="CG250" s="116"/>
      <c r="CH250" s="116"/>
      <c r="CI250" s="116"/>
      <c r="CJ250" s="116"/>
      <c r="CK250" s="116"/>
      <c r="CL250" s="117"/>
      <c r="CM250" s="116"/>
      <c r="CN250" s="116"/>
      <c r="CO250" s="116"/>
      <c r="CP250" s="116"/>
      <c r="CQ250" s="116"/>
      <c r="CR250" s="116"/>
      <c r="CS250" s="116"/>
      <c r="CT250" s="153" t="s">
        <v>868</v>
      </c>
      <c r="CU250" s="154">
        <f>CU248/2000</f>
        <v>1.3055000000000001</v>
      </c>
      <c r="CV250" s="117"/>
      <c r="CW250" s="115"/>
      <c r="CX250" s="117"/>
      <c r="CY250" s="115"/>
      <c r="CZ250" s="117"/>
      <c r="DA250" s="115"/>
      <c r="DB250" s="117"/>
      <c r="DC250" s="153" t="s">
        <v>868</v>
      </c>
      <c r="DD250" s="154">
        <f>DD248/2000</f>
        <v>0</v>
      </c>
      <c r="DE250" s="119"/>
      <c r="DF250" s="115"/>
      <c r="DG250" s="105"/>
      <c r="DH250" s="105"/>
      <c r="DI250" s="116"/>
      <c r="DJ250" s="105"/>
      <c r="DK250" s="116"/>
      <c r="DL250" s="153" t="s">
        <v>868</v>
      </c>
      <c r="DM250" s="154">
        <f>DM248/2000</f>
        <v>0</v>
      </c>
      <c r="DN250" s="119"/>
      <c r="DO250" s="115"/>
      <c r="DP250" s="119"/>
      <c r="DQ250" s="105"/>
      <c r="DR250" s="119"/>
      <c r="DS250" s="105"/>
      <c r="DT250" s="119"/>
      <c r="DU250" s="153" t="s">
        <v>868</v>
      </c>
      <c r="DV250" s="154">
        <f>DV248/2000</f>
        <v>0</v>
      </c>
      <c r="DW250" s="153" t="s">
        <v>868</v>
      </c>
      <c r="DX250" s="154">
        <f>DX248/2000</f>
        <v>0</v>
      </c>
      <c r="DY250" s="153" t="s">
        <v>868</v>
      </c>
      <c r="DZ250" s="154">
        <f>DZ248/2000</f>
        <v>0</v>
      </c>
      <c r="EC250" s="51"/>
    </row>
    <row r="251" spans="1:142" s="47" customFormat="1">
      <c r="A251" s="46" t="s">
        <v>912</v>
      </c>
      <c r="C251" s="81"/>
      <c r="F251" s="85"/>
      <c r="G251" s="85"/>
      <c r="H251" s="81"/>
      <c r="P251" s="48"/>
      <c r="Q251" s="48"/>
      <c r="R251" s="48"/>
      <c r="S251" s="48"/>
      <c r="T251" s="48"/>
      <c r="U251" s="48"/>
      <c r="W251" s="49"/>
      <c r="AI251" s="50"/>
      <c r="AJ251" s="50"/>
      <c r="AP251" s="48"/>
      <c r="AQ251" s="48"/>
      <c r="AT251" s="48"/>
      <c r="AV251" s="311"/>
      <c r="AW251" s="50"/>
      <c r="AX251" s="311"/>
      <c r="AY251" s="50"/>
      <c r="AZ251" s="311"/>
      <c r="BA251" s="50"/>
      <c r="BB251" s="311"/>
      <c r="BC251" s="50"/>
      <c r="BD251" s="311"/>
      <c r="BE251" s="50"/>
      <c r="BF251" s="311"/>
      <c r="BG251" s="50"/>
      <c r="BH251" s="311"/>
      <c r="BI251" s="50"/>
      <c r="BJ251" s="50"/>
      <c r="BK251" s="117"/>
      <c r="BL251" s="116"/>
      <c r="BM251" s="116"/>
      <c r="BN251" s="116"/>
      <c r="BO251" s="116"/>
      <c r="BP251" s="116"/>
      <c r="BQ251" s="116"/>
      <c r="BR251" s="116"/>
      <c r="BS251" s="116"/>
      <c r="BT251" s="117"/>
      <c r="BU251" s="116"/>
      <c r="BV251" s="116"/>
      <c r="BW251" s="116"/>
      <c r="BX251" s="116"/>
      <c r="BY251" s="116"/>
      <c r="BZ251" s="116"/>
      <c r="CA251" s="116"/>
      <c r="CB251" s="116"/>
      <c r="CC251" s="117"/>
      <c r="CD251" s="116"/>
      <c r="CE251" s="116"/>
      <c r="CF251" s="116"/>
      <c r="CG251" s="116"/>
      <c r="CH251" s="116"/>
      <c r="CI251" s="116"/>
      <c r="CJ251" s="116"/>
      <c r="CK251" s="116"/>
      <c r="CL251" s="117"/>
      <c r="CM251" s="116"/>
      <c r="CN251" s="116"/>
      <c r="CO251" s="116"/>
      <c r="CP251" s="116"/>
      <c r="CQ251" s="116"/>
      <c r="CR251" s="116"/>
      <c r="CS251" s="116"/>
      <c r="CT251" s="116"/>
      <c r="CU251" s="118"/>
      <c r="CV251" s="117"/>
      <c r="CW251" s="115"/>
      <c r="CX251" s="117"/>
      <c r="CY251" s="115"/>
      <c r="CZ251" s="117"/>
      <c r="DA251" s="115"/>
      <c r="DB251" s="117"/>
      <c r="DC251" s="115"/>
      <c r="DD251" s="116"/>
      <c r="DE251" s="119"/>
      <c r="DF251" s="115"/>
      <c r="DG251" s="105"/>
      <c r="DH251" s="105"/>
      <c r="DI251" s="116"/>
      <c r="DJ251" s="105"/>
      <c r="DK251" s="116"/>
      <c r="DL251" s="105"/>
      <c r="DM251" s="116"/>
      <c r="DN251" s="119"/>
      <c r="DO251" s="115"/>
      <c r="DP251" s="119"/>
      <c r="DQ251" s="105"/>
      <c r="DR251" s="119"/>
      <c r="DS251" s="105"/>
      <c r="DT251" s="119"/>
      <c r="DU251" s="105"/>
      <c r="DV251" s="116"/>
      <c r="DW251" s="119"/>
      <c r="DX251" s="115"/>
      <c r="DY251" s="116"/>
      <c r="DZ251" s="115"/>
      <c r="EA251" s="119"/>
      <c r="EB251" s="119"/>
      <c r="EC251" s="51"/>
    </row>
    <row r="252" spans="1:142" s="47" customFormat="1">
      <c r="A252" s="46"/>
      <c r="C252" s="81"/>
      <c r="F252" s="85"/>
      <c r="G252" s="85"/>
      <c r="H252" s="81"/>
      <c r="P252" s="48"/>
      <c r="Q252" s="48"/>
      <c r="R252" s="48"/>
      <c r="S252" s="48"/>
      <c r="T252" s="48"/>
      <c r="U252" s="48"/>
      <c r="W252" s="49"/>
      <c r="AI252" s="50"/>
      <c r="AJ252" s="50"/>
      <c r="AK252" s="50"/>
      <c r="AM252" s="50"/>
      <c r="AN252" s="50"/>
      <c r="AO252" s="50"/>
      <c r="AP252" s="311"/>
      <c r="AQ252" s="311"/>
      <c r="AR252" s="50"/>
      <c r="AS252" s="50"/>
      <c r="AT252" s="311"/>
      <c r="AU252" s="50"/>
      <c r="AV252" s="311"/>
      <c r="AW252" s="50"/>
      <c r="AX252" s="311"/>
      <c r="AY252" s="50"/>
      <c r="AZ252" s="311"/>
      <c r="BA252" s="50"/>
      <c r="BB252" s="311"/>
      <c r="BC252" s="50"/>
      <c r="BD252" s="311"/>
      <c r="BE252" s="50"/>
      <c r="BF252" s="311"/>
      <c r="BG252" s="50"/>
      <c r="BH252" s="311"/>
      <c r="BI252" s="50"/>
      <c r="BJ252" s="50"/>
      <c r="BK252" s="117"/>
      <c r="BL252" s="116"/>
      <c r="BM252" s="116"/>
      <c r="BN252" s="116"/>
      <c r="BO252" s="116"/>
      <c r="BP252" s="116"/>
      <c r="BQ252" s="116"/>
      <c r="BR252" s="116"/>
      <c r="BS252" s="116"/>
      <c r="BT252" s="117"/>
      <c r="BU252" s="116"/>
      <c r="BV252" s="116"/>
      <c r="BW252" s="116"/>
      <c r="BX252" s="116"/>
      <c r="BY252" s="116"/>
      <c r="BZ252" s="116"/>
      <c r="CA252" s="116"/>
      <c r="CB252" s="116"/>
      <c r="CC252" s="117"/>
      <c r="CD252" s="116"/>
      <c r="CE252" s="116"/>
      <c r="CF252" s="116"/>
      <c r="CG252" s="116"/>
      <c r="CH252" s="116"/>
      <c r="CI252" s="116"/>
      <c r="CJ252" s="116"/>
      <c r="CK252" s="116"/>
      <c r="CL252" s="117"/>
      <c r="CM252" s="116"/>
      <c r="CN252" s="116"/>
      <c r="CO252" s="116"/>
      <c r="CP252" s="116"/>
      <c r="CQ252" s="116"/>
      <c r="CR252" s="116"/>
      <c r="CS252" s="116"/>
      <c r="CT252" s="116"/>
      <c r="CU252" s="118"/>
      <c r="CV252" s="117"/>
      <c r="CW252" s="115"/>
      <c r="CX252" s="117"/>
      <c r="CY252" s="115"/>
      <c r="CZ252" s="117"/>
      <c r="DA252" s="115"/>
      <c r="DB252" s="117"/>
      <c r="DC252" s="115"/>
      <c r="DD252" s="116"/>
      <c r="DE252" s="119"/>
      <c r="DF252" s="115"/>
      <c r="DG252" s="105"/>
      <c r="DH252" s="105"/>
      <c r="DI252" s="116"/>
      <c r="DJ252" s="105"/>
      <c r="DK252" s="116"/>
      <c r="DL252" s="105"/>
      <c r="DM252" s="116"/>
      <c r="DN252" s="119"/>
      <c r="DO252" s="115"/>
      <c r="DP252" s="119"/>
      <c r="DQ252" s="105"/>
      <c r="DR252" s="119"/>
      <c r="DS252" s="105"/>
      <c r="DT252" s="119"/>
      <c r="DU252" s="105"/>
      <c r="DV252" s="116"/>
      <c r="DW252" s="119"/>
      <c r="DX252" s="115"/>
      <c r="DY252" s="116"/>
      <c r="DZ252" s="115"/>
      <c r="EA252" s="119"/>
      <c r="EB252" s="119"/>
      <c r="EC252" s="51"/>
    </row>
    <row r="253" spans="1:142" s="47" customFormat="1">
      <c r="A253" s="46"/>
      <c r="C253" s="81"/>
      <c r="F253" s="85"/>
      <c r="G253" s="85"/>
      <c r="H253" s="81"/>
      <c r="P253" s="48"/>
      <c r="Q253" s="48"/>
      <c r="R253" s="48"/>
      <c r="S253" s="48"/>
      <c r="T253" s="48"/>
      <c r="U253" s="48"/>
      <c r="W253" s="49"/>
      <c r="AI253" s="50"/>
      <c r="AJ253" s="50"/>
      <c r="AK253" s="50"/>
      <c r="AM253" s="50"/>
      <c r="AN253" s="50"/>
      <c r="AO253" s="50"/>
      <c r="AP253" s="311"/>
      <c r="AQ253" s="311"/>
      <c r="AR253" s="50"/>
      <c r="AS253" s="50"/>
      <c r="AT253" s="311"/>
      <c r="AU253" s="50"/>
      <c r="AV253" s="311"/>
      <c r="AW253" s="50"/>
      <c r="AX253" s="311"/>
      <c r="AY253" s="50"/>
      <c r="AZ253" s="311"/>
      <c r="BA253" s="50"/>
      <c r="BB253" s="311"/>
      <c r="BC253" s="50"/>
      <c r="BD253" s="311"/>
      <c r="BE253" s="50"/>
      <c r="BF253" s="311"/>
      <c r="BG253" s="50"/>
      <c r="BH253" s="311"/>
      <c r="BI253" s="50"/>
      <c r="BJ253" s="50"/>
      <c r="BK253" s="117"/>
      <c r="BL253" s="116"/>
      <c r="BM253" s="116"/>
      <c r="BN253" s="116"/>
      <c r="BO253" s="116"/>
      <c r="BP253" s="116"/>
      <c r="BQ253" s="116"/>
      <c r="BR253" s="116"/>
      <c r="BS253" s="116"/>
      <c r="BT253" s="117"/>
      <c r="BU253" s="116"/>
      <c r="BV253" s="116"/>
      <c r="BW253" s="116"/>
      <c r="BX253" s="116"/>
      <c r="BY253" s="116"/>
      <c r="BZ253" s="116"/>
      <c r="CA253" s="116"/>
      <c r="CB253" s="116"/>
      <c r="CC253" s="117"/>
      <c r="CD253" s="116"/>
      <c r="CE253" s="116"/>
      <c r="CF253" s="116"/>
      <c r="CG253" s="116"/>
      <c r="CH253" s="116"/>
      <c r="CI253" s="116"/>
      <c r="CJ253" s="116"/>
      <c r="CK253" s="116"/>
      <c r="CL253" s="117"/>
      <c r="CM253" s="116"/>
      <c r="CN253" s="116"/>
      <c r="CO253" s="116"/>
      <c r="CP253" s="116"/>
      <c r="CQ253" s="116"/>
      <c r="CR253" s="116"/>
      <c r="CS253" s="116"/>
      <c r="CT253" s="116"/>
      <c r="CU253" s="118"/>
      <c r="CV253" s="117"/>
      <c r="CW253" s="115"/>
      <c r="CX253" s="117"/>
      <c r="CY253" s="115"/>
      <c r="CZ253" s="117"/>
      <c r="DA253" s="115"/>
      <c r="DB253" s="117"/>
      <c r="DC253" s="115"/>
      <c r="DD253" s="116"/>
      <c r="DE253" s="119"/>
      <c r="DF253" s="115"/>
      <c r="DG253" s="105"/>
      <c r="DH253" s="105"/>
      <c r="DI253" s="116"/>
      <c r="DJ253" s="105"/>
      <c r="DK253" s="116"/>
      <c r="DL253" s="105"/>
      <c r="DM253" s="116"/>
      <c r="DN253" s="119"/>
      <c r="DO253" s="115"/>
      <c r="DP253" s="119"/>
      <c r="DQ253" s="105"/>
      <c r="DR253" s="119"/>
      <c r="DS253" s="105"/>
      <c r="DT253" s="119"/>
      <c r="DU253" s="105"/>
      <c r="DV253" s="116"/>
      <c r="DW253" s="119"/>
      <c r="DX253" s="115"/>
      <c r="DY253" s="116"/>
      <c r="DZ253" s="115"/>
      <c r="EA253" s="119"/>
      <c r="EB253" s="119"/>
      <c r="EC253" s="51"/>
    </row>
    <row r="254" spans="1:142" s="47" customFormat="1">
      <c r="A254" s="46"/>
      <c r="C254" s="81"/>
      <c r="F254" s="85"/>
      <c r="G254" s="85"/>
      <c r="H254" s="81"/>
      <c r="P254" s="48"/>
      <c r="Q254" s="48"/>
      <c r="R254" s="48"/>
      <c r="S254" s="48"/>
      <c r="T254" s="48"/>
      <c r="U254" s="48"/>
      <c r="W254" s="49"/>
      <c r="AI254" s="50"/>
      <c r="AJ254" s="50"/>
      <c r="AK254" s="50"/>
      <c r="AM254" s="50"/>
      <c r="AN254" s="50"/>
      <c r="AO254" s="50"/>
      <c r="AP254" s="311"/>
      <c r="AQ254" s="311"/>
      <c r="AR254" s="50"/>
      <c r="AS254" s="50"/>
      <c r="AT254" s="311"/>
      <c r="AU254" s="50"/>
      <c r="AV254" s="311"/>
      <c r="AW254" s="50"/>
      <c r="AX254" s="311"/>
      <c r="AY254" s="50"/>
      <c r="AZ254" s="311"/>
      <c r="BA254" s="50"/>
      <c r="BB254" s="311"/>
      <c r="BC254" s="50"/>
      <c r="BD254" s="311"/>
      <c r="BE254" s="50"/>
      <c r="BF254" s="311"/>
      <c r="BG254" s="50"/>
      <c r="BH254" s="311"/>
      <c r="BI254" s="50"/>
      <c r="BJ254" s="50"/>
      <c r="BK254" s="117"/>
      <c r="BL254" s="116"/>
      <c r="BM254" s="116"/>
      <c r="BN254" s="116"/>
      <c r="BO254" s="116"/>
      <c r="BP254" s="116"/>
      <c r="BQ254" s="116"/>
      <c r="BR254" s="116"/>
      <c r="BS254" s="116"/>
      <c r="BT254" s="117"/>
      <c r="BU254" s="116"/>
      <c r="BV254" s="116"/>
      <c r="BW254" s="116"/>
      <c r="BX254" s="116"/>
      <c r="BY254" s="116"/>
      <c r="BZ254" s="116"/>
      <c r="CA254" s="116"/>
      <c r="CB254" s="116"/>
      <c r="CC254" s="117"/>
      <c r="CD254" s="116"/>
      <c r="CE254" s="116"/>
      <c r="CF254" s="116"/>
      <c r="CG254" s="116"/>
      <c r="CH254" s="116"/>
      <c r="CI254" s="116"/>
      <c r="CJ254" s="116"/>
      <c r="CK254" s="116"/>
      <c r="CL254" s="117"/>
      <c r="CM254" s="116"/>
      <c r="CN254" s="116"/>
      <c r="CO254" s="116"/>
      <c r="CP254" s="116"/>
      <c r="CQ254" s="116"/>
      <c r="CR254" s="116"/>
      <c r="CS254" s="116"/>
      <c r="CT254" s="116"/>
      <c r="CU254" s="118"/>
      <c r="CV254" s="117"/>
      <c r="CW254" s="115"/>
      <c r="CX254" s="117"/>
      <c r="CY254" s="115"/>
      <c r="CZ254" s="117"/>
      <c r="DA254" s="115"/>
      <c r="DB254" s="117"/>
      <c r="DC254" s="115"/>
      <c r="DD254" s="116"/>
      <c r="DE254" s="119"/>
      <c r="DF254" s="115"/>
      <c r="DG254" s="105"/>
      <c r="DH254" s="105"/>
      <c r="DI254" s="116"/>
      <c r="DJ254" s="105"/>
      <c r="DK254" s="116"/>
      <c r="DL254" s="105"/>
      <c r="DM254" s="116"/>
      <c r="DN254" s="119"/>
      <c r="DO254" s="115"/>
      <c r="DP254" s="119"/>
      <c r="DQ254" s="105"/>
      <c r="DR254" s="119"/>
      <c r="DS254" s="105"/>
      <c r="DT254" s="119"/>
      <c r="DU254" s="105"/>
      <c r="DV254" s="116"/>
      <c r="DW254" s="119"/>
      <c r="DX254" s="115"/>
      <c r="DY254" s="116"/>
      <c r="DZ254" s="115"/>
      <c r="EA254" s="119"/>
      <c r="EB254" s="119"/>
      <c r="EC254" s="51"/>
    </row>
    <row r="255" spans="1:142" s="47" customFormat="1">
      <c r="A255" s="46"/>
      <c r="C255" s="81"/>
      <c r="F255" s="85"/>
      <c r="G255" s="85"/>
      <c r="H255" s="81"/>
      <c r="P255" s="48"/>
      <c r="Q255" s="48"/>
      <c r="R255" s="48"/>
      <c r="S255" s="48"/>
      <c r="T255" s="48"/>
      <c r="U255" s="48"/>
      <c r="W255" s="49"/>
      <c r="AI255" s="50"/>
      <c r="AJ255" s="50"/>
      <c r="AK255" s="50"/>
      <c r="AM255" s="50"/>
      <c r="AN255" s="50"/>
      <c r="AO255" s="50"/>
      <c r="AP255" s="311"/>
      <c r="AQ255" s="311"/>
      <c r="AR255" s="50"/>
      <c r="AS255" s="50"/>
      <c r="AT255" s="311"/>
      <c r="AU255" s="50"/>
      <c r="AV255" s="311"/>
      <c r="AW255" s="50"/>
      <c r="AX255" s="311"/>
      <c r="AY255" s="50"/>
      <c r="AZ255" s="311"/>
      <c r="BA255" s="50"/>
      <c r="BB255" s="311"/>
      <c r="BC255" s="50"/>
      <c r="BD255" s="311"/>
      <c r="BE255" s="50"/>
      <c r="BF255" s="311"/>
      <c r="BG255" s="50"/>
      <c r="BH255" s="311"/>
      <c r="BI255" s="50"/>
      <c r="BJ255" s="50"/>
      <c r="BK255" s="117"/>
      <c r="BL255" s="116"/>
      <c r="BM255" s="116"/>
      <c r="BN255" s="116"/>
      <c r="BO255" s="116"/>
      <c r="BP255" s="116"/>
      <c r="BQ255" s="116"/>
      <c r="BR255" s="116"/>
      <c r="BS255" s="116"/>
      <c r="BT255" s="117"/>
      <c r="BU255" s="116"/>
      <c r="BV255" s="116"/>
      <c r="BW255" s="116"/>
      <c r="BX255" s="116"/>
      <c r="BY255" s="116"/>
      <c r="BZ255" s="116"/>
      <c r="CA255" s="116"/>
      <c r="CB255" s="116"/>
      <c r="CC255" s="117"/>
      <c r="CD255" s="116"/>
      <c r="CE255" s="116"/>
      <c r="CF255" s="116"/>
      <c r="CG255" s="116"/>
      <c r="CH255" s="116"/>
      <c r="CI255" s="116"/>
      <c r="CJ255" s="116"/>
      <c r="CK255" s="116"/>
      <c r="CL255" s="117"/>
      <c r="CM255" s="116"/>
      <c r="CN255" s="116"/>
      <c r="CO255" s="116"/>
      <c r="CP255" s="116"/>
      <c r="CQ255" s="116"/>
      <c r="CR255" s="116"/>
      <c r="CS255" s="116"/>
      <c r="CT255" s="116"/>
      <c r="CU255" s="118"/>
      <c r="CV255" s="117"/>
      <c r="CW255" s="115"/>
      <c r="CX255" s="117"/>
      <c r="CY255" s="115"/>
      <c r="CZ255" s="117"/>
      <c r="DA255" s="115"/>
      <c r="DB255" s="117"/>
      <c r="DC255" s="115"/>
      <c r="DD255" s="116"/>
      <c r="DE255" s="119"/>
      <c r="DF255" s="115"/>
      <c r="DG255" s="105"/>
      <c r="DH255" s="105"/>
      <c r="DI255" s="116"/>
      <c r="DJ255" s="105"/>
      <c r="DK255" s="116"/>
      <c r="DL255" s="105"/>
      <c r="DM255" s="116"/>
      <c r="DN255" s="119"/>
      <c r="DO255" s="115"/>
      <c r="DP255" s="119"/>
      <c r="DQ255" s="105"/>
      <c r="DR255" s="119"/>
      <c r="DS255" s="105"/>
      <c r="DT255" s="119"/>
      <c r="DU255" s="105"/>
      <c r="DV255" s="116"/>
      <c r="DW255" s="119"/>
      <c r="DX255" s="115"/>
      <c r="DY255" s="116"/>
      <c r="DZ255" s="115"/>
      <c r="EA255" s="119"/>
      <c r="EB255" s="119"/>
      <c r="EC255" s="51"/>
    </row>
    <row r="256" spans="1:142" s="47" customFormat="1">
      <c r="A256" s="46"/>
      <c r="C256" s="81"/>
      <c r="F256" s="85"/>
      <c r="G256" s="85"/>
      <c r="H256" s="81"/>
      <c r="P256" s="48"/>
      <c r="Q256" s="48"/>
      <c r="R256" s="48"/>
      <c r="S256" s="48"/>
      <c r="T256" s="48"/>
      <c r="U256" s="48"/>
      <c r="W256" s="49"/>
      <c r="AI256" s="50"/>
      <c r="AJ256" s="50"/>
      <c r="AK256" s="50"/>
      <c r="AM256" s="50"/>
      <c r="AN256" s="50"/>
      <c r="AO256" s="50"/>
      <c r="AP256" s="311"/>
      <c r="AQ256" s="311"/>
      <c r="AR256" s="50"/>
      <c r="AS256" s="50"/>
      <c r="AT256" s="311"/>
      <c r="AU256" s="50"/>
      <c r="AV256" s="311"/>
      <c r="AW256" s="50"/>
      <c r="AX256" s="311"/>
      <c r="AY256" s="50"/>
      <c r="AZ256" s="311"/>
      <c r="BA256" s="50"/>
      <c r="BB256" s="311"/>
      <c r="BC256" s="50"/>
      <c r="BD256" s="311"/>
      <c r="BE256" s="50"/>
      <c r="BF256" s="311"/>
      <c r="BG256" s="50"/>
      <c r="BH256" s="311"/>
      <c r="BI256" s="50"/>
      <c r="BJ256" s="50"/>
      <c r="BK256" s="117"/>
      <c r="BL256" s="116"/>
      <c r="BM256" s="116"/>
      <c r="BN256" s="116"/>
      <c r="BO256" s="116"/>
      <c r="BP256" s="116"/>
      <c r="BQ256" s="116"/>
      <c r="BR256" s="116"/>
      <c r="BS256" s="116"/>
      <c r="BT256" s="117"/>
      <c r="BU256" s="116"/>
      <c r="BV256" s="116"/>
      <c r="BW256" s="116"/>
      <c r="BX256" s="116"/>
      <c r="BY256" s="116"/>
      <c r="BZ256" s="116"/>
      <c r="CA256" s="116"/>
      <c r="CB256" s="116"/>
      <c r="CC256" s="117"/>
      <c r="CD256" s="116"/>
      <c r="CE256" s="116"/>
      <c r="CF256" s="116"/>
      <c r="CG256" s="116"/>
      <c r="CH256" s="116"/>
      <c r="CI256" s="116"/>
      <c r="CJ256" s="116"/>
      <c r="CK256" s="116"/>
      <c r="CL256" s="117"/>
      <c r="CM256" s="116"/>
      <c r="CN256" s="116"/>
      <c r="CO256" s="116"/>
      <c r="CP256" s="116"/>
      <c r="CQ256" s="116"/>
      <c r="CR256" s="116"/>
      <c r="CS256" s="116"/>
      <c r="CT256" s="116"/>
      <c r="CU256" s="118"/>
      <c r="CV256" s="117"/>
      <c r="CW256" s="115"/>
      <c r="CX256" s="117"/>
      <c r="CY256" s="115"/>
      <c r="CZ256" s="117"/>
      <c r="DA256" s="115"/>
      <c r="DB256" s="117"/>
      <c r="DC256" s="115"/>
      <c r="DD256" s="116"/>
      <c r="DE256" s="119"/>
      <c r="DF256" s="115"/>
      <c r="DG256" s="105"/>
      <c r="DH256" s="105"/>
      <c r="DI256" s="116"/>
      <c r="DJ256" s="105"/>
      <c r="DK256" s="116"/>
      <c r="DL256" s="105"/>
      <c r="DM256" s="116"/>
      <c r="DN256" s="119"/>
      <c r="DO256" s="115"/>
      <c r="DP256" s="119"/>
      <c r="DQ256" s="105"/>
      <c r="DR256" s="119"/>
      <c r="DS256" s="105"/>
      <c r="DT256" s="119"/>
      <c r="DU256" s="105"/>
      <c r="DV256" s="116"/>
      <c r="DW256" s="119"/>
      <c r="DX256" s="115"/>
      <c r="DY256" s="116"/>
      <c r="DZ256" s="115"/>
      <c r="EA256" s="119"/>
      <c r="EB256" s="119"/>
      <c r="EC256" s="51"/>
    </row>
    <row r="257" spans="1:133" s="47" customFormat="1">
      <c r="A257" s="46"/>
      <c r="C257" s="81"/>
      <c r="F257" s="85"/>
      <c r="G257" s="85"/>
      <c r="H257" s="81"/>
      <c r="P257" s="48"/>
      <c r="Q257" s="48"/>
      <c r="R257" s="48"/>
      <c r="S257" s="48"/>
      <c r="T257" s="48"/>
      <c r="U257" s="48"/>
      <c r="W257" s="49"/>
      <c r="AI257" s="50"/>
      <c r="AJ257" s="50"/>
      <c r="AK257" s="50"/>
      <c r="AM257" s="50"/>
      <c r="AN257" s="50"/>
      <c r="AO257" s="50"/>
      <c r="AP257" s="311"/>
      <c r="AQ257" s="311"/>
      <c r="AR257" s="50"/>
      <c r="AS257" s="50"/>
      <c r="AT257" s="311"/>
      <c r="AU257" s="50"/>
      <c r="AV257" s="311"/>
      <c r="AW257" s="50"/>
      <c r="AX257" s="311"/>
      <c r="AY257" s="50"/>
      <c r="AZ257" s="311"/>
      <c r="BA257" s="50"/>
      <c r="BB257" s="311"/>
      <c r="BC257" s="50"/>
      <c r="BD257" s="311"/>
      <c r="BE257" s="50"/>
      <c r="BF257" s="311"/>
      <c r="BG257" s="50"/>
      <c r="BH257" s="311"/>
      <c r="BI257" s="50"/>
      <c r="BJ257" s="50"/>
      <c r="BK257" s="117"/>
      <c r="BL257" s="116"/>
      <c r="BM257" s="116"/>
      <c r="BN257" s="116"/>
      <c r="BO257" s="116"/>
      <c r="BP257" s="116"/>
      <c r="BQ257" s="116"/>
      <c r="BR257" s="116"/>
      <c r="BS257" s="116"/>
      <c r="BT257" s="117"/>
      <c r="BU257" s="116"/>
      <c r="BV257" s="116"/>
      <c r="BW257" s="116"/>
      <c r="BX257" s="116"/>
      <c r="BY257" s="116"/>
      <c r="BZ257" s="116"/>
      <c r="CA257" s="116"/>
      <c r="CB257" s="116"/>
      <c r="CC257" s="117"/>
      <c r="CD257" s="116"/>
      <c r="CE257" s="116"/>
      <c r="CF257" s="116"/>
      <c r="CG257" s="116"/>
      <c r="CH257" s="116"/>
      <c r="CI257" s="116"/>
      <c r="CJ257" s="116"/>
      <c r="CK257" s="116"/>
      <c r="CL257" s="117"/>
      <c r="CM257" s="116"/>
      <c r="CN257" s="116"/>
      <c r="CO257" s="116"/>
      <c r="CP257" s="116"/>
      <c r="CQ257" s="116"/>
      <c r="CR257" s="116"/>
      <c r="CS257" s="116"/>
      <c r="CT257" s="116"/>
      <c r="CU257" s="118"/>
      <c r="CV257" s="117"/>
      <c r="CW257" s="115"/>
      <c r="CX257" s="117"/>
      <c r="CY257" s="115"/>
      <c r="CZ257" s="117"/>
      <c r="DA257" s="115"/>
      <c r="DB257" s="117"/>
      <c r="DC257" s="115"/>
      <c r="DD257" s="116"/>
      <c r="DE257" s="119"/>
      <c r="DF257" s="115"/>
      <c r="DG257" s="105"/>
      <c r="DH257" s="105"/>
      <c r="DI257" s="116"/>
      <c r="DJ257" s="105"/>
      <c r="DK257" s="116"/>
      <c r="DL257" s="105"/>
      <c r="DM257" s="116"/>
      <c r="DN257" s="119"/>
      <c r="DO257" s="115"/>
      <c r="DP257" s="119"/>
      <c r="DQ257" s="105"/>
      <c r="DR257" s="119"/>
      <c r="DS257" s="105"/>
      <c r="DT257" s="119"/>
      <c r="DU257" s="105"/>
      <c r="DV257" s="116"/>
      <c r="DW257" s="119"/>
      <c r="DX257" s="115"/>
      <c r="DY257" s="116"/>
      <c r="DZ257" s="115"/>
      <c r="EA257" s="119"/>
      <c r="EB257" s="119"/>
      <c r="EC257" s="51"/>
    </row>
    <row r="258" spans="1:133" s="47" customFormat="1">
      <c r="A258" s="46"/>
      <c r="C258" s="81"/>
      <c r="F258" s="85"/>
      <c r="G258" s="85"/>
      <c r="H258" s="81"/>
      <c r="P258" s="48"/>
      <c r="Q258" s="48"/>
      <c r="R258" s="48"/>
      <c r="S258" s="48"/>
      <c r="T258" s="48"/>
      <c r="U258" s="48"/>
      <c r="W258" s="49"/>
      <c r="AI258" s="50"/>
      <c r="AJ258" s="50"/>
      <c r="AK258" s="50"/>
      <c r="AM258" s="50"/>
      <c r="AN258" s="50"/>
      <c r="AO258" s="50"/>
      <c r="AP258" s="311"/>
      <c r="AQ258" s="311"/>
      <c r="AR258" s="50"/>
      <c r="AS258" s="50"/>
      <c r="AT258" s="311"/>
      <c r="AU258" s="50"/>
      <c r="AV258" s="311"/>
      <c r="AW258" s="50"/>
      <c r="AX258" s="311"/>
      <c r="AY258" s="50"/>
      <c r="AZ258" s="311"/>
      <c r="BA258" s="50"/>
      <c r="BB258" s="311"/>
      <c r="BC258" s="50"/>
      <c r="BD258" s="311"/>
      <c r="BE258" s="50"/>
      <c r="BF258" s="311"/>
      <c r="BG258" s="50"/>
      <c r="BH258" s="311"/>
      <c r="BI258" s="50"/>
      <c r="BJ258" s="50"/>
      <c r="BK258" s="117"/>
      <c r="BL258" s="116"/>
      <c r="BM258" s="116"/>
      <c r="BN258" s="116"/>
      <c r="BO258" s="116"/>
      <c r="BP258" s="116"/>
      <c r="BQ258" s="116"/>
      <c r="BR258" s="116"/>
      <c r="BS258" s="116"/>
      <c r="BT258" s="117"/>
      <c r="BU258" s="116"/>
      <c r="BV258" s="116"/>
      <c r="BW258" s="116"/>
      <c r="BX258" s="116"/>
      <c r="BY258" s="116"/>
      <c r="BZ258" s="116"/>
      <c r="CA258" s="116"/>
      <c r="CB258" s="116"/>
      <c r="CC258" s="117"/>
      <c r="CD258" s="116"/>
      <c r="CE258" s="116"/>
      <c r="CF258" s="116"/>
      <c r="CG258" s="116"/>
      <c r="CH258" s="116"/>
      <c r="CI258" s="116"/>
      <c r="CJ258" s="116"/>
      <c r="CK258" s="116"/>
      <c r="CL258" s="117"/>
      <c r="CM258" s="116"/>
      <c r="CN258" s="116"/>
      <c r="CO258" s="116"/>
      <c r="CP258" s="116"/>
      <c r="CQ258" s="116"/>
      <c r="CR258" s="116"/>
      <c r="CS258" s="116"/>
      <c r="CT258" s="116"/>
      <c r="CU258" s="118"/>
      <c r="CV258" s="117"/>
      <c r="CW258" s="115"/>
      <c r="CX258" s="117"/>
      <c r="CY258" s="115"/>
      <c r="CZ258" s="117"/>
      <c r="DA258" s="115"/>
      <c r="DB258" s="117"/>
      <c r="DC258" s="115"/>
      <c r="DD258" s="116"/>
      <c r="DE258" s="119"/>
      <c r="DF258" s="115"/>
      <c r="DG258" s="105"/>
      <c r="DH258" s="105"/>
      <c r="DI258" s="116"/>
      <c r="DJ258" s="105"/>
      <c r="DK258" s="116"/>
      <c r="DL258" s="105"/>
      <c r="DM258" s="116"/>
      <c r="DN258" s="119"/>
      <c r="DO258" s="115"/>
      <c r="DP258" s="119"/>
      <c r="DQ258" s="105"/>
      <c r="DR258" s="119"/>
      <c r="DS258" s="105"/>
      <c r="DT258" s="119"/>
      <c r="DU258" s="105"/>
      <c r="DV258" s="116"/>
      <c r="DW258" s="119"/>
      <c r="DX258" s="115"/>
      <c r="DY258" s="116"/>
      <c r="DZ258" s="115"/>
      <c r="EA258" s="119"/>
      <c r="EB258" s="119"/>
      <c r="EC258" s="51"/>
    </row>
    <row r="259" spans="1:133" s="47" customFormat="1">
      <c r="A259" s="46"/>
      <c r="C259" s="81"/>
      <c r="F259" s="85"/>
      <c r="G259" s="85"/>
      <c r="H259" s="81"/>
      <c r="P259" s="48"/>
      <c r="Q259" s="48"/>
      <c r="R259" s="48"/>
      <c r="S259" s="48"/>
      <c r="T259" s="48"/>
      <c r="U259" s="48"/>
      <c r="W259" s="49"/>
      <c r="AI259" s="50"/>
      <c r="AJ259" s="50"/>
      <c r="AK259" s="50"/>
      <c r="AM259" s="50"/>
      <c r="AN259" s="50"/>
      <c r="AO259" s="50"/>
      <c r="AP259" s="311"/>
      <c r="AQ259" s="311"/>
      <c r="AR259" s="50"/>
      <c r="AS259" s="50"/>
      <c r="AT259" s="311"/>
      <c r="AU259" s="50"/>
      <c r="AV259" s="311"/>
      <c r="AW259" s="50"/>
      <c r="AX259" s="311"/>
      <c r="AY259" s="50"/>
      <c r="AZ259" s="311"/>
      <c r="BA259" s="50"/>
      <c r="BB259" s="311"/>
      <c r="BC259" s="50"/>
      <c r="BD259" s="311"/>
      <c r="BE259" s="50"/>
      <c r="BF259" s="311"/>
      <c r="BG259" s="50"/>
      <c r="BH259" s="311"/>
      <c r="BI259" s="50"/>
      <c r="BJ259" s="50"/>
      <c r="BK259" s="117"/>
      <c r="BL259" s="116"/>
      <c r="BM259" s="116"/>
      <c r="BN259" s="116"/>
      <c r="BO259" s="116"/>
      <c r="BP259" s="116"/>
      <c r="BQ259" s="116"/>
      <c r="BR259" s="116"/>
      <c r="BS259" s="116"/>
      <c r="BT259" s="117"/>
      <c r="BU259" s="116"/>
      <c r="BV259" s="116"/>
      <c r="BW259" s="116"/>
      <c r="BX259" s="116"/>
      <c r="BY259" s="116"/>
      <c r="BZ259" s="116"/>
      <c r="CA259" s="116"/>
      <c r="CB259" s="116"/>
      <c r="CC259" s="117"/>
      <c r="CD259" s="116"/>
      <c r="CE259" s="116"/>
      <c r="CF259" s="116"/>
      <c r="CG259" s="116"/>
      <c r="CH259" s="116"/>
      <c r="CI259" s="116"/>
      <c r="CJ259" s="116"/>
      <c r="CK259" s="116"/>
      <c r="CL259" s="117"/>
      <c r="CM259" s="116"/>
      <c r="CN259" s="116"/>
      <c r="CO259" s="116"/>
      <c r="CP259" s="116"/>
      <c r="CQ259" s="116"/>
      <c r="CR259" s="116"/>
      <c r="CS259" s="116"/>
      <c r="CT259" s="116"/>
      <c r="CU259" s="118"/>
      <c r="CV259" s="117"/>
      <c r="CW259" s="115"/>
      <c r="CX259" s="117"/>
      <c r="CY259" s="115"/>
      <c r="CZ259" s="117"/>
      <c r="DA259" s="115"/>
      <c r="DB259" s="117"/>
      <c r="DC259" s="115"/>
      <c r="DD259" s="116"/>
      <c r="DE259" s="119"/>
      <c r="DF259" s="115"/>
      <c r="DG259" s="105"/>
      <c r="DH259" s="105"/>
      <c r="DI259" s="116"/>
      <c r="DJ259" s="105"/>
      <c r="DK259" s="116"/>
      <c r="DL259" s="105"/>
      <c r="DM259" s="116"/>
      <c r="DN259" s="119"/>
      <c r="DO259" s="115"/>
      <c r="DP259" s="119"/>
      <c r="DQ259" s="105"/>
      <c r="DR259" s="119"/>
      <c r="DS259" s="105"/>
      <c r="DT259" s="119"/>
      <c r="DU259" s="105"/>
      <c r="DV259" s="116"/>
      <c r="DW259" s="119"/>
      <c r="DX259" s="115"/>
      <c r="DY259" s="116"/>
      <c r="DZ259" s="115"/>
      <c r="EA259" s="119"/>
      <c r="EB259" s="119"/>
      <c r="EC259" s="51"/>
    </row>
    <row r="260" spans="1:133" s="47" customFormat="1">
      <c r="A260" s="46"/>
      <c r="C260" s="81"/>
      <c r="F260" s="85"/>
      <c r="G260" s="85"/>
      <c r="H260" s="81"/>
      <c r="P260" s="48"/>
      <c r="Q260" s="48"/>
      <c r="R260" s="48"/>
      <c r="S260" s="48"/>
      <c r="T260" s="48"/>
      <c r="U260" s="48"/>
      <c r="W260" s="49"/>
      <c r="AI260" s="50"/>
      <c r="AJ260" s="50"/>
      <c r="AK260" s="50"/>
      <c r="AM260" s="50"/>
      <c r="AN260" s="50"/>
      <c r="AO260" s="50"/>
      <c r="AP260" s="311"/>
      <c r="AQ260" s="311"/>
      <c r="AR260" s="50"/>
      <c r="AS260" s="50"/>
      <c r="AT260" s="311"/>
      <c r="AU260" s="50"/>
      <c r="AV260" s="311"/>
      <c r="AW260" s="50"/>
      <c r="AX260" s="311"/>
      <c r="AY260" s="50"/>
      <c r="AZ260" s="311"/>
      <c r="BA260" s="50"/>
      <c r="BB260" s="311"/>
      <c r="BC260" s="50"/>
      <c r="BD260" s="311"/>
      <c r="BE260" s="50"/>
      <c r="BF260" s="311"/>
      <c r="BG260" s="50"/>
      <c r="BH260" s="311"/>
      <c r="BI260" s="50"/>
      <c r="BJ260" s="50"/>
      <c r="BK260" s="117"/>
      <c r="BL260" s="116"/>
      <c r="BM260" s="116"/>
      <c r="BN260" s="116"/>
      <c r="BO260" s="116"/>
      <c r="BP260" s="116"/>
      <c r="BQ260" s="116"/>
      <c r="BR260" s="116"/>
      <c r="BS260" s="116"/>
      <c r="BT260" s="117"/>
      <c r="BU260" s="116"/>
      <c r="BV260" s="116"/>
      <c r="BW260" s="116"/>
      <c r="BX260" s="116"/>
      <c r="BY260" s="116"/>
      <c r="BZ260" s="116"/>
      <c r="CA260" s="116"/>
      <c r="CB260" s="116"/>
      <c r="CC260" s="117"/>
      <c r="CD260" s="116"/>
      <c r="CE260" s="116"/>
      <c r="CF260" s="116"/>
      <c r="CG260" s="116"/>
      <c r="CH260" s="116"/>
      <c r="CI260" s="116"/>
      <c r="CJ260" s="116"/>
      <c r="CK260" s="116"/>
      <c r="CL260" s="117"/>
      <c r="CM260" s="116"/>
      <c r="CN260" s="116"/>
      <c r="CO260" s="116"/>
      <c r="CP260" s="116"/>
      <c r="CQ260" s="116"/>
      <c r="CR260" s="116"/>
      <c r="CS260" s="116"/>
      <c r="CT260" s="116"/>
      <c r="CU260" s="118"/>
      <c r="CV260" s="117"/>
      <c r="CW260" s="115"/>
      <c r="CX260" s="117"/>
      <c r="CY260" s="115"/>
      <c r="CZ260" s="117"/>
      <c r="DA260" s="115"/>
      <c r="DB260" s="117"/>
      <c r="DC260" s="115"/>
      <c r="DD260" s="116"/>
      <c r="DE260" s="119"/>
      <c r="DF260" s="115"/>
      <c r="DG260" s="105"/>
      <c r="DH260" s="105"/>
      <c r="DI260" s="116"/>
      <c r="DJ260" s="105"/>
      <c r="DK260" s="116"/>
      <c r="DL260" s="105"/>
      <c r="DM260" s="116"/>
      <c r="DN260" s="119"/>
      <c r="DO260" s="115"/>
      <c r="DP260" s="119"/>
      <c r="DQ260" s="105"/>
      <c r="DR260" s="119"/>
      <c r="DS260" s="105"/>
      <c r="DT260" s="119"/>
      <c r="DU260" s="105"/>
      <c r="DV260" s="116"/>
      <c r="DW260" s="119"/>
      <c r="DX260" s="115"/>
      <c r="DY260" s="116"/>
      <c r="DZ260" s="115"/>
      <c r="EA260" s="119"/>
      <c r="EB260" s="119"/>
      <c r="EC260" s="51"/>
    </row>
    <row r="261" spans="1:133" s="47" customFormat="1">
      <c r="A261" s="46"/>
      <c r="C261" s="81"/>
      <c r="F261" s="85"/>
      <c r="G261" s="85"/>
      <c r="H261" s="81"/>
      <c r="P261" s="48"/>
      <c r="Q261" s="48"/>
      <c r="R261" s="48"/>
      <c r="S261" s="48"/>
      <c r="T261" s="48"/>
      <c r="U261" s="48"/>
      <c r="W261" s="49"/>
      <c r="AI261" s="50"/>
      <c r="AJ261" s="50"/>
      <c r="AK261" s="50"/>
      <c r="AM261" s="50"/>
      <c r="AN261" s="50"/>
      <c r="AO261" s="50"/>
      <c r="AP261" s="311"/>
      <c r="AQ261" s="311"/>
      <c r="AR261" s="50"/>
      <c r="AS261" s="50"/>
      <c r="AT261" s="311"/>
      <c r="AU261" s="50"/>
      <c r="AV261" s="311"/>
      <c r="AW261" s="50"/>
      <c r="AX261" s="311"/>
      <c r="AY261" s="50"/>
      <c r="AZ261" s="311"/>
      <c r="BA261" s="50"/>
      <c r="BB261" s="311"/>
      <c r="BC261" s="50"/>
      <c r="BD261" s="311"/>
      <c r="BE261" s="50"/>
      <c r="BF261" s="311"/>
      <c r="BG261" s="50"/>
      <c r="BH261" s="311"/>
      <c r="BI261" s="50"/>
      <c r="BJ261" s="50"/>
      <c r="BK261" s="117"/>
      <c r="BL261" s="116"/>
      <c r="BM261" s="116"/>
      <c r="BN261" s="116"/>
      <c r="BO261" s="116"/>
      <c r="BP261" s="116"/>
      <c r="BQ261" s="116"/>
      <c r="BR261" s="116"/>
      <c r="BS261" s="116"/>
      <c r="BT261" s="117"/>
      <c r="BU261" s="116"/>
      <c r="BV261" s="116"/>
      <c r="BW261" s="116"/>
      <c r="BX261" s="116"/>
      <c r="BY261" s="116"/>
      <c r="BZ261" s="116"/>
      <c r="CA261" s="116"/>
      <c r="CB261" s="116"/>
      <c r="CC261" s="117"/>
      <c r="CD261" s="116"/>
      <c r="CE261" s="116"/>
      <c r="CF261" s="116"/>
      <c r="CG261" s="116"/>
      <c r="CH261" s="116"/>
      <c r="CI261" s="116"/>
      <c r="CJ261" s="116"/>
      <c r="CK261" s="116"/>
      <c r="CL261" s="117"/>
      <c r="CM261" s="116"/>
      <c r="CN261" s="116"/>
      <c r="CO261" s="116"/>
      <c r="CP261" s="116"/>
      <c r="CQ261" s="116"/>
      <c r="CR261" s="116"/>
      <c r="CS261" s="116"/>
      <c r="CT261" s="116"/>
      <c r="CU261" s="118"/>
      <c r="CV261" s="117"/>
      <c r="CW261" s="115"/>
      <c r="CX261" s="117"/>
      <c r="CY261" s="115"/>
      <c r="CZ261" s="117"/>
      <c r="DA261" s="115"/>
      <c r="DB261" s="117"/>
      <c r="DC261" s="115"/>
      <c r="DD261" s="116"/>
      <c r="DE261" s="119"/>
      <c r="DF261" s="115"/>
      <c r="DG261" s="105"/>
      <c r="DH261" s="105"/>
      <c r="DI261" s="116"/>
      <c r="DJ261" s="105"/>
      <c r="DK261" s="116"/>
      <c r="DL261" s="105"/>
      <c r="DM261" s="116"/>
      <c r="DN261" s="119"/>
      <c r="DO261" s="115"/>
      <c r="DP261" s="119"/>
      <c r="DQ261" s="105"/>
      <c r="DR261" s="119"/>
      <c r="DS261" s="105"/>
      <c r="DT261" s="119"/>
      <c r="DU261" s="105"/>
      <c r="DV261" s="116"/>
      <c r="DW261" s="119"/>
      <c r="DX261" s="115"/>
      <c r="DY261" s="116"/>
      <c r="DZ261" s="115"/>
      <c r="EA261" s="119"/>
      <c r="EB261" s="119"/>
      <c r="EC261" s="51"/>
    </row>
    <row r="262" spans="1:133" s="47" customFormat="1">
      <c r="A262" s="46"/>
      <c r="C262" s="81"/>
      <c r="F262" s="85"/>
      <c r="G262" s="85"/>
      <c r="H262" s="81"/>
      <c r="P262" s="48"/>
      <c r="Q262" s="48"/>
      <c r="R262" s="48"/>
      <c r="S262" s="48"/>
      <c r="T262" s="48"/>
      <c r="U262" s="48"/>
      <c r="W262" s="49"/>
      <c r="AI262" s="50"/>
      <c r="AJ262" s="50"/>
      <c r="AK262" s="50"/>
      <c r="AM262" s="50"/>
      <c r="AN262" s="50"/>
      <c r="AO262" s="50"/>
      <c r="AP262" s="311"/>
      <c r="AQ262" s="311"/>
      <c r="AR262" s="50"/>
      <c r="AS262" s="50"/>
      <c r="AT262" s="311"/>
      <c r="AU262" s="50"/>
      <c r="AV262" s="311"/>
      <c r="AW262" s="50"/>
      <c r="AX262" s="311"/>
      <c r="AY262" s="50"/>
      <c r="AZ262" s="311"/>
      <c r="BA262" s="50"/>
      <c r="BB262" s="311"/>
      <c r="BC262" s="50"/>
      <c r="BD262" s="311"/>
      <c r="BE262" s="50"/>
      <c r="BF262" s="311"/>
      <c r="BG262" s="50"/>
      <c r="BH262" s="311"/>
      <c r="BI262" s="50"/>
      <c r="BJ262" s="50"/>
      <c r="BK262" s="117"/>
      <c r="BL262" s="116"/>
      <c r="BM262" s="116"/>
      <c r="BN262" s="116"/>
      <c r="BO262" s="116"/>
      <c r="BP262" s="116"/>
      <c r="BQ262" s="116"/>
      <c r="BR262" s="116"/>
      <c r="BS262" s="116"/>
      <c r="BT262" s="117"/>
      <c r="BU262" s="116"/>
      <c r="BV262" s="116"/>
      <c r="BW262" s="116"/>
      <c r="BX262" s="116"/>
      <c r="BY262" s="116"/>
      <c r="BZ262" s="116"/>
      <c r="CA262" s="116"/>
      <c r="CB262" s="116"/>
      <c r="CC262" s="117"/>
      <c r="CD262" s="116"/>
      <c r="CE262" s="116"/>
      <c r="CF262" s="116"/>
      <c r="CG262" s="116"/>
      <c r="CH262" s="116"/>
      <c r="CI262" s="116"/>
      <c r="CJ262" s="116"/>
      <c r="CK262" s="116"/>
      <c r="CL262" s="117"/>
      <c r="CM262" s="116"/>
      <c r="CN262" s="116"/>
      <c r="CO262" s="116"/>
      <c r="CP262" s="116"/>
      <c r="CQ262" s="116"/>
      <c r="CR262" s="116"/>
      <c r="CS262" s="116"/>
      <c r="CT262" s="116"/>
      <c r="CU262" s="118"/>
      <c r="CV262" s="117"/>
      <c r="CW262" s="115"/>
      <c r="CX262" s="117"/>
      <c r="CY262" s="115"/>
      <c r="CZ262" s="117"/>
      <c r="DA262" s="115"/>
      <c r="DB262" s="117"/>
      <c r="DC262" s="115"/>
      <c r="DD262" s="116"/>
      <c r="DE262" s="119"/>
      <c r="DF262" s="115"/>
      <c r="DG262" s="105"/>
      <c r="DH262" s="105"/>
      <c r="DI262" s="116"/>
      <c r="DJ262" s="105"/>
      <c r="DK262" s="116"/>
      <c r="DL262" s="105"/>
      <c r="DM262" s="116"/>
      <c r="DN262" s="119"/>
      <c r="DO262" s="115"/>
      <c r="DP262" s="119"/>
      <c r="DQ262" s="105"/>
      <c r="DR262" s="119"/>
      <c r="DS262" s="105"/>
      <c r="DT262" s="119"/>
      <c r="DU262" s="105"/>
      <c r="DV262" s="116"/>
      <c r="DW262" s="119"/>
      <c r="DX262" s="115"/>
      <c r="DY262" s="116"/>
      <c r="DZ262" s="115"/>
      <c r="EA262" s="119"/>
      <c r="EB262" s="119"/>
      <c r="EC262" s="51"/>
    </row>
    <row r="263" spans="1:133" s="47" customFormat="1">
      <c r="A263" s="46"/>
      <c r="C263" s="81"/>
      <c r="F263" s="85"/>
      <c r="G263" s="85"/>
      <c r="H263" s="81"/>
      <c r="P263" s="48"/>
      <c r="Q263" s="48"/>
      <c r="R263" s="48"/>
      <c r="S263" s="48"/>
      <c r="T263" s="48"/>
      <c r="U263" s="48"/>
      <c r="W263" s="49"/>
      <c r="AI263" s="50"/>
      <c r="AJ263" s="50"/>
      <c r="AK263" s="50"/>
      <c r="AM263" s="50"/>
      <c r="AN263" s="50"/>
      <c r="AO263" s="50"/>
      <c r="AP263" s="311"/>
      <c r="AQ263" s="311"/>
      <c r="AR263" s="50"/>
      <c r="AS263" s="50"/>
      <c r="AT263" s="311"/>
      <c r="AU263" s="50"/>
      <c r="AV263" s="311"/>
      <c r="AW263" s="50"/>
      <c r="AX263" s="311"/>
      <c r="AY263" s="50"/>
      <c r="AZ263" s="311"/>
      <c r="BA263" s="50"/>
      <c r="BB263" s="311"/>
      <c r="BC263" s="50"/>
      <c r="BD263" s="311"/>
      <c r="BE263" s="50"/>
      <c r="BF263" s="311"/>
      <c r="BG263" s="50"/>
      <c r="BH263" s="311"/>
      <c r="BI263" s="50"/>
      <c r="BJ263" s="50"/>
      <c r="BK263" s="117"/>
      <c r="BL263" s="116"/>
      <c r="BM263" s="116"/>
      <c r="BN263" s="116"/>
      <c r="BO263" s="116"/>
      <c r="BP263" s="116"/>
      <c r="BQ263" s="116"/>
      <c r="BR263" s="116"/>
      <c r="BS263" s="116"/>
      <c r="BT263" s="117"/>
      <c r="BU263" s="116"/>
      <c r="BV263" s="116"/>
      <c r="BW263" s="116"/>
      <c r="BX263" s="116"/>
      <c r="BY263" s="116"/>
      <c r="BZ263" s="116"/>
      <c r="CA263" s="116"/>
      <c r="CB263" s="116"/>
      <c r="CC263" s="117"/>
      <c r="CD263" s="116"/>
      <c r="CE263" s="116"/>
      <c r="CF263" s="116"/>
      <c r="CG263" s="116"/>
      <c r="CH263" s="116"/>
      <c r="CI263" s="116"/>
      <c r="CJ263" s="116"/>
      <c r="CK263" s="116"/>
      <c r="CL263" s="117"/>
      <c r="CM263" s="116"/>
      <c r="CN263" s="116"/>
      <c r="CO263" s="116"/>
      <c r="CP263" s="116"/>
      <c r="CQ263" s="116"/>
      <c r="CR263" s="116"/>
      <c r="CS263" s="116"/>
      <c r="CT263" s="116"/>
      <c r="CU263" s="118"/>
      <c r="CV263" s="117"/>
      <c r="CW263" s="115"/>
      <c r="CX263" s="117"/>
      <c r="CY263" s="115"/>
      <c r="CZ263" s="117"/>
      <c r="DA263" s="115"/>
      <c r="DB263" s="117"/>
      <c r="DC263" s="115"/>
      <c r="DD263" s="116"/>
      <c r="DE263" s="119"/>
      <c r="DF263" s="115"/>
      <c r="DG263" s="105"/>
      <c r="DH263" s="105"/>
      <c r="DI263" s="116"/>
      <c r="DJ263" s="105"/>
      <c r="DK263" s="116"/>
      <c r="DL263" s="105"/>
      <c r="DM263" s="116"/>
      <c r="DN263" s="119"/>
      <c r="DO263" s="115"/>
      <c r="DP263" s="119"/>
      <c r="DQ263" s="105"/>
      <c r="DR263" s="119"/>
      <c r="DS263" s="105"/>
      <c r="DT263" s="119"/>
      <c r="DU263" s="105"/>
      <c r="DV263" s="116"/>
      <c r="DW263" s="119"/>
      <c r="DX263" s="115"/>
      <c r="DY263" s="116"/>
      <c r="DZ263" s="115"/>
      <c r="EA263" s="119"/>
      <c r="EB263" s="119"/>
      <c r="EC263" s="51"/>
    </row>
    <row r="264" spans="1:133" s="47" customFormat="1">
      <c r="A264" s="46"/>
      <c r="C264" s="81"/>
      <c r="F264" s="85"/>
      <c r="G264" s="85"/>
      <c r="H264" s="81"/>
      <c r="P264" s="48"/>
      <c r="Q264" s="48"/>
      <c r="R264" s="48"/>
      <c r="S264" s="48"/>
      <c r="T264" s="48"/>
      <c r="U264" s="48"/>
      <c r="W264" s="49"/>
      <c r="AI264" s="50"/>
      <c r="AJ264" s="50"/>
      <c r="AK264" s="50"/>
      <c r="AM264" s="50"/>
      <c r="AN264" s="50"/>
      <c r="AO264" s="50"/>
      <c r="AP264" s="311"/>
      <c r="AQ264" s="311"/>
      <c r="AR264" s="50"/>
      <c r="AS264" s="50"/>
      <c r="AT264" s="311"/>
      <c r="AU264" s="50"/>
      <c r="AV264" s="311"/>
      <c r="AW264" s="50"/>
      <c r="AX264" s="311"/>
      <c r="AY264" s="50"/>
      <c r="AZ264" s="311"/>
      <c r="BA264" s="50"/>
      <c r="BB264" s="311"/>
      <c r="BC264" s="50"/>
      <c r="BD264" s="311"/>
      <c r="BE264" s="50"/>
      <c r="BF264" s="311"/>
      <c r="BG264" s="50"/>
      <c r="BH264" s="311"/>
      <c r="BI264" s="50"/>
      <c r="BJ264" s="50"/>
      <c r="BK264" s="117"/>
      <c r="BL264" s="116"/>
      <c r="BM264" s="116"/>
      <c r="BN264" s="116"/>
      <c r="BO264" s="116"/>
      <c r="BP264" s="116"/>
      <c r="BQ264" s="116"/>
      <c r="BR264" s="116"/>
      <c r="BS264" s="116"/>
      <c r="BT264" s="117"/>
      <c r="BU264" s="116"/>
      <c r="BV264" s="116"/>
      <c r="BW264" s="116"/>
      <c r="BX264" s="116"/>
      <c r="BY264" s="116"/>
      <c r="BZ264" s="116"/>
      <c r="CA264" s="116"/>
      <c r="CB264" s="116"/>
      <c r="CC264" s="117"/>
      <c r="CD264" s="116"/>
      <c r="CE264" s="116"/>
      <c r="CF264" s="116"/>
      <c r="CG264" s="116"/>
      <c r="CH264" s="116"/>
      <c r="CI264" s="116"/>
      <c r="CJ264" s="116"/>
      <c r="CK264" s="116"/>
      <c r="CL264" s="117"/>
      <c r="CM264" s="116"/>
      <c r="CN264" s="116"/>
      <c r="CO264" s="116"/>
      <c r="CP264" s="116"/>
      <c r="CQ264" s="116"/>
      <c r="CR264" s="116"/>
      <c r="CS264" s="116"/>
      <c r="CT264" s="116"/>
      <c r="CU264" s="118"/>
      <c r="CV264" s="117"/>
      <c r="CW264" s="115"/>
      <c r="CX264" s="117"/>
      <c r="CY264" s="115"/>
      <c r="CZ264" s="117"/>
      <c r="DA264" s="115"/>
      <c r="DB264" s="117"/>
      <c r="DC264" s="115"/>
      <c r="DD264" s="116"/>
      <c r="DE264" s="119"/>
      <c r="DF264" s="115"/>
      <c r="DG264" s="105"/>
      <c r="DH264" s="105"/>
      <c r="DI264" s="116"/>
      <c r="DJ264" s="105"/>
      <c r="DK264" s="116"/>
      <c r="DL264" s="105"/>
      <c r="DM264" s="116"/>
      <c r="DN264" s="119"/>
      <c r="DO264" s="115"/>
      <c r="DP264" s="119"/>
      <c r="DQ264" s="105"/>
      <c r="DR264" s="119"/>
      <c r="DS264" s="105"/>
      <c r="DT264" s="119"/>
      <c r="DU264" s="105"/>
      <c r="DV264" s="116"/>
      <c r="DW264" s="119"/>
      <c r="DX264" s="115"/>
      <c r="DY264" s="116"/>
      <c r="DZ264" s="115"/>
      <c r="EA264" s="119"/>
      <c r="EB264" s="119"/>
      <c r="EC264" s="51"/>
    </row>
    <row r="265" spans="1:133" s="47" customFormat="1">
      <c r="A265" s="46"/>
      <c r="C265" s="81"/>
      <c r="F265" s="85"/>
      <c r="G265" s="85"/>
      <c r="H265" s="81"/>
      <c r="P265" s="48"/>
      <c r="Q265" s="48"/>
      <c r="R265" s="48"/>
      <c r="S265" s="48"/>
      <c r="T265" s="48"/>
      <c r="U265" s="48"/>
      <c r="W265" s="49"/>
      <c r="AI265" s="50"/>
      <c r="AJ265" s="50"/>
      <c r="AK265" s="50"/>
      <c r="AM265" s="50"/>
      <c r="AN265" s="50"/>
      <c r="AO265" s="50"/>
      <c r="AP265" s="311"/>
      <c r="AQ265" s="311"/>
      <c r="AR265" s="50"/>
      <c r="AS265" s="50"/>
      <c r="AT265" s="311"/>
      <c r="AU265" s="50"/>
      <c r="AV265" s="311"/>
      <c r="AW265" s="50"/>
      <c r="AX265" s="311"/>
      <c r="AY265" s="50"/>
      <c r="AZ265" s="311"/>
      <c r="BA265" s="50"/>
      <c r="BB265" s="311"/>
      <c r="BC265" s="50"/>
      <c r="BD265" s="311"/>
      <c r="BE265" s="50"/>
      <c r="BF265" s="311"/>
      <c r="BG265" s="50"/>
      <c r="BH265" s="311"/>
      <c r="BI265" s="50"/>
      <c r="BJ265" s="50"/>
      <c r="BK265" s="117"/>
      <c r="BL265" s="116"/>
      <c r="BM265" s="116"/>
      <c r="BN265" s="116"/>
      <c r="BO265" s="116"/>
      <c r="BP265" s="116"/>
      <c r="BQ265" s="116"/>
      <c r="BR265" s="116"/>
      <c r="BS265" s="116"/>
      <c r="BT265" s="117"/>
      <c r="BU265" s="116"/>
      <c r="BV265" s="116"/>
      <c r="BW265" s="116"/>
      <c r="BX265" s="116"/>
      <c r="BY265" s="116"/>
      <c r="BZ265" s="116"/>
      <c r="CA265" s="116"/>
      <c r="CB265" s="116"/>
      <c r="CC265" s="117"/>
      <c r="CD265" s="116"/>
      <c r="CE265" s="116"/>
      <c r="CF265" s="116"/>
      <c r="CG265" s="116"/>
      <c r="CH265" s="116"/>
      <c r="CI265" s="116"/>
      <c r="CJ265" s="116"/>
      <c r="CK265" s="116"/>
      <c r="CL265" s="117"/>
      <c r="CM265" s="116"/>
      <c r="CN265" s="116"/>
      <c r="CO265" s="116"/>
      <c r="CP265" s="116"/>
      <c r="CQ265" s="116"/>
      <c r="CR265" s="116"/>
      <c r="CS265" s="116"/>
      <c r="CT265" s="116"/>
      <c r="CU265" s="118"/>
      <c r="CV265" s="117"/>
      <c r="CW265" s="115"/>
      <c r="CX265" s="117"/>
      <c r="CY265" s="115"/>
      <c r="CZ265" s="117"/>
      <c r="DA265" s="115"/>
      <c r="DB265" s="117"/>
      <c r="DC265" s="115"/>
      <c r="DD265" s="116"/>
      <c r="DE265" s="119"/>
      <c r="DF265" s="115"/>
      <c r="DG265" s="105"/>
      <c r="DH265" s="105"/>
      <c r="DI265" s="116"/>
      <c r="DJ265" s="105"/>
      <c r="DK265" s="116"/>
      <c r="DL265" s="105"/>
      <c r="DM265" s="116"/>
      <c r="DN265" s="119"/>
      <c r="DO265" s="115"/>
      <c r="DP265" s="119"/>
      <c r="DQ265" s="105"/>
      <c r="DR265" s="119"/>
      <c r="DS265" s="105"/>
      <c r="DT265" s="119"/>
      <c r="DU265" s="105"/>
      <c r="DV265" s="116"/>
      <c r="DW265" s="119"/>
      <c r="DX265" s="115"/>
      <c r="DY265" s="116"/>
      <c r="DZ265" s="115"/>
      <c r="EA265" s="119"/>
      <c r="EB265" s="119"/>
      <c r="EC265" s="51"/>
    </row>
    <row r="266" spans="1:133" s="47" customFormat="1">
      <c r="A266" s="46"/>
      <c r="C266" s="81"/>
      <c r="F266" s="85"/>
      <c r="G266" s="85"/>
      <c r="H266" s="81"/>
      <c r="P266" s="48"/>
      <c r="Q266" s="48"/>
      <c r="R266" s="48"/>
      <c r="S266" s="48"/>
      <c r="T266" s="48"/>
      <c r="U266" s="48"/>
      <c r="W266" s="49"/>
      <c r="AI266" s="50"/>
      <c r="AJ266" s="50"/>
      <c r="AK266" s="50"/>
      <c r="AM266" s="50"/>
      <c r="AN266" s="50"/>
      <c r="AO266" s="50"/>
      <c r="AP266" s="311"/>
      <c r="AQ266" s="311"/>
      <c r="AR266" s="50"/>
      <c r="AS266" s="50"/>
      <c r="AT266" s="311"/>
      <c r="AU266" s="50"/>
      <c r="AV266" s="311"/>
      <c r="AW266" s="50"/>
      <c r="AX266" s="311"/>
      <c r="AY266" s="50"/>
      <c r="AZ266" s="311"/>
      <c r="BA266" s="50"/>
      <c r="BB266" s="311"/>
      <c r="BC266" s="50"/>
      <c r="BD266" s="311"/>
      <c r="BE266" s="50"/>
      <c r="BF266" s="311"/>
      <c r="BG266" s="50"/>
      <c r="BH266" s="311"/>
      <c r="BI266" s="50"/>
      <c r="BJ266" s="50"/>
      <c r="BK266" s="117"/>
      <c r="BL266" s="116"/>
      <c r="BM266" s="116"/>
      <c r="BN266" s="116"/>
      <c r="BO266" s="116"/>
      <c r="BP266" s="116"/>
      <c r="BQ266" s="116"/>
      <c r="BR266" s="116"/>
      <c r="BS266" s="116"/>
      <c r="BT266" s="117"/>
      <c r="BU266" s="116"/>
      <c r="BV266" s="116"/>
      <c r="BW266" s="116"/>
      <c r="BX266" s="116"/>
      <c r="BY266" s="116"/>
      <c r="BZ266" s="116"/>
      <c r="CA266" s="116"/>
      <c r="CB266" s="116"/>
      <c r="CC266" s="117"/>
      <c r="CD266" s="116"/>
      <c r="CE266" s="116"/>
      <c r="CF266" s="116"/>
      <c r="CG266" s="116"/>
      <c r="CH266" s="116"/>
      <c r="CI266" s="116"/>
      <c r="CJ266" s="116"/>
      <c r="CK266" s="116"/>
      <c r="CL266" s="117"/>
      <c r="CM266" s="116"/>
      <c r="CN266" s="116"/>
      <c r="CO266" s="116"/>
      <c r="CP266" s="116"/>
      <c r="CQ266" s="116"/>
      <c r="CR266" s="116"/>
      <c r="CS266" s="116"/>
      <c r="CT266" s="116"/>
      <c r="CU266" s="118"/>
      <c r="CV266" s="117"/>
      <c r="CW266" s="115"/>
      <c r="CX266" s="117"/>
      <c r="CY266" s="115"/>
      <c r="CZ266" s="117"/>
      <c r="DA266" s="115"/>
      <c r="DB266" s="117"/>
      <c r="DC266" s="115"/>
      <c r="DD266" s="116"/>
      <c r="DE266" s="119"/>
      <c r="DF266" s="115"/>
      <c r="DG266" s="105"/>
      <c r="DH266" s="105"/>
      <c r="DI266" s="116"/>
      <c r="DJ266" s="105"/>
      <c r="DK266" s="116"/>
      <c r="DL266" s="105"/>
      <c r="DM266" s="116"/>
      <c r="DN266" s="119"/>
      <c r="DO266" s="115"/>
      <c r="DP266" s="119"/>
      <c r="DQ266" s="105"/>
      <c r="DR266" s="119"/>
      <c r="DS266" s="105"/>
      <c r="DT266" s="119"/>
      <c r="DU266" s="105"/>
      <c r="DV266" s="116"/>
      <c r="DW266" s="119"/>
      <c r="DX266" s="115"/>
      <c r="DY266" s="116"/>
      <c r="DZ266" s="115"/>
      <c r="EA266" s="119"/>
      <c r="EB266" s="119"/>
      <c r="EC266" s="51"/>
    </row>
    <row r="267" spans="1:133" s="47" customFormat="1">
      <c r="A267" s="46"/>
      <c r="C267" s="81"/>
      <c r="F267" s="85"/>
      <c r="G267" s="85"/>
      <c r="H267" s="81"/>
      <c r="P267" s="48"/>
      <c r="Q267" s="48"/>
      <c r="R267" s="48"/>
      <c r="S267" s="48"/>
      <c r="T267" s="48"/>
      <c r="U267" s="48"/>
      <c r="W267" s="49"/>
      <c r="AI267" s="50"/>
      <c r="AJ267" s="50"/>
      <c r="AK267" s="50"/>
      <c r="AM267" s="50"/>
      <c r="AN267" s="50"/>
      <c r="AO267" s="50"/>
      <c r="AP267" s="311"/>
      <c r="AQ267" s="311"/>
      <c r="AR267" s="50"/>
      <c r="AS267" s="50"/>
      <c r="AT267" s="311"/>
      <c r="AU267" s="50"/>
      <c r="AV267" s="311"/>
      <c r="AW267" s="50"/>
      <c r="AX267" s="311"/>
      <c r="AY267" s="50"/>
      <c r="AZ267" s="311"/>
      <c r="BA267" s="50"/>
      <c r="BB267" s="311"/>
      <c r="BC267" s="50"/>
      <c r="BD267" s="311"/>
      <c r="BE267" s="50"/>
      <c r="BF267" s="311"/>
      <c r="BG267" s="50"/>
      <c r="BH267" s="311"/>
      <c r="BI267" s="50"/>
      <c r="BJ267" s="50"/>
      <c r="BK267" s="117"/>
      <c r="BL267" s="116"/>
      <c r="BM267" s="116"/>
      <c r="BN267" s="116"/>
      <c r="BO267" s="116"/>
      <c r="BP267" s="116"/>
      <c r="BQ267" s="116"/>
      <c r="BR267" s="116"/>
      <c r="BS267" s="116"/>
      <c r="BT267" s="117"/>
      <c r="BU267" s="116"/>
      <c r="BV267" s="116"/>
      <c r="BW267" s="116"/>
      <c r="BX267" s="116"/>
      <c r="BY267" s="116"/>
      <c r="BZ267" s="116"/>
      <c r="CA267" s="116"/>
      <c r="CB267" s="116"/>
      <c r="CC267" s="117"/>
      <c r="CD267" s="116"/>
      <c r="CE267" s="116"/>
      <c r="CF267" s="116"/>
      <c r="CG267" s="116"/>
      <c r="CH267" s="116"/>
      <c r="CI267" s="116"/>
      <c r="CJ267" s="116"/>
      <c r="CK267" s="116"/>
      <c r="CL267" s="117"/>
      <c r="CM267" s="116"/>
      <c r="CN267" s="116"/>
      <c r="CO267" s="116"/>
      <c r="CP267" s="116"/>
      <c r="CQ267" s="116"/>
      <c r="CR267" s="116"/>
      <c r="CS267" s="116"/>
      <c r="CT267" s="116"/>
      <c r="CU267" s="118"/>
      <c r="CV267" s="117"/>
      <c r="CW267" s="115"/>
      <c r="CX267" s="117"/>
      <c r="CY267" s="115"/>
      <c r="CZ267" s="117"/>
      <c r="DA267" s="115"/>
      <c r="DB267" s="117"/>
      <c r="DC267" s="115"/>
      <c r="DD267" s="116"/>
      <c r="DE267" s="119"/>
      <c r="DF267" s="115"/>
      <c r="DG267" s="105"/>
      <c r="DH267" s="105"/>
      <c r="DI267" s="116"/>
      <c r="DJ267" s="105"/>
      <c r="DK267" s="116"/>
      <c r="DL267" s="105"/>
      <c r="DM267" s="116"/>
      <c r="DN267" s="119"/>
      <c r="DO267" s="115"/>
      <c r="DP267" s="119"/>
      <c r="DQ267" s="105"/>
      <c r="DR267" s="119"/>
      <c r="DS267" s="105"/>
      <c r="DT267" s="119"/>
      <c r="DU267" s="105"/>
      <c r="DV267" s="116"/>
      <c r="DW267" s="119"/>
      <c r="DX267" s="115"/>
      <c r="DY267" s="116"/>
      <c r="DZ267" s="115"/>
      <c r="EA267" s="119"/>
      <c r="EB267" s="119"/>
      <c r="EC267" s="51"/>
    </row>
    <row r="268" spans="1:133" s="47" customFormat="1">
      <c r="A268" s="46"/>
      <c r="C268" s="81"/>
      <c r="F268" s="85"/>
      <c r="G268" s="85"/>
      <c r="H268" s="81"/>
      <c r="P268" s="48"/>
      <c r="Q268" s="48"/>
      <c r="R268" s="48"/>
      <c r="S268" s="48"/>
      <c r="T268" s="48"/>
      <c r="U268" s="48"/>
      <c r="W268" s="49"/>
      <c r="AI268" s="50"/>
      <c r="AJ268" s="50"/>
      <c r="AK268" s="50"/>
      <c r="AM268" s="50"/>
      <c r="AN268" s="50"/>
      <c r="AO268" s="50"/>
      <c r="AP268" s="311"/>
      <c r="AQ268" s="311"/>
      <c r="AR268" s="50"/>
      <c r="AS268" s="50"/>
      <c r="AT268" s="311"/>
      <c r="AU268" s="50"/>
      <c r="AV268" s="311"/>
      <c r="AW268" s="50"/>
      <c r="AX268" s="311"/>
      <c r="AY268" s="50"/>
      <c r="AZ268" s="311"/>
      <c r="BA268" s="50"/>
      <c r="BB268" s="311"/>
      <c r="BC268" s="50"/>
      <c r="BD268" s="311"/>
      <c r="BE268" s="50"/>
      <c r="BF268" s="311"/>
      <c r="BG268" s="50"/>
      <c r="BH268" s="311"/>
      <c r="BI268" s="50"/>
      <c r="BJ268" s="50"/>
      <c r="BK268" s="117"/>
      <c r="BL268" s="116"/>
      <c r="BM268" s="116"/>
      <c r="BN268" s="116"/>
      <c r="BO268" s="116"/>
      <c r="BP268" s="116"/>
      <c r="BQ268" s="116"/>
      <c r="BR268" s="116"/>
      <c r="BS268" s="116"/>
      <c r="BT268" s="117"/>
      <c r="BU268" s="116"/>
      <c r="BV268" s="116"/>
      <c r="BW268" s="116"/>
      <c r="BX268" s="116"/>
      <c r="BY268" s="116"/>
      <c r="BZ268" s="116"/>
      <c r="CA268" s="116"/>
      <c r="CB268" s="116"/>
      <c r="CC268" s="117"/>
      <c r="CD268" s="116"/>
      <c r="CE268" s="116"/>
      <c r="CF268" s="116"/>
      <c r="CG268" s="116"/>
      <c r="CH268" s="116"/>
      <c r="CI268" s="116"/>
      <c r="CJ268" s="116"/>
      <c r="CK268" s="116"/>
      <c r="CL268" s="117"/>
      <c r="CM268" s="116"/>
      <c r="CN268" s="116"/>
      <c r="CO268" s="116"/>
      <c r="CP268" s="116"/>
      <c r="CQ268" s="116"/>
      <c r="CR268" s="116"/>
      <c r="CS268" s="116"/>
      <c r="CT268" s="116"/>
      <c r="CU268" s="118"/>
      <c r="CV268" s="117"/>
      <c r="CW268" s="115"/>
      <c r="CX268" s="117"/>
      <c r="CY268" s="115"/>
      <c r="CZ268" s="117"/>
      <c r="DA268" s="115"/>
      <c r="DB268" s="117"/>
      <c r="DC268" s="115"/>
      <c r="DD268" s="116"/>
      <c r="DE268" s="119"/>
      <c r="DF268" s="115"/>
      <c r="DG268" s="105"/>
      <c r="DH268" s="105"/>
      <c r="DI268" s="116"/>
      <c r="DJ268" s="105"/>
      <c r="DK268" s="116"/>
      <c r="DL268" s="105"/>
      <c r="DM268" s="116"/>
      <c r="DN268" s="119"/>
      <c r="DO268" s="115"/>
      <c r="DP268" s="119"/>
      <c r="DQ268" s="105"/>
      <c r="DR268" s="119"/>
      <c r="DS268" s="105"/>
      <c r="DT268" s="119"/>
      <c r="DU268" s="105"/>
      <c r="DV268" s="116"/>
      <c r="DW268" s="119"/>
      <c r="DX268" s="115"/>
      <c r="DY268" s="116"/>
      <c r="DZ268" s="115"/>
      <c r="EA268" s="119"/>
      <c r="EB268" s="119"/>
      <c r="EC268" s="51"/>
    </row>
    <row r="269" spans="1:133" s="47" customFormat="1">
      <c r="A269" s="46"/>
      <c r="C269" s="81"/>
      <c r="F269" s="85"/>
      <c r="G269" s="85"/>
      <c r="H269" s="81"/>
      <c r="P269" s="48"/>
      <c r="Q269" s="48"/>
      <c r="R269" s="48"/>
      <c r="S269" s="48"/>
      <c r="T269" s="48"/>
      <c r="U269" s="48"/>
      <c r="W269" s="49"/>
      <c r="AI269" s="50"/>
      <c r="AJ269" s="50"/>
      <c r="AK269" s="50"/>
      <c r="AM269" s="50"/>
      <c r="AN269" s="50"/>
      <c r="AO269" s="50"/>
      <c r="AP269" s="311"/>
      <c r="AQ269" s="311"/>
      <c r="AR269" s="50"/>
      <c r="AS269" s="50"/>
      <c r="AT269" s="311"/>
      <c r="AU269" s="50"/>
      <c r="AV269" s="311"/>
      <c r="AW269" s="50"/>
      <c r="AX269" s="311"/>
      <c r="AY269" s="50"/>
      <c r="AZ269" s="311"/>
      <c r="BA269" s="50"/>
      <c r="BB269" s="311"/>
      <c r="BC269" s="50"/>
      <c r="BD269" s="311"/>
      <c r="BE269" s="50"/>
      <c r="BF269" s="311"/>
      <c r="BG269" s="50"/>
      <c r="BH269" s="311"/>
      <c r="BI269" s="50"/>
      <c r="BJ269" s="50"/>
      <c r="BK269" s="117"/>
      <c r="BL269" s="116"/>
      <c r="BM269" s="116"/>
      <c r="BN269" s="116"/>
      <c r="BO269" s="116"/>
      <c r="BP269" s="116"/>
      <c r="BQ269" s="116"/>
      <c r="BR269" s="116"/>
      <c r="BS269" s="116"/>
      <c r="BT269" s="117"/>
      <c r="BU269" s="116"/>
      <c r="BV269" s="116"/>
      <c r="BW269" s="116"/>
      <c r="BX269" s="116"/>
      <c r="BY269" s="116"/>
      <c r="BZ269" s="116"/>
      <c r="CA269" s="116"/>
      <c r="CB269" s="116"/>
      <c r="CC269" s="117"/>
      <c r="CD269" s="116"/>
      <c r="CE269" s="116"/>
      <c r="CF269" s="116"/>
      <c r="CG269" s="116"/>
      <c r="CH269" s="116"/>
      <c r="CI269" s="116"/>
      <c r="CJ269" s="116"/>
      <c r="CK269" s="116"/>
      <c r="CL269" s="117"/>
      <c r="CM269" s="116"/>
      <c r="CN269" s="116"/>
      <c r="CO269" s="116"/>
      <c r="CP269" s="116"/>
      <c r="CQ269" s="116"/>
      <c r="CR269" s="116"/>
      <c r="CS269" s="116"/>
      <c r="CT269" s="116"/>
      <c r="CU269" s="118"/>
      <c r="CV269" s="117"/>
      <c r="CW269" s="115"/>
      <c r="CX269" s="117"/>
      <c r="CY269" s="115"/>
      <c r="CZ269" s="117"/>
      <c r="DA269" s="115"/>
      <c r="DB269" s="117"/>
      <c r="DC269" s="115"/>
      <c r="DD269" s="116"/>
      <c r="DE269" s="119"/>
      <c r="DF269" s="115"/>
      <c r="DG269" s="105"/>
      <c r="DH269" s="105"/>
      <c r="DI269" s="116"/>
      <c r="DJ269" s="105"/>
      <c r="DK269" s="116"/>
      <c r="DL269" s="105"/>
      <c r="DM269" s="116"/>
      <c r="DN269" s="119"/>
      <c r="DO269" s="115"/>
      <c r="DP269" s="119"/>
      <c r="DQ269" s="105"/>
      <c r="DR269" s="119"/>
      <c r="DS269" s="105"/>
      <c r="DT269" s="119"/>
      <c r="DU269" s="105"/>
      <c r="DV269" s="116"/>
      <c r="DW269" s="119"/>
      <c r="DX269" s="115"/>
      <c r="DY269" s="116"/>
      <c r="DZ269" s="115"/>
      <c r="EA269" s="119"/>
      <c r="EB269" s="119"/>
      <c r="EC269" s="51"/>
    </row>
    <row r="270" spans="1:133" s="47" customFormat="1">
      <c r="A270" s="46"/>
      <c r="C270" s="81"/>
      <c r="F270" s="85"/>
      <c r="G270" s="85"/>
      <c r="H270" s="81"/>
      <c r="P270" s="48"/>
      <c r="Q270" s="48"/>
      <c r="R270" s="48"/>
      <c r="S270" s="48"/>
      <c r="T270" s="48"/>
      <c r="U270" s="48"/>
      <c r="W270" s="49"/>
      <c r="AI270" s="50"/>
      <c r="AJ270" s="50"/>
      <c r="AK270" s="50"/>
      <c r="AM270" s="50"/>
      <c r="AN270" s="50"/>
      <c r="AO270" s="50"/>
      <c r="AP270" s="311"/>
      <c r="AQ270" s="311"/>
      <c r="AR270" s="50"/>
      <c r="AS270" s="50"/>
      <c r="AT270" s="311"/>
      <c r="AU270" s="50"/>
      <c r="AV270" s="311"/>
      <c r="AW270" s="50"/>
      <c r="AX270" s="311"/>
      <c r="AY270" s="50"/>
      <c r="AZ270" s="311"/>
      <c r="BA270" s="50"/>
      <c r="BB270" s="311"/>
      <c r="BC270" s="50"/>
      <c r="BD270" s="311"/>
      <c r="BE270" s="50"/>
      <c r="BF270" s="311"/>
      <c r="BG270" s="50"/>
      <c r="BH270" s="311"/>
      <c r="BI270" s="50"/>
      <c r="BJ270" s="50"/>
      <c r="BK270" s="117"/>
      <c r="BL270" s="116"/>
      <c r="BM270" s="116"/>
      <c r="BN270" s="116"/>
      <c r="BO270" s="116"/>
      <c r="BP270" s="116"/>
      <c r="BQ270" s="116"/>
      <c r="BR270" s="116"/>
      <c r="BS270" s="116"/>
      <c r="BT270" s="117"/>
      <c r="BU270" s="116"/>
      <c r="BV270" s="116"/>
      <c r="BW270" s="116"/>
      <c r="BX270" s="116"/>
      <c r="BY270" s="116"/>
      <c r="BZ270" s="116"/>
      <c r="CA270" s="116"/>
      <c r="CB270" s="116"/>
      <c r="CC270" s="117"/>
      <c r="CD270" s="116"/>
      <c r="CE270" s="116"/>
      <c r="CF270" s="116"/>
      <c r="CG270" s="116"/>
      <c r="CH270" s="116"/>
      <c r="CI270" s="116"/>
      <c r="CJ270" s="116"/>
      <c r="CK270" s="116"/>
      <c r="CL270" s="117"/>
      <c r="CM270" s="116"/>
      <c r="CN270" s="116"/>
      <c r="CO270" s="116"/>
      <c r="CP270" s="116"/>
      <c r="CQ270" s="116"/>
      <c r="CR270" s="116"/>
      <c r="CS270" s="116"/>
      <c r="CT270" s="116"/>
      <c r="CU270" s="118"/>
      <c r="CV270" s="117"/>
      <c r="CW270" s="115"/>
      <c r="CX270" s="117"/>
      <c r="CY270" s="115"/>
      <c r="CZ270" s="117"/>
      <c r="DA270" s="115"/>
      <c r="DB270" s="117"/>
      <c r="DC270" s="115"/>
      <c r="DD270" s="116"/>
      <c r="DE270" s="119"/>
      <c r="DF270" s="115"/>
      <c r="DG270" s="105"/>
      <c r="DH270" s="105"/>
      <c r="DI270" s="116"/>
      <c r="DJ270" s="105"/>
      <c r="DK270" s="116"/>
      <c r="DL270" s="105"/>
      <c r="DM270" s="116"/>
      <c r="DN270" s="119"/>
      <c r="DO270" s="115"/>
      <c r="DP270" s="119"/>
      <c r="DQ270" s="105"/>
      <c r="DR270" s="119"/>
      <c r="DS270" s="105"/>
      <c r="DT270" s="119"/>
      <c r="DU270" s="105"/>
      <c r="DV270" s="116"/>
      <c r="DW270" s="119"/>
      <c r="DX270" s="115"/>
      <c r="DY270" s="116"/>
      <c r="DZ270" s="115"/>
      <c r="EA270" s="119"/>
      <c r="EB270" s="119"/>
      <c r="EC270" s="51"/>
    </row>
    <row r="271" spans="1:133" s="47" customFormat="1">
      <c r="A271" s="46"/>
      <c r="C271" s="81"/>
      <c r="F271" s="85"/>
      <c r="G271" s="85"/>
      <c r="H271" s="81"/>
      <c r="P271" s="48"/>
      <c r="Q271" s="48"/>
      <c r="R271" s="48"/>
      <c r="S271" s="48"/>
      <c r="T271" s="48"/>
      <c r="U271" s="48"/>
      <c r="W271" s="49"/>
      <c r="AI271" s="50"/>
      <c r="AJ271" s="50"/>
      <c r="AK271" s="50"/>
      <c r="AM271" s="50"/>
      <c r="AN271" s="50"/>
      <c r="AO271" s="50"/>
      <c r="AP271" s="311"/>
      <c r="AQ271" s="311"/>
      <c r="AR271" s="50"/>
      <c r="AS271" s="50"/>
      <c r="AT271" s="311"/>
      <c r="AU271" s="50"/>
      <c r="AV271" s="311"/>
      <c r="AW271" s="50"/>
      <c r="AX271" s="311"/>
      <c r="AY271" s="50"/>
      <c r="AZ271" s="311"/>
      <c r="BA271" s="50"/>
      <c r="BB271" s="311"/>
      <c r="BC271" s="50"/>
      <c r="BD271" s="311"/>
      <c r="BE271" s="50"/>
      <c r="BF271" s="311"/>
      <c r="BG271" s="50"/>
      <c r="BH271" s="311"/>
      <c r="BI271" s="50"/>
      <c r="BJ271" s="50"/>
      <c r="BK271" s="117"/>
      <c r="BL271" s="116"/>
      <c r="BM271" s="116"/>
      <c r="BN271" s="116"/>
      <c r="BO271" s="116"/>
      <c r="BP271" s="116"/>
      <c r="BQ271" s="116"/>
      <c r="BR271" s="116"/>
      <c r="BS271" s="116"/>
      <c r="BT271" s="117"/>
      <c r="BU271" s="116"/>
      <c r="BV271" s="116"/>
      <c r="BW271" s="116"/>
      <c r="BX271" s="116"/>
      <c r="BY271" s="116"/>
      <c r="BZ271" s="116"/>
      <c r="CA271" s="116"/>
      <c r="CB271" s="116"/>
      <c r="CC271" s="117"/>
      <c r="CD271" s="116"/>
      <c r="CE271" s="116"/>
      <c r="CF271" s="116"/>
      <c r="CG271" s="116"/>
      <c r="CH271" s="116"/>
      <c r="CI271" s="116"/>
      <c r="CJ271" s="116"/>
      <c r="CK271" s="116"/>
      <c r="CL271" s="117"/>
      <c r="CM271" s="116"/>
      <c r="CN271" s="116"/>
      <c r="CO271" s="116"/>
      <c r="CP271" s="116"/>
      <c r="CQ271" s="116"/>
      <c r="CR271" s="116"/>
      <c r="CS271" s="116"/>
      <c r="CT271" s="116"/>
      <c r="CU271" s="118"/>
      <c r="CV271" s="117"/>
      <c r="CW271" s="115"/>
      <c r="CX271" s="117"/>
      <c r="CY271" s="115"/>
      <c r="CZ271" s="117"/>
      <c r="DA271" s="115"/>
      <c r="DB271" s="117"/>
      <c r="DC271" s="115"/>
      <c r="DD271" s="116"/>
      <c r="DE271" s="119"/>
      <c r="DF271" s="115"/>
      <c r="DG271" s="105"/>
      <c r="DH271" s="105"/>
      <c r="DI271" s="116"/>
      <c r="DJ271" s="105"/>
      <c r="DK271" s="116"/>
      <c r="DL271" s="105"/>
      <c r="DM271" s="116"/>
      <c r="DN271" s="119"/>
      <c r="DO271" s="115"/>
      <c r="DP271" s="119"/>
      <c r="DQ271" s="105"/>
      <c r="DR271" s="119"/>
      <c r="DS271" s="105"/>
      <c r="DT271" s="119"/>
      <c r="DU271" s="105"/>
      <c r="DV271" s="116"/>
      <c r="DW271" s="119"/>
      <c r="DX271" s="115"/>
      <c r="DY271" s="116"/>
      <c r="DZ271" s="115"/>
      <c r="EA271" s="119"/>
      <c r="EB271" s="119"/>
      <c r="EC271" s="51"/>
    </row>
    <row r="272" spans="1:133" s="47" customFormat="1">
      <c r="A272" s="46"/>
      <c r="C272" s="81"/>
      <c r="F272" s="85"/>
      <c r="G272" s="85"/>
      <c r="H272" s="81"/>
      <c r="P272" s="48"/>
      <c r="Q272" s="48"/>
      <c r="R272" s="48"/>
      <c r="S272" s="48"/>
      <c r="T272" s="48"/>
      <c r="U272" s="48"/>
      <c r="W272" s="49"/>
      <c r="AI272" s="50"/>
      <c r="AJ272" s="50"/>
      <c r="AK272" s="50"/>
      <c r="AM272" s="50"/>
      <c r="AN272" s="50"/>
      <c r="AO272" s="50"/>
      <c r="AP272" s="311"/>
      <c r="AQ272" s="311"/>
      <c r="AR272" s="50"/>
      <c r="AS272" s="50"/>
      <c r="AT272" s="311"/>
      <c r="AU272" s="50"/>
      <c r="AV272" s="311"/>
      <c r="AW272" s="50"/>
      <c r="AX272" s="311"/>
      <c r="AY272" s="50"/>
      <c r="AZ272" s="311"/>
      <c r="BA272" s="50"/>
      <c r="BB272" s="311"/>
      <c r="BC272" s="50"/>
      <c r="BD272" s="311"/>
      <c r="BE272" s="50"/>
      <c r="BF272" s="311"/>
      <c r="BG272" s="50"/>
      <c r="BH272" s="311"/>
      <c r="BI272" s="50"/>
      <c r="BJ272" s="50"/>
      <c r="BK272" s="117"/>
      <c r="BL272" s="116"/>
      <c r="BM272" s="116"/>
      <c r="BN272" s="116"/>
      <c r="BO272" s="116"/>
      <c r="BP272" s="116"/>
      <c r="BQ272" s="116"/>
      <c r="BR272" s="116"/>
      <c r="BS272" s="116"/>
      <c r="BT272" s="117"/>
      <c r="BU272" s="116"/>
      <c r="BV272" s="116"/>
      <c r="BW272" s="116"/>
      <c r="BX272" s="116"/>
      <c r="BY272" s="116"/>
      <c r="BZ272" s="116"/>
      <c r="CA272" s="116"/>
      <c r="CB272" s="116"/>
      <c r="CC272" s="117"/>
      <c r="CD272" s="116"/>
      <c r="CE272" s="116"/>
      <c r="CF272" s="116"/>
      <c r="CG272" s="116"/>
      <c r="CH272" s="116"/>
      <c r="CI272" s="116"/>
      <c r="CJ272" s="116"/>
      <c r="CK272" s="116"/>
      <c r="CL272" s="117"/>
      <c r="CM272" s="116"/>
      <c r="CN272" s="116"/>
      <c r="CO272" s="116"/>
      <c r="CP272" s="116"/>
      <c r="CQ272" s="116"/>
      <c r="CR272" s="116"/>
      <c r="CS272" s="116"/>
      <c r="CT272" s="116"/>
      <c r="CU272" s="118"/>
      <c r="CV272" s="117"/>
      <c r="CW272" s="115"/>
      <c r="CX272" s="117"/>
      <c r="CY272" s="115"/>
      <c r="CZ272" s="117"/>
      <c r="DA272" s="115"/>
      <c r="DB272" s="117"/>
      <c r="DC272" s="115"/>
      <c r="DD272" s="116"/>
      <c r="DE272" s="119"/>
      <c r="DF272" s="115"/>
      <c r="DG272" s="105"/>
      <c r="DH272" s="105"/>
      <c r="DI272" s="116"/>
      <c r="DJ272" s="105"/>
      <c r="DK272" s="116"/>
      <c r="DL272" s="105"/>
      <c r="DM272" s="116"/>
      <c r="DN272" s="119"/>
      <c r="DO272" s="115"/>
      <c r="DP272" s="119"/>
      <c r="DQ272" s="105"/>
      <c r="DR272" s="119"/>
      <c r="DS272" s="105"/>
      <c r="DT272" s="119"/>
      <c r="DU272" s="105"/>
      <c r="DV272" s="116"/>
      <c r="DW272" s="119"/>
      <c r="DX272" s="115"/>
      <c r="DY272" s="116"/>
      <c r="DZ272" s="115"/>
      <c r="EA272" s="119"/>
      <c r="EB272" s="119"/>
      <c r="EC272" s="51"/>
    </row>
    <row r="273" spans="1:132">
      <c r="A273" s="46"/>
      <c r="B273" s="47"/>
      <c r="C273" s="81"/>
      <c r="D273" s="47"/>
      <c r="E273" s="47"/>
      <c r="F273" s="85"/>
      <c r="G273" s="85"/>
      <c r="H273" s="81"/>
      <c r="I273" s="47"/>
      <c r="J273" s="47"/>
      <c r="K273" s="47"/>
      <c r="L273" s="47"/>
      <c r="N273" s="47"/>
      <c r="O273" s="47"/>
      <c r="P273" s="48"/>
      <c r="Q273" s="48"/>
      <c r="R273" s="48"/>
      <c r="S273" s="48"/>
      <c r="T273" s="48"/>
      <c r="U273" s="48"/>
      <c r="V273" s="47"/>
      <c r="W273" s="49"/>
      <c r="X273" s="47"/>
      <c r="Y273" s="47"/>
      <c r="Z273" s="47"/>
      <c r="AA273" s="47"/>
      <c r="AB273" s="47"/>
      <c r="AC273" s="47"/>
      <c r="AD273" s="47"/>
      <c r="AE273" s="47"/>
      <c r="AF273" s="47"/>
      <c r="AG273" s="47"/>
      <c r="AH273" s="47"/>
      <c r="AI273" s="50"/>
      <c r="AJ273" s="50"/>
      <c r="AK273" s="50"/>
      <c r="AL273" s="47"/>
      <c r="AM273" s="50"/>
      <c r="AN273" s="50"/>
      <c r="AO273" s="50"/>
      <c r="AP273" s="311"/>
      <c r="AQ273" s="311"/>
      <c r="AR273" s="50"/>
      <c r="AS273" s="50"/>
      <c r="AT273" s="311"/>
      <c r="AU273" s="50"/>
      <c r="AV273" s="311"/>
      <c r="AW273" s="50"/>
      <c r="AX273" s="311"/>
      <c r="AY273" s="50"/>
      <c r="AZ273" s="311"/>
      <c r="BA273" s="50"/>
      <c r="BB273" s="311"/>
      <c r="BC273" s="50"/>
      <c r="BD273" s="311"/>
      <c r="BE273" s="50"/>
      <c r="BF273" s="311"/>
      <c r="BG273" s="50"/>
      <c r="BH273" s="311"/>
      <c r="BI273" s="50"/>
      <c r="BJ273" s="50"/>
      <c r="BK273" s="117"/>
      <c r="BL273" s="116"/>
      <c r="BM273" s="116"/>
      <c r="BN273" s="116"/>
      <c r="BO273" s="116"/>
      <c r="BP273" s="116"/>
      <c r="BQ273" s="116"/>
      <c r="BR273" s="116"/>
      <c r="BS273" s="116"/>
      <c r="BT273" s="117"/>
      <c r="BU273" s="116"/>
      <c r="BV273" s="116"/>
      <c r="BW273" s="116"/>
      <c r="BX273" s="116"/>
      <c r="BY273" s="116"/>
      <c r="BZ273" s="116"/>
      <c r="CA273" s="116"/>
      <c r="CB273" s="116"/>
      <c r="CC273" s="117"/>
      <c r="CD273" s="116"/>
      <c r="CE273" s="116"/>
      <c r="CF273" s="116"/>
      <c r="CG273" s="116"/>
      <c r="CH273" s="116"/>
      <c r="CI273" s="116"/>
      <c r="CJ273" s="116"/>
      <c r="CK273" s="116"/>
      <c r="CL273" s="117"/>
      <c r="CM273" s="116"/>
      <c r="CN273" s="116"/>
      <c r="CO273" s="116"/>
      <c r="CP273" s="116"/>
      <c r="CQ273" s="116"/>
      <c r="CR273" s="116"/>
      <c r="CS273" s="116"/>
      <c r="CT273" s="116"/>
      <c r="CU273" s="118"/>
      <c r="CV273" s="117"/>
      <c r="CW273" s="115"/>
      <c r="CX273" s="117"/>
      <c r="CY273" s="115"/>
      <c r="CZ273" s="117"/>
      <c r="DA273" s="115"/>
      <c r="DB273" s="117"/>
      <c r="DC273" s="115"/>
      <c r="DD273" s="116"/>
      <c r="DE273" s="119"/>
      <c r="DF273" s="115"/>
      <c r="DG273" s="105"/>
      <c r="DH273" s="105"/>
      <c r="DI273" s="116"/>
      <c r="DJ273" s="105"/>
      <c r="DK273" s="116"/>
      <c r="DL273" s="105"/>
      <c r="DM273" s="116"/>
      <c r="DN273" s="119"/>
      <c r="DO273" s="115"/>
      <c r="DP273" s="119"/>
      <c r="DQ273" s="105"/>
      <c r="DR273" s="119"/>
      <c r="DS273" s="105"/>
      <c r="DT273" s="119"/>
      <c r="DU273" s="105"/>
      <c r="DV273" s="116"/>
      <c r="DW273" s="119"/>
      <c r="DX273" s="115"/>
      <c r="DY273" s="116"/>
      <c r="DZ273" s="115"/>
      <c r="EA273" s="119"/>
      <c r="EB273" s="119"/>
    </row>
  </sheetData>
  <sheetProtection selectLockedCells="1" sort="0" autoFilter="0"/>
  <protectedRanges>
    <protectedRange algorithmName="SHA-512" hashValue="EhIfko+U5utcyfnSo3BDN73KuyKxjtI0q20kxlNdJJ1XGB5/U6Ww8OFSmgFBBXLxAHSP/KauavKFcmH1Po/TvQ==" saltValue="11aQ+P565FR8mnr/xHlpSg==" spinCount="100000" sqref="CV7:CV8 DE7:DE8 DN7:DN8 DW7:DW8 DY7:DY8 EA7:EB8 DY250 BK251:EA1048576 DW250 DN250:DU250 DE250:DL250 CV250:DC250 BK250:CT250 BJ1:DZ2 BK247:EA247 BK249:EA249 BL3:EB6 BL9:EB246" name="GFMS"/>
  </protectedRanges>
  <sortState ref="A6:DM220">
    <sortCondition ref="A6"/>
  </sortState>
  <mergeCells count="3">
    <mergeCell ref="V3:AD3"/>
    <mergeCell ref="AE3:AG3"/>
    <mergeCell ref="BL3:BT3"/>
  </mergeCells>
  <conditionalFormatting sqref="Z9:AD9 Z20:Z22 Z25:Z26 Z32 Z34:Z36 Z48:Z51 Z58:Z61 Z82 Z69 Z72 Z91 Z87:Z88 Z93 Z120 Z130:AA130 Z132:Z134 Z136 Z138:Z139 Z142:AA143 Z144:Z148 Z168:Z169 Z172 Z185:AA185 Z188 Z205:AA205 Z200 Z202:Z203 Z223:AA223 Z206:Z208 Z211:Z213 Z222 Z163:Z164 Z190 Z226:AA227 Z224:Z225 Z229:AA230 Z228 Z231 Z234 Z245:AA245 Z237:Z242 U40:V42 U37:V38 T73:T81 U87:X88 U92:V92 U94:X94 D198:D199 D135:D136 N111:V111 N27:W27 N43:X43 N58:X64 N65:W65 N72:X72 N70:V71 N82:X82 N80:U81 N91:X91 N92:S92 N130:X130 N133:X134 N137:W137 N140:V141 N154:S155 N159:V162 N170:S170 N237:X242 N173:V175 N185:X185 N186:V186 N192:U192 N202:X203 N201:S201 N200:X200 N204:W204 N205:X208 N211:X216 N209:S210 N217:V217 N218:S220 N93:X93 N235:V236 N94:S94 N73:V78 N79:X79 N142:X150 N48:X51 N56:V57 N66:X69 N126:X127 N135:V135 N136:X136 N138:X139 N187:X188 N199:V199 N198:T198 N221:X234 N243:V243 N171:X172 N128:V129 AE152:AG153 N190:X191 N95:X110 N176:X177 Z176 N178:S184 T178:X179 Z17:Z18 AD46:AD47 AD62:AD63 AD122 AB27:AC27 AB30:AC31 AD10:AD23 AD33:AD34 N46:V47 N44:U45 AD51 AD54:AD56 N54:X55 N52:W52 N53:U53 AD58:AD60 AD65 AD79 AD92 U89:V90 AD94 AD96 Z95:Z108 Z110 Z112:Z118 N112:X120 Z126:Z128 X128 Z178:Z179 T182:X182 T180:U181 B189:J189 Z165:AC167 B245:J245 M189:X189 M244:X245 D227 F227:G227 Z182:AB182 AD245:AJ245 AE154:AJ158 N158:X158 N156:W157 N28:X36 N121:V125 N151:V153 N163:X169 N195:V197 AE159:AG159 AI159:AJ159 D228:G243 AD124:AD243 D200:G226 N193:S194 D190:G197 B190:C243 H190:J243 M190:M243 AE190:AJ243 AE160:AJ188 D137:G188 N131:V132 N87:S90 N83:V86 Z83:AD84 W83:X84 N37:T42 U39:X39 N9:X26 Z11:Z15 AA11:AA14 C10:C188 D9:G134 AE6:AJ151 M9:M188 H9:J188 B7:B188 K9:L245">
    <cfRule type="cellIs" dxfId="1452" priority="1433" operator="equal">
      <formula>"offen"</formula>
    </cfRule>
  </conditionalFormatting>
  <conditionalFormatting sqref="Y156:Y158 Y185 Y187:Y188 Y211:Y213 Y221:Y225 Y242 Y245 Y176 Y178:Y179 Y182 Y163:Y169 Y9:Y11 Y202:Y208 Y171:Y172 Y142:Y150 Y129:Y139 Y83:Y84">
    <cfRule type="cellIs" dxfId="1451" priority="1430" operator="equal">
      <formula>"offen"</formula>
    </cfRule>
    <cfRule type="containsText" dxfId="1450" priority="1431" operator="containsText" text="kein KA">
      <formula>NOT(ISERROR(SEARCH("kein KA",Y9)))</formula>
    </cfRule>
  </conditionalFormatting>
  <conditionalFormatting sqref="AB130 AB142:AB143 AB229:AB230 AB245">
    <cfRule type="cellIs" dxfId="1449" priority="1426" operator="equal">
      <formula>"offen"</formula>
    </cfRule>
  </conditionalFormatting>
  <conditionalFormatting sqref="AC130 AC142:AC143 AC229:AC230 AC245">
    <cfRule type="cellIs" dxfId="1448" priority="1425" operator="equal">
      <formula>"offen"</formula>
    </cfRule>
  </conditionalFormatting>
  <conditionalFormatting sqref="Z19:AA19">
    <cfRule type="cellIs" dxfId="1447" priority="1424" operator="equal">
      <formula>"offen"</formula>
    </cfRule>
  </conditionalFormatting>
  <conditionalFormatting sqref="Z24:AA24">
    <cfRule type="cellIs" dxfId="1446" priority="1417" operator="equal">
      <formula>"offen"</formula>
    </cfRule>
  </conditionalFormatting>
  <conditionalFormatting sqref="X27">
    <cfRule type="cellIs" dxfId="1445" priority="1413" operator="equal">
      <formula>"offen"</formula>
    </cfRule>
  </conditionalFormatting>
  <conditionalFormatting sqref="Z27:AA27">
    <cfRule type="cellIs" dxfId="1444" priority="1410" operator="equal">
      <formula>"offen"</formula>
    </cfRule>
  </conditionalFormatting>
  <conditionalFormatting sqref="T185:T188 T202:T208 T211:T217 T91 T93 T190:T192 T171:T176 T245 T221:T243 T156:T169 T195:T200 T178:T182 T95:T153 T9:T86">
    <cfRule type="containsText" dxfId="1443" priority="1407" operator="containsText" text="offen">
      <formula>NOT(ISERROR(SEARCH("offen",T9)))</formula>
    </cfRule>
  </conditionalFormatting>
  <conditionalFormatting sqref="Z30:AA31">
    <cfRule type="cellIs" dxfId="1442" priority="1399" operator="equal">
      <formula>"offen"</formula>
    </cfRule>
  </conditionalFormatting>
  <conditionalFormatting sqref="AB19:AC19 AB24:AC24">
    <cfRule type="cellIs" dxfId="1441" priority="1342" operator="equal">
      <formula>"offen"</formula>
    </cfRule>
  </conditionalFormatting>
  <conditionalFormatting sqref="Z92">
    <cfRule type="cellIs" dxfId="1440" priority="1181" operator="equal">
      <formula>"offen"</formula>
    </cfRule>
  </conditionalFormatting>
  <conditionalFormatting sqref="W37:X37">
    <cfRule type="cellIs" dxfId="1439" priority="1379" operator="equal">
      <formula>"offen"</formula>
    </cfRule>
  </conditionalFormatting>
  <conditionalFormatting sqref="Z37">
    <cfRule type="cellIs" dxfId="1438" priority="1376" operator="equal">
      <formula>"offen"</formula>
    </cfRule>
  </conditionalFormatting>
  <conditionalFormatting sqref="X92">
    <cfRule type="cellIs" dxfId="1437" priority="1184" operator="equal">
      <formula>"offen"</formula>
    </cfRule>
  </conditionalFormatting>
  <conditionalFormatting sqref="W38:X38">
    <cfRule type="cellIs" dxfId="1436" priority="1373" operator="equal">
      <formula>"offen"</formula>
    </cfRule>
  </conditionalFormatting>
  <conditionalFormatting sqref="AA94">
    <cfRule type="cellIs" dxfId="1435" priority="1174" operator="equal">
      <formula>"offen"</formula>
    </cfRule>
  </conditionalFormatting>
  <conditionalFormatting sqref="Z38">
    <cfRule type="cellIs" dxfId="1434" priority="1370" operator="equal">
      <formula>"offen"</formula>
    </cfRule>
  </conditionalFormatting>
  <conditionalFormatting sqref="W92">
    <cfRule type="cellIs" dxfId="1433" priority="1178" operator="equal">
      <formula>"offen"</formula>
    </cfRule>
  </conditionalFormatting>
  <conditionalFormatting sqref="W41:X41 X40">
    <cfRule type="cellIs" dxfId="1432" priority="1361" operator="equal">
      <formula>"offen"</formula>
    </cfRule>
  </conditionalFormatting>
  <conditionalFormatting sqref="AA127">
    <cfRule type="cellIs" dxfId="1431" priority="1101" operator="equal">
      <formula>"offen"</formula>
    </cfRule>
  </conditionalFormatting>
  <conditionalFormatting sqref="Z40:Z41">
    <cfRule type="cellIs" dxfId="1430" priority="1358" operator="equal">
      <formula>"offen"</formula>
    </cfRule>
  </conditionalFormatting>
  <conditionalFormatting sqref="AB129">
    <cfRule type="cellIs" dxfId="1429" priority="1092" operator="equal">
      <formula>"offen"</formula>
    </cfRule>
  </conditionalFormatting>
  <conditionalFormatting sqref="AC131">
    <cfRule type="cellIs" dxfId="1428" priority="1081" operator="equal">
      <formula>"offen"</formula>
    </cfRule>
  </conditionalFormatting>
  <conditionalFormatting sqref="Z56:Z57">
    <cfRule type="cellIs" dxfId="1427" priority="1319" operator="equal">
      <formula>"offen"</formula>
    </cfRule>
  </conditionalFormatting>
  <conditionalFormatting sqref="Z54:Z55">
    <cfRule type="cellIs" dxfId="1426" priority="1325" operator="equal">
      <formula>"offen"</formula>
    </cfRule>
  </conditionalFormatting>
  <conditionalFormatting sqref="AB54:AC55">
    <cfRule type="cellIs" dxfId="1425" priority="1323" operator="equal">
      <formula>"offen"</formula>
    </cfRule>
  </conditionalFormatting>
  <conditionalFormatting sqref="AA54:AA55">
    <cfRule type="cellIs" dxfId="1424" priority="1324" operator="equal">
      <formula>"offen"</formula>
    </cfRule>
  </conditionalFormatting>
  <conditionalFormatting sqref="W56:X57">
    <cfRule type="cellIs" dxfId="1423" priority="1322" operator="equal">
      <formula>"offen"</formula>
    </cfRule>
  </conditionalFormatting>
  <conditionalFormatting sqref="AB56:AC56">
    <cfRule type="cellIs" dxfId="1422" priority="1317" operator="equal">
      <formula>"offen"</formula>
    </cfRule>
  </conditionalFormatting>
  <conditionalFormatting sqref="AA56">
    <cfRule type="cellIs" dxfId="1421" priority="1318" operator="equal">
      <formula>"offen"</formula>
    </cfRule>
  </conditionalFormatting>
  <conditionalFormatting sqref="AB58:AC58">
    <cfRule type="cellIs" dxfId="1420" priority="1315" operator="equal">
      <formula>"offen"</formula>
    </cfRule>
  </conditionalFormatting>
  <conditionalFormatting sqref="AA58">
    <cfRule type="cellIs" dxfId="1419" priority="1316" operator="equal">
      <formula>"offen"</formula>
    </cfRule>
  </conditionalFormatting>
  <conditionalFormatting sqref="Z62:Z64">
    <cfRule type="cellIs" dxfId="1418" priority="1302" operator="equal">
      <formula>"offen"</formula>
    </cfRule>
  </conditionalFormatting>
  <conditionalFormatting sqref="AB62:AC62">
    <cfRule type="cellIs" dxfId="1417" priority="1300" operator="equal">
      <formula>"offen"</formula>
    </cfRule>
  </conditionalFormatting>
  <conditionalFormatting sqref="AA62">
    <cfRule type="cellIs" dxfId="1416" priority="1301" operator="equal">
      <formula>"offen"</formula>
    </cfRule>
  </conditionalFormatting>
  <conditionalFormatting sqref="X65">
    <cfRule type="cellIs" dxfId="1415" priority="1296" operator="equal">
      <formula>"offen"</formula>
    </cfRule>
  </conditionalFormatting>
  <conditionalFormatting sqref="Z65">
    <cfRule type="cellIs" dxfId="1414" priority="1293" operator="equal">
      <formula>"offen"</formula>
    </cfRule>
  </conditionalFormatting>
  <conditionalFormatting sqref="AB65:AC65">
    <cfRule type="cellIs" dxfId="1413" priority="1291" operator="equal">
      <formula>"offen"</formula>
    </cfRule>
  </conditionalFormatting>
  <conditionalFormatting sqref="AA65">
    <cfRule type="cellIs" dxfId="1412" priority="1292" operator="equal">
      <formula>"offen"</formula>
    </cfRule>
  </conditionalFormatting>
  <conditionalFormatting sqref="Z66:Z67">
    <cfRule type="cellIs" dxfId="1411" priority="1290" operator="equal">
      <formula>"offen"</formula>
    </cfRule>
  </conditionalFormatting>
  <conditionalFormatting sqref="W71:X71">
    <cfRule type="cellIs" dxfId="1410" priority="1280" operator="equal">
      <formula>"offen"</formula>
    </cfRule>
  </conditionalFormatting>
  <conditionalFormatting sqref="Z71">
    <cfRule type="cellIs" dxfId="1409" priority="1277" operator="equal">
      <formula>"offen"</formula>
    </cfRule>
  </conditionalFormatting>
  <conditionalFormatting sqref="AB94:AC94">
    <cfRule type="cellIs" dxfId="1408" priority="1173" operator="equal">
      <formula>"offen"</formula>
    </cfRule>
  </conditionalFormatting>
  <conditionalFormatting sqref="Z79">
    <cfRule type="cellIs" dxfId="1407" priority="1227" operator="equal">
      <formula>"offen"</formula>
    </cfRule>
  </conditionalFormatting>
  <conditionalFormatting sqref="X90">
    <cfRule type="cellIs" dxfId="1406" priority="1191" operator="equal">
      <formula>"offen"</formula>
    </cfRule>
  </conditionalFormatting>
  <conditionalFormatting sqref="W90">
    <cfRule type="cellIs" dxfId="1405" priority="1185" operator="equal">
      <formula>"offen"</formula>
    </cfRule>
  </conditionalFormatting>
  <conditionalFormatting sqref="Z90">
    <cfRule type="cellIs" dxfId="1404" priority="1188" operator="equal">
      <formula>"offen"</formula>
    </cfRule>
  </conditionalFormatting>
  <conditionalFormatting sqref="Z94">
    <cfRule type="cellIs" dxfId="1403" priority="1175" operator="equal">
      <formula>"offen"</formula>
    </cfRule>
  </conditionalFormatting>
  <conditionalFormatting sqref="Z121 W121:X121">
    <cfRule type="cellIs" dxfId="1402" priority="1131" operator="equal">
      <formula>"offen"</formula>
    </cfRule>
  </conditionalFormatting>
  <conditionalFormatting sqref="AB136">
    <cfRule type="cellIs" dxfId="1401" priority="1058" operator="equal">
      <formula>"offen"</formula>
    </cfRule>
  </conditionalFormatting>
  <conditionalFormatting sqref="AC137">
    <cfRule type="cellIs" dxfId="1400" priority="1050" operator="equal">
      <formula>"offen"</formula>
    </cfRule>
  </conditionalFormatting>
  <conditionalFormatting sqref="W122:X122">
    <cfRule type="cellIs" dxfId="1399" priority="1126" operator="equal">
      <formula>"offen"</formula>
    </cfRule>
  </conditionalFormatting>
  <conditionalFormatting sqref="AB122:AC122">
    <cfRule type="cellIs" dxfId="1398" priority="1121" operator="equal">
      <formula>"offen"</formula>
    </cfRule>
  </conditionalFormatting>
  <conditionalFormatting sqref="Z122">
    <cfRule type="cellIs" dxfId="1397" priority="1123" operator="equal">
      <formula>"offen"</formula>
    </cfRule>
  </conditionalFormatting>
  <conditionalFormatting sqref="AA122">
    <cfRule type="cellIs" dxfId="1396" priority="1122" operator="equal">
      <formula>"offen"</formula>
    </cfRule>
  </conditionalFormatting>
  <conditionalFormatting sqref="Z123 W123:X123">
    <cfRule type="cellIs" dxfId="1395" priority="1120" operator="equal">
      <formula>"offen"</formula>
    </cfRule>
  </conditionalFormatting>
  <conditionalFormatting sqref="W124:X125">
    <cfRule type="cellIs" dxfId="1394" priority="1110" operator="equal">
      <formula>"offen"</formula>
    </cfRule>
  </conditionalFormatting>
  <conditionalFormatting sqref="AB124:AC125">
    <cfRule type="cellIs" dxfId="1393" priority="1105" operator="equal">
      <formula>"offen"</formula>
    </cfRule>
  </conditionalFormatting>
  <conditionalFormatting sqref="Z124:Z125">
    <cfRule type="cellIs" dxfId="1392" priority="1107" operator="equal">
      <formula>"offen"</formula>
    </cfRule>
  </conditionalFormatting>
  <conditionalFormatting sqref="AA124:AA125">
    <cfRule type="cellIs" dxfId="1391" priority="1106" operator="equal">
      <formula>"offen"</formula>
    </cfRule>
  </conditionalFormatting>
  <conditionalFormatting sqref="AC145">
    <cfRule type="cellIs" dxfId="1390" priority="1025" operator="equal">
      <formula>"offen"</formula>
    </cfRule>
  </conditionalFormatting>
  <conditionalFormatting sqref="AC127">
    <cfRule type="cellIs" dxfId="1389" priority="1099" operator="equal">
      <formula>"offen"</formula>
    </cfRule>
  </conditionalFormatting>
  <conditionalFormatting sqref="AB127">
    <cfRule type="cellIs" dxfId="1388" priority="1100" operator="equal">
      <formula>"offen"</formula>
    </cfRule>
  </conditionalFormatting>
  <conditionalFormatting sqref="AA144">
    <cfRule type="cellIs" dxfId="1387" priority="1030" operator="equal">
      <formula>"offen"</formula>
    </cfRule>
  </conditionalFormatting>
  <conditionalFormatting sqref="AA145">
    <cfRule type="cellIs" dxfId="1386" priority="1027" operator="equal">
      <formula>"offen"</formula>
    </cfRule>
  </conditionalFormatting>
  <conditionalFormatting sqref="AB148:AC148">
    <cfRule type="cellIs" dxfId="1385" priority="1019" operator="equal">
      <formula>"offen"</formula>
    </cfRule>
  </conditionalFormatting>
  <conditionalFormatting sqref="W129:X129 Z129:AA129">
    <cfRule type="cellIs" dxfId="1384" priority="1095" operator="equal">
      <formula>"offen"</formula>
    </cfRule>
  </conditionalFormatting>
  <conditionalFormatting sqref="AC129">
    <cfRule type="cellIs" dxfId="1383" priority="1091" operator="equal">
      <formula>"offen"</formula>
    </cfRule>
  </conditionalFormatting>
  <conditionalFormatting sqref="W131:X131 Z131:AA131">
    <cfRule type="cellIs" dxfId="1382" priority="1085" operator="equal">
      <formula>"offen"</formula>
    </cfRule>
  </conditionalFormatting>
  <conditionalFormatting sqref="AB131">
    <cfRule type="cellIs" dxfId="1381" priority="1082" operator="equal">
      <formula>"offen"</formula>
    </cfRule>
  </conditionalFormatting>
  <conditionalFormatting sqref="W132:X132">
    <cfRule type="cellIs" dxfId="1380" priority="1080" operator="equal">
      <formula>"offen"</formula>
    </cfRule>
  </conditionalFormatting>
  <conditionalFormatting sqref="AC132">
    <cfRule type="cellIs" dxfId="1379" priority="1075" operator="equal">
      <formula>"offen"</formula>
    </cfRule>
  </conditionalFormatting>
  <conditionalFormatting sqref="AB132">
    <cfRule type="cellIs" dxfId="1378" priority="1076" operator="equal">
      <formula>"offen"</formula>
    </cfRule>
  </conditionalFormatting>
  <conditionalFormatting sqref="AA132">
    <cfRule type="cellIs" dxfId="1377" priority="1077" operator="equal">
      <formula>"offen"</formula>
    </cfRule>
  </conditionalFormatting>
  <conditionalFormatting sqref="AC133">
    <cfRule type="cellIs" dxfId="1376" priority="1072" operator="equal">
      <formula>"offen"</formula>
    </cfRule>
  </conditionalFormatting>
  <conditionalFormatting sqref="AB133">
    <cfRule type="cellIs" dxfId="1375" priority="1073" operator="equal">
      <formula>"offen"</formula>
    </cfRule>
  </conditionalFormatting>
  <conditionalFormatting sqref="AA133">
    <cfRule type="cellIs" dxfId="1374" priority="1074" operator="equal">
      <formula>"offen"</formula>
    </cfRule>
  </conditionalFormatting>
  <conditionalFormatting sqref="Y128">
    <cfRule type="cellIs" dxfId="1373" priority="1069" operator="equal">
      <formula>"offen"</formula>
    </cfRule>
  </conditionalFormatting>
  <conditionalFormatting sqref="W128">
    <cfRule type="cellIs" dxfId="1372" priority="1071" operator="equal">
      <formula>"offen"</formula>
    </cfRule>
  </conditionalFormatting>
  <conditionalFormatting sqref="W135:X135 Z135">
    <cfRule type="cellIs" dxfId="1371" priority="1065" operator="equal">
      <formula>"offen"</formula>
    </cfRule>
  </conditionalFormatting>
  <conditionalFormatting sqref="AC135">
    <cfRule type="cellIs" dxfId="1370" priority="1060" operator="equal">
      <formula>"offen"</formula>
    </cfRule>
  </conditionalFormatting>
  <conditionalFormatting sqref="AB135">
    <cfRule type="cellIs" dxfId="1369" priority="1061" operator="equal">
      <formula>"offen"</formula>
    </cfRule>
  </conditionalFormatting>
  <conditionalFormatting sqref="AA135">
    <cfRule type="cellIs" dxfId="1368" priority="1062" operator="equal">
      <formula>"offen"</formula>
    </cfRule>
  </conditionalFormatting>
  <conditionalFormatting sqref="AC136">
    <cfRule type="cellIs" dxfId="1367" priority="1057" operator="equal">
      <formula>"offen"</formula>
    </cfRule>
  </conditionalFormatting>
  <conditionalFormatting sqref="AA136">
    <cfRule type="cellIs" dxfId="1366" priority="1059" operator="equal">
      <formula>"offen"</formula>
    </cfRule>
  </conditionalFormatting>
  <conditionalFormatting sqref="X137 Z137">
    <cfRule type="cellIs" dxfId="1365" priority="1055" operator="equal">
      <formula>"offen"</formula>
    </cfRule>
  </conditionalFormatting>
  <conditionalFormatting sqref="AB137">
    <cfRule type="cellIs" dxfId="1364" priority="1051" operator="equal">
      <formula>"offen"</formula>
    </cfRule>
  </conditionalFormatting>
  <conditionalFormatting sqref="AA137">
    <cfRule type="cellIs" dxfId="1363" priority="1052" operator="equal">
      <formula>"offen"</formula>
    </cfRule>
  </conditionalFormatting>
  <conditionalFormatting sqref="AC138">
    <cfRule type="cellIs" dxfId="1362" priority="1047" operator="equal">
      <formula>"offen"</formula>
    </cfRule>
  </conditionalFormatting>
  <conditionalFormatting sqref="AB138">
    <cfRule type="cellIs" dxfId="1361" priority="1048" operator="equal">
      <formula>"offen"</formula>
    </cfRule>
  </conditionalFormatting>
  <conditionalFormatting sqref="AA138">
    <cfRule type="cellIs" dxfId="1360" priority="1049" operator="equal">
      <formula>"offen"</formula>
    </cfRule>
  </conditionalFormatting>
  <conditionalFormatting sqref="AC139">
    <cfRule type="cellIs" dxfId="1359" priority="1044" operator="equal">
      <formula>"offen"</formula>
    </cfRule>
  </conditionalFormatting>
  <conditionalFormatting sqref="AB139">
    <cfRule type="cellIs" dxfId="1358" priority="1045" operator="equal">
      <formula>"offen"</formula>
    </cfRule>
  </conditionalFormatting>
  <conditionalFormatting sqref="AA139">
    <cfRule type="cellIs" dxfId="1357" priority="1046" operator="equal">
      <formula>"offen"</formula>
    </cfRule>
  </conditionalFormatting>
  <conditionalFormatting sqref="W140:X141">
    <cfRule type="cellIs" dxfId="1356" priority="1042" operator="equal">
      <formula>"offen"</formula>
    </cfRule>
  </conditionalFormatting>
  <conditionalFormatting sqref="Y140:Y141">
    <cfRule type="cellIs" dxfId="1355" priority="1040" operator="equal">
      <formula>"offen"</formula>
    </cfRule>
    <cfRule type="containsText" dxfId="1354" priority="1041" operator="containsText" text="kein KA">
      <formula>NOT(ISERROR(SEARCH("kein KA",Y140)))</formula>
    </cfRule>
  </conditionalFormatting>
  <conditionalFormatting sqref="AB140:AC141">
    <cfRule type="cellIs" dxfId="1353" priority="1037" operator="equal">
      <formula>"offen"</formula>
    </cfRule>
  </conditionalFormatting>
  <conditionalFormatting sqref="Z140:Z141">
    <cfRule type="cellIs" dxfId="1352" priority="1039" operator="equal">
      <formula>"offen"</formula>
    </cfRule>
  </conditionalFormatting>
  <conditionalFormatting sqref="AA140:AA141">
    <cfRule type="cellIs" dxfId="1351" priority="1038" operator="equal">
      <formula>"offen"</formula>
    </cfRule>
  </conditionalFormatting>
  <conditionalFormatting sqref="AC144">
    <cfRule type="cellIs" dxfId="1350" priority="1028" operator="equal">
      <formula>"offen"</formula>
    </cfRule>
  </conditionalFormatting>
  <conditionalFormatting sqref="Y161:Y162">
    <cfRule type="cellIs" dxfId="1349" priority="961" operator="equal">
      <formula>"offen"</formula>
    </cfRule>
    <cfRule type="containsText" dxfId="1348" priority="962" operator="containsText" text="kein KA">
      <formula>NOT(ISERROR(SEARCH("kein KA",Y161)))</formula>
    </cfRule>
  </conditionalFormatting>
  <conditionalFormatting sqref="AB144">
    <cfRule type="cellIs" dxfId="1347" priority="1029" operator="equal">
      <formula>"offen"</formula>
    </cfRule>
  </conditionalFormatting>
  <conditionalFormatting sqref="AB146:AC147">
    <cfRule type="cellIs" dxfId="1346" priority="1022" operator="equal">
      <formula>"offen"</formula>
    </cfRule>
  </conditionalFormatting>
  <conditionalFormatting sqref="AB145">
    <cfRule type="cellIs" dxfId="1345" priority="1026" operator="equal">
      <formula>"offen"</formula>
    </cfRule>
  </conditionalFormatting>
  <conditionalFormatting sqref="AA146:AA147">
    <cfRule type="cellIs" dxfId="1344" priority="1023" operator="equal">
      <formula>"offen"</formula>
    </cfRule>
  </conditionalFormatting>
  <conditionalFormatting sqref="AA148">
    <cfRule type="cellIs" dxfId="1343" priority="1020" operator="equal">
      <formula>"offen"</formula>
    </cfRule>
  </conditionalFormatting>
  <conditionalFormatting sqref="Z149">
    <cfRule type="cellIs" dxfId="1342" priority="1018" operator="equal">
      <formula>"offen"</formula>
    </cfRule>
  </conditionalFormatting>
  <conditionalFormatting sqref="AB149:AC149">
    <cfRule type="cellIs" dxfId="1341" priority="1015" operator="equal">
      <formula>"offen"</formula>
    </cfRule>
  </conditionalFormatting>
  <conditionalFormatting sqref="AA149">
    <cfRule type="cellIs" dxfId="1340" priority="1016" operator="equal">
      <formula>"offen"</formula>
    </cfRule>
  </conditionalFormatting>
  <conditionalFormatting sqref="Z150">
    <cfRule type="cellIs" dxfId="1339" priority="1014" operator="equal">
      <formula>"offen"</formula>
    </cfRule>
  </conditionalFormatting>
  <conditionalFormatting sqref="AB150:AC150">
    <cfRule type="cellIs" dxfId="1338" priority="1011" operator="equal">
      <formula>"offen"</formula>
    </cfRule>
  </conditionalFormatting>
  <conditionalFormatting sqref="AA150">
    <cfRule type="cellIs" dxfId="1337" priority="1012" operator="equal">
      <formula>"offen"</formula>
    </cfRule>
  </conditionalFormatting>
  <conditionalFormatting sqref="W151:X151">
    <cfRule type="cellIs" dxfId="1336" priority="1010" operator="equal">
      <formula>"offen"</formula>
    </cfRule>
  </conditionalFormatting>
  <conditionalFormatting sqref="Y151">
    <cfRule type="cellIs" dxfId="1335" priority="1008" operator="equal">
      <formula>"offen"</formula>
    </cfRule>
    <cfRule type="containsText" dxfId="1334" priority="1009" operator="containsText" text="kein KA">
      <formula>NOT(ISERROR(SEARCH("kein KA",Y151)))</formula>
    </cfRule>
  </conditionalFormatting>
  <conditionalFormatting sqref="Z151">
    <cfRule type="cellIs" dxfId="1333" priority="1007" operator="equal">
      <formula>"offen"</formula>
    </cfRule>
  </conditionalFormatting>
  <conditionalFormatting sqref="AB151:AC151">
    <cfRule type="cellIs" dxfId="1332" priority="1004" operator="equal">
      <formula>"offen"</formula>
    </cfRule>
  </conditionalFormatting>
  <conditionalFormatting sqref="AA151">
    <cfRule type="cellIs" dxfId="1331" priority="1005" operator="equal">
      <formula>"offen"</formula>
    </cfRule>
  </conditionalFormatting>
  <conditionalFormatting sqref="W152:X153">
    <cfRule type="cellIs" dxfId="1330" priority="1003" operator="equal">
      <formula>"offen"</formula>
    </cfRule>
  </conditionalFormatting>
  <conditionalFormatting sqref="Y152:Y153">
    <cfRule type="cellIs" dxfId="1329" priority="1001" operator="equal">
      <formula>"offen"</formula>
    </cfRule>
    <cfRule type="containsText" dxfId="1328" priority="1002" operator="containsText" text="kein KA">
      <formula>NOT(ISERROR(SEARCH("kein KA",Y152)))</formula>
    </cfRule>
  </conditionalFormatting>
  <conditionalFormatting sqref="AB161:AC162">
    <cfRule type="cellIs" dxfId="1327" priority="957" operator="equal">
      <formula>"offen"</formula>
    </cfRule>
  </conditionalFormatting>
  <conditionalFormatting sqref="AC163">
    <cfRule type="cellIs" dxfId="1326" priority="954" operator="equal">
      <formula>"offen"</formula>
    </cfRule>
  </conditionalFormatting>
  <conditionalFormatting sqref="AB163">
    <cfRule type="cellIs" dxfId="1325" priority="955" operator="equal">
      <formula>"offen"</formula>
    </cfRule>
  </conditionalFormatting>
  <conditionalFormatting sqref="Z152:Z153">
    <cfRule type="cellIs" dxfId="1324" priority="996" operator="equal">
      <formula>"offen"</formula>
    </cfRule>
  </conditionalFormatting>
  <conditionalFormatting sqref="AB152:AC153">
    <cfRule type="cellIs" dxfId="1323" priority="994" operator="equal">
      <formula>"offen"</formula>
    </cfRule>
  </conditionalFormatting>
  <conditionalFormatting sqref="AA152:AA153">
    <cfRule type="cellIs" dxfId="1322" priority="995" operator="equal">
      <formula>"offen"</formula>
    </cfRule>
  </conditionalFormatting>
  <conditionalFormatting sqref="T154:V155">
    <cfRule type="cellIs" dxfId="1321" priority="993" operator="equal">
      <formula>"offen"</formula>
    </cfRule>
  </conditionalFormatting>
  <conditionalFormatting sqref="T154:T155">
    <cfRule type="containsText" dxfId="1320" priority="992" operator="containsText" text="offen">
      <formula>NOT(ISERROR(SEARCH("offen",T154)))</formula>
    </cfRule>
  </conditionalFormatting>
  <conditionalFormatting sqref="W154:X155">
    <cfRule type="cellIs" dxfId="1319" priority="991" operator="equal">
      <formula>"offen"</formula>
    </cfRule>
  </conditionalFormatting>
  <conditionalFormatting sqref="Y154:Y155">
    <cfRule type="cellIs" dxfId="1318" priority="989" operator="equal">
      <formula>"offen"</formula>
    </cfRule>
    <cfRule type="containsText" dxfId="1317" priority="990" operator="containsText" text="kein KA">
      <formula>NOT(ISERROR(SEARCH("kein KA",Y154)))</formula>
    </cfRule>
  </conditionalFormatting>
  <conditionalFormatting sqref="Z154:Z155">
    <cfRule type="cellIs" dxfId="1316" priority="987" operator="equal">
      <formula>"offen"</formula>
    </cfRule>
  </conditionalFormatting>
  <conditionalFormatting sqref="AB154:AC155">
    <cfRule type="cellIs" dxfId="1315" priority="985" operator="equal">
      <formula>"offen"</formula>
    </cfRule>
  </conditionalFormatting>
  <conditionalFormatting sqref="AA154:AA155">
    <cfRule type="cellIs" dxfId="1314" priority="986" operator="equal">
      <formula>"offen"</formula>
    </cfRule>
  </conditionalFormatting>
  <conditionalFormatting sqref="AC156:AC157">
    <cfRule type="cellIs" dxfId="1313" priority="982" operator="equal">
      <formula>"offen"</formula>
    </cfRule>
  </conditionalFormatting>
  <conditionalFormatting sqref="AB156:AB157">
    <cfRule type="cellIs" dxfId="1312" priority="983" operator="equal">
      <formula>"offen"</formula>
    </cfRule>
  </conditionalFormatting>
  <conditionalFormatting sqref="AA156:AA157">
    <cfRule type="cellIs" dxfId="1311" priority="984" operator="equal">
      <formula>"offen"</formula>
    </cfRule>
  </conditionalFormatting>
  <conditionalFormatting sqref="W159:X159">
    <cfRule type="cellIs" dxfId="1310" priority="977" operator="equal">
      <formula>"offen"</formula>
    </cfRule>
  </conditionalFormatting>
  <conditionalFormatting sqref="AB158:AC158">
    <cfRule type="cellIs" dxfId="1309" priority="978" operator="equal">
      <formula>"offen"</formula>
    </cfRule>
  </conditionalFormatting>
  <conditionalFormatting sqref="AA158">
    <cfRule type="cellIs" dxfId="1308" priority="979" operator="equal">
      <formula>"offen"</formula>
    </cfRule>
  </conditionalFormatting>
  <conditionalFormatting sqref="Y159">
    <cfRule type="cellIs" dxfId="1307" priority="975" operator="equal">
      <formula>"offen"</formula>
    </cfRule>
    <cfRule type="containsText" dxfId="1306" priority="976" operator="containsText" text="kein KA">
      <formula>NOT(ISERROR(SEARCH("kein KA",Y159)))</formula>
    </cfRule>
  </conditionalFormatting>
  <conditionalFormatting sqref="Z159">
    <cfRule type="cellIs" dxfId="1305" priority="973" operator="equal">
      <formula>"offen"</formula>
    </cfRule>
  </conditionalFormatting>
  <conditionalFormatting sqref="AB159:AC159">
    <cfRule type="cellIs" dxfId="1304" priority="971" operator="equal">
      <formula>"offen"</formula>
    </cfRule>
  </conditionalFormatting>
  <conditionalFormatting sqref="AA159">
    <cfRule type="cellIs" dxfId="1303" priority="972" operator="equal">
      <formula>"offen"</formula>
    </cfRule>
  </conditionalFormatting>
  <conditionalFormatting sqref="W160:X160">
    <cfRule type="cellIs" dxfId="1302" priority="970" operator="equal">
      <formula>"offen"</formula>
    </cfRule>
  </conditionalFormatting>
  <conditionalFormatting sqref="Y160">
    <cfRule type="cellIs" dxfId="1301" priority="968" operator="equal">
      <formula>"offen"</formula>
    </cfRule>
    <cfRule type="containsText" dxfId="1300" priority="969" operator="containsText" text="kein KA">
      <formula>NOT(ISERROR(SEARCH("kein KA",Y160)))</formula>
    </cfRule>
  </conditionalFormatting>
  <conditionalFormatting sqref="Z160">
    <cfRule type="cellIs" dxfId="1299" priority="966" operator="equal">
      <formula>"offen"</formula>
    </cfRule>
  </conditionalFormatting>
  <conditionalFormatting sqref="AB160:AC160">
    <cfRule type="cellIs" dxfId="1298" priority="964" operator="equal">
      <formula>"offen"</formula>
    </cfRule>
  </conditionalFormatting>
  <conditionalFormatting sqref="AA160">
    <cfRule type="cellIs" dxfId="1297" priority="965" operator="equal">
      <formula>"offen"</formula>
    </cfRule>
  </conditionalFormatting>
  <conditionalFormatting sqref="W161:X162">
    <cfRule type="cellIs" dxfId="1296" priority="963" operator="equal">
      <formula>"offen"</formula>
    </cfRule>
  </conditionalFormatting>
  <conditionalFormatting sqref="Z161:Z162">
    <cfRule type="cellIs" dxfId="1295" priority="959" operator="equal">
      <formula>"offen"</formula>
    </cfRule>
  </conditionalFormatting>
  <conditionalFormatting sqref="AA161:AA162">
    <cfRule type="cellIs" dxfId="1294" priority="958" operator="equal">
      <formula>"offen"</formula>
    </cfRule>
  </conditionalFormatting>
  <conditionalFormatting sqref="AA163">
    <cfRule type="cellIs" dxfId="1293" priority="956" operator="equal">
      <formula>"offen"</formula>
    </cfRule>
  </conditionalFormatting>
  <conditionalFormatting sqref="AB168:AC169">
    <cfRule type="cellIs" dxfId="1292" priority="947" operator="equal">
      <formula>"offen"</formula>
    </cfRule>
  </conditionalFormatting>
  <conditionalFormatting sqref="AA168:AA169">
    <cfRule type="cellIs" dxfId="1291" priority="948" operator="equal">
      <formula>"offen"</formula>
    </cfRule>
  </conditionalFormatting>
  <conditionalFormatting sqref="T170:X170">
    <cfRule type="cellIs" dxfId="1290" priority="946" operator="equal">
      <formula>"offen"</formula>
    </cfRule>
  </conditionalFormatting>
  <conditionalFormatting sqref="Y170">
    <cfRule type="cellIs" dxfId="1289" priority="944" operator="equal">
      <formula>"offen"</formula>
    </cfRule>
    <cfRule type="containsText" dxfId="1288" priority="945" operator="containsText" text="kein KA">
      <formula>NOT(ISERROR(SEARCH("kein KA",Y170)))</formula>
    </cfRule>
  </conditionalFormatting>
  <conditionalFormatting sqref="T170">
    <cfRule type="containsText" dxfId="1287" priority="943" operator="containsText" text="offen">
      <formula>NOT(ISERROR(SEARCH("offen",T170)))</formula>
    </cfRule>
  </conditionalFormatting>
  <conditionalFormatting sqref="Z170">
    <cfRule type="cellIs" dxfId="1286" priority="941" operator="equal">
      <formula>"offen"</formula>
    </cfRule>
  </conditionalFormatting>
  <conditionalFormatting sqref="AB170:AC170">
    <cfRule type="cellIs" dxfId="1285" priority="938" operator="equal">
      <formula>"offen"</formula>
    </cfRule>
  </conditionalFormatting>
  <conditionalFormatting sqref="AA170">
    <cfRule type="cellIs" dxfId="1284" priority="939" operator="equal">
      <formula>"offen"</formula>
    </cfRule>
  </conditionalFormatting>
  <conditionalFormatting sqref="Z171:AA171">
    <cfRule type="cellIs" dxfId="1283" priority="937" operator="equal">
      <formula>"offen"</formula>
    </cfRule>
  </conditionalFormatting>
  <conditionalFormatting sqref="AB171 AB175:AB176">
    <cfRule type="cellIs" dxfId="1282" priority="936" operator="equal">
      <formula>"offen"</formula>
    </cfRule>
  </conditionalFormatting>
  <conditionalFormatting sqref="AC171">
    <cfRule type="cellIs" dxfId="1281" priority="935" operator="equal">
      <formula>"offen"</formula>
    </cfRule>
  </conditionalFormatting>
  <conditionalFormatting sqref="Z39">
    <cfRule type="cellIs" dxfId="1280" priority="894" operator="equal">
      <formula>"offen"</formula>
    </cfRule>
  </conditionalFormatting>
  <conditionalFormatting sqref="Y173">
    <cfRule type="cellIs" dxfId="1279" priority="831" operator="equal">
      <formula>"offen"</formula>
    </cfRule>
    <cfRule type="containsText" dxfId="1278" priority="832" operator="containsText" text="kein KA">
      <formula>NOT(ISERROR(SEARCH("kein KA",Y173)))</formula>
    </cfRule>
  </conditionalFormatting>
  <conditionalFormatting sqref="W40">
    <cfRule type="cellIs" dxfId="1277" priority="895" operator="equal">
      <formula>"offen"</formula>
    </cfRule>
  </conditionalFormatting>
  <conditionalFormatting sqref="AA175">
    <cfRule type="cellIs" dxfId="1276" priority="815" operator="equal">
      <formula>"offen"</formula>
    </cfRule>
  </conditionalFormatting>
  <conditionalFormatting sqref="AB172:AC172">
    <cfRule type="cellIs" dxfId="1275" priority="834" operator="equal">
      <formula>"offen"</formula>
    </cfRule>
  </conditionalFormatting>
  <conditionalFormatting sqref="AA172">
    <cfRule type="cellIs" dxfId="1274" priority="835" operator="equal">
      <formula>"offen"</formula>
    </cfRule>
  </conditionalFormatting>
  <conditionalFormatting sqref="W173:X173">
    <cfRule type="cellIs" dxfId="1273" priority="833" operator="equal">
      <formula>"offen"</formula>
    </cfRule>
  </conditionalFormatting>
  <conditionalFormatting sqref="Z173">
    <cfRule type="cellIs" dxfId="1272" priority="829" operator="equal">
      <formula>"offen"</formula>
    </cfRule>
  </conditionalFormatting>
  <conditionalFormatting sqref="AA173">
    <cfRule type="cellIs" dxfId="1271" priority="828" operator="equal">
      <formula>"offen"</formula>
    </cfRule>
  </conditionalFormatting>
  <conditionalFormatting sqref="W174:X174 Z174">
    <cfRule type="cellIs" dxfId="1270" priority="826" operator="equal">
      <formula>"offen"</formula>
    </cfRule>
  </conditionalFormatting>
  <conditionalFormatting sqref="AA174">
    <cfRule type="cellIs" dxfId="1269" priority="822" operator="equal">
      <formula>"offen"</formula>
    </cfRule>
  </conditionalFormatting>
  <conditionalFormatting sqref="W175:X175">
    <cfRule type="cellIs" dxfId="1268" priority="820" operator="equal">
      <formula>"offen"</formula>
    </cfRule>
  </conditionalFormatting>
  <conditionalFormatting sqref="Y175">
    <cfRule type="cellIs" dxfId="1267" priority="818" operator="equal">
      <formula>"offen"</formula>
    </cfRule>
    <cfRule type="containsText" dxfId="1266" priority="819" operator="containsText" text="kein KA">
      <formula>NOT(ISERROR(SEARCH("kein KA",Y175)))</formula>
    </cfRule>
  </conditionalFormatting>
  <conditionalFormatting sqref="Z175">
    <cfRule type="cellIs" dxfId="1265" priority="816" operator="equal">
      <formula>"offen"</formula>
    </cfRule>
  </conditionalFormatting>
  <conditionalFormatting sqref="Z177:AA177">
    <cfRule type="cellIs" dxfId="1264" priority="813" operator="equal">
      <formula>"offen"</formula>
    </cfRule>
  </conditionalFormatting>
  <conditionalFormatting sqref="T177">
    <cfRule type="containsText" dxfId="1263" priority="808" operator="containsText" text="offen">
      <formula>NOT(ISERROR(SEARCH("offen",T177)))</formula>
    </cfRule>
  </conditionalFormatting>
  <conditionalFormatting sqref="T183:V183">
    <cfRule type="cellIs" dxfId="1262" priority="783" operator="equal">
      <formula>"offen"</formula>
    </cfRule>
  </conditionalFormatting>
  <conditionalFormatting sqref="T183">
    <cfRule type="containsText" dxfId="1261" priority="782" operator="containsText" text="offen">
      <formula>NOT(ISERROR(SEARCH("offen",T183)))</formula>
    </cfRule>
  </conditionalFormatting>
  <conditionalFormatting sqref="AA183">
    <cfRule type="cellIs" dxfId="1260" priority="776" operator="equal">
      <formula>"offen"</formula>
    </cfRule>
  </conditionalFormatting>
  <conditionalFormatting sqref="W183:X183">
    <cfRule type="cellIs" dxfId="1259" priority="781" operator="equal">
      <formula>"offen"</formula>
    </cfRule>
  </conditionalFormatting>
  <conditionalFormatting sqref="Y183">
    <cfRule type="cellIs" dxfId="1258" priority="779" operator="equal">
      <formula>"offen"</formula>
    </cfRule>
    <cfRule type="containsText" dxfId="1257" priority="780" operator="containsText" text="kein KA">
      <formula>NOT(ISERROR(SEARCH("kein KA",Y183)))</formula>
    </cfRule>
  </conditionalFormatting>
  <conditionalFormatting sqref="Z183">
    <cfRule type="cellIs" dxfId="1256" priority="777" operator="equal">
      <formula>"offen"</formula>
    </cfRule>
  </conditionalFormatting>
  <conditionalFormatting sqref="T184:V184">
    <cfRule type="cellIs" dxfId="1255" priority="774" operator="equal">
      <formula>"offen"</formula>
    </cfRule>
  </conditionalFormatting>
  <conditionalFormatting sqref="T184">
    <cfRule type="containsText" dxfId="1254" priority="773" operator="containsText" text="offen">
      <formula>NOT(ISERROR(SEARCH("offen",T184)))</formula>
    </cfRule>
  </conditionalFormatting>
  <conditionalFormatting sqref="W184:X184 Z184">
    <cfRule type="cellIs" dxfId="1253" priority="772" operator="equal">
      <formula>"offen"</formula>
    </cfRule>
  </conditionalFormatting>
  <conditionalFormatting sqref="AA184">
    <cfRule type="cellIs" dxfId="1252" priority="768" operator="equal">
      <formula>"offen"</formula>
    </cfRule>
  </conditionalFormatting>
  <conditionalFormatting sqref="Z186:AA186 W186:X186">
    <cfRule type="cellIs" dxfId="1251" priority="766" operator="equal">
      <formula>"offen"</formula>
    </cfRule>
  </conditionalFormatting>
  <conditionalFormatting sqref="AA187">
    <cfRule type="cellIs" dxfId="1250" priority="759" operator="equal">
      <formula>"offen"</formula>
    </cfRule>
  </conditionalFormatting>
  <conditionalFormatting sqref="AA191">
    <cfRule type="cellIs" dxfId="1249" priority="753" operator="equal">
      <formula>"offen"</formula>
    </cfRule>
  </conditionalFormatting>
  <conditionalFormatting sqref="Z187">
    <cfRule type="cellIs" dxfId="1248" priority="760" operator="equal">
      <formula>"offen"</formula>
    </cfRule>
  </conditionalFormatting>
  <conditionalFormatting sqref="AA188">
    <cfRule type="cellIs" dxfId="1247" priority="757" operator="equal">
      <formula>"offen"</formula>
    </cfRule>
  </conditionalFormatting>
  <conditionalFormatting sqref="Z191">
    <cfRule type="cellIs" dxfId="1246" priority="754" operator="equal">
      <formula>"offen"</formula>
    </cfRule>
  </conditionalFormatting>
  <conditionalFormatting sqref="V192">
    <cfRule type="cellIs" dxfId="1245" priority="750" operator="equal">
      <formula>"offen"</formula>
    </cfRule>
  </conditionalFormatting>
  <conditionalFormatting sqref="W192:X192 Z192">
    <cfRule type="cellIs" dxfId="1244" priority="749" operator="equal">
      <formula>"offen"</formula>
    </cfRule>
  </conditionalFormatting>
  <conditionalFormatting sqref="T193:X193">
    <cfRule type="cellIs" dxfId="1243" priority="736" operator="equal">
      <formula>"offen"</formula>
    </cfRule>
  </conditionalFormatting>
  <conditionalFormatting sqref="Y193">
    <cfRule type="cellIs" dxfId="1242" priority="734" operator="equal">
      <formula>"offen"</formula>
    </cfRule>
    <cfRule type="containsText" dxfId="1241" priority="735" operator="containsText" text="kein KA">
      <formula>NOT(ISERROR(SEARCH("kein KA",Y193)))</formula>
    </cfRule>
  </conditionalFormatting>
  <conditionalFormatting sqref="T193">
    <cfRule type="containsText" dxfId="1240" priority="733" operator="containsText" text="offen">
      <formula>NOT(ISERROR(SEARCH("offen",T193)))</formula>
    </cfRule>
  </conditionalFormatting>
  <conditionalFormatting sqref="AA193">
    <cfRule type="cellIs" dxfId="1239" priority="730" operator="equal">
      <formula>"offen"</formula>
    </cfRule>
  </conditionalFormatting>
  <conditionalFormatting sqref="Z193">
    <cfRule type="cellIs" dxfId="1238" priority="731" operator="equal">
      <formula>"offen"</formula>
    </cfRule>
  </conditionalFormatting>
  <conditionalFormatting sqref="T194:V194">
    <cfRule type="cellIs" dxfId="1237" priority="728" operator="equal">
      <formula>"offen"</formula>
    </cfRule>
  </conditionalFormatting>
  <conditionalFormatting sqref="T194">
    <cfRule type="containsText" dxfId="1236" priority="727" operator="containsText" text="offen">
      <formula>NOT(ISERROR(SEARCH("offen",T194)))</formula>
    </cfRule>
  </conditionalFormatting>
  <conditionalFormatting sqref="AA194">
    <cfRule type="cellIs" dxfId="1235" priority="721" operator="equal">
      <formula>"offen"</formula>
    </cfRule>
  </conditionalFormatting>
  <conditionalFormatting sqref="W194:X194">
    <cfRule type="cellIs" dxfId="1234" priority="726" operator="equal">
      <formula>"offen"</formula>
    </cfRule>
  </conditionalFormatting>
  <conditionalFormatting sqref="Y194">
    <cfRule type="cellIs" dxfId="1233" priority="724" operator="equal">
      <formula>"offen"</formula>
    </cfRule>
    <cfRule type="containsText" dxfId="1232" priority="725" operator="containsText" text="kein KA">
      <formula>NOT(ISERROR(SEARCH("kein KA",Y194)))</formula>
    </cfRule>
  </conditionalFormatting>
  <conditionalFormatting sqref="Z194">
    <cfRule type="cellIs" dxfId="1231" priority="722" operator="equal">
      <formula>"offen"</formula>
    </cfRule>
  </conditionalFormatting>
  <conditionalFormatting sqref="T201:V201">
    <cfRule type="cellIs" dxfId="1230" priority="719" operator="equal">
      <formula>"offen"</formula>
    </cfRule>
  </conditionalFormatting>
  <conditionalFormatting sqref="T201">
    <cfRule type="containsText" dxfId="1229" priority="718" operator="containsText" text="offen">
      <formula>NOT(ISERROR(SEARCH("offen",T201)))</formula>
    </cfRule>
  </conditionalFormatting>
  <conditionalFormatting sqref="AA201">
    <cfRule type="cellIs" dxfId="1228" priority="712" operator="equal">
      <formula>"offen"</formula>
    </cfRule>
  </conditionalFormatting>
  <conditionalFormatting sqref="W201:X201">
    <cfRule type="cellIs" dxfId="1227" priority="717" operator="equal">
      <formula>"offen"</formula>
    </cfRule>
  </conditionalFormatting>
  <conditionalFormatting sqref="Y201">
    <cfRule type="cellIs" dxfId="1226" priority="715" operator="equal">
      <formula>"offen"</formula>
    </cfRule>
    <cfRule type="containsText" dxfId="1225" priority="716" operator="containsText" text="kein KA">
      <formula>NOT(ISERROR(SEARCH("kein KA",Y201)))</formula>
    </cfRule>
  </conditionalFormatting>
  <conditionalFormatting sqref="Z201">
    <cfRule type="cellIs" dxfId="1224" priority="713" operator="equal">
      <formula>"offen"</formula>
    </cfRule>
  </conditionalFormatting>
  <conditionalFormatting sqref="AA202">
    <cfRule type="cellIs" dxfId="1223" priority="710" operator="equal">
      <formula>"offen"</formula>
    </cfRule>
  </conditionalFormatting>
  <conditionalFormatting sqref="AA195:AA196">
    <cfRule type="cellIs" dxfId="1222" priority="702" operator="equal">
      <formula>"offen"</formula>
    </cfRule>
  </conditionalFormatting>
  <conditionalFormatting sqref="AB196:AC196">
    <cfRule type="cellIs" dxfId="1221" priority="701" operator="equal">
      <formula>"offen"</formula>
    </cfRule>
  </conditionalFormatting>
  <conditionalFormatting sqref="W195:X196">
    <cfRule type="cellIs" dxfId="1220" priority="707" operator="equal">
      <formula>"offen"</formula>
    </cfRule>
  </conditionalFormatting>
  <conditionalFormatting sqref="Y195:Y196">
    <cfRule type="cellIs" dxfId="1219" priority="705" operator="equal">
      <formula>"offen"</formula>
    </cfRule>
    <cfRule type="containsText" dxfId="1218" priority="706" operator="containsText" text="kein KA">
      <formula>NOT(ISERROR(SEARCH("kein KA",Y195)))</formula>
    </cfRule>
  </conditionalFormatting>
  <conditionalFormatting sqref="Z195:Z196">
    <cfRule type="cellIs" dxfId="1217" priority="703" operator="equal">
      <formula>"offen"</formula>
    </cfRule>
  </conditionalFormatting>
  <conditionalFormatting sqref="AA197">
    <cfRule type="cellIs" dxfId="1216" priority="695" operator="equal">
      <formula>"offen"</formula>
    </cfRule>
  </conditionalFormatting>
  <conditionalFormatting sqref="W197:X197">
    <cfRule type="cellIs" dxfId="1215" priority="700" operator="equal">
      <formula>"offen"</formula>
    </cfRule>
  </conditionalFormatting>
  <conditionalFormatting sqref="Y197">
    <cfRule type="cellIs" dxfId="1214" priority="698" operator="equal">
      <formula>"offen"</formula>
    </cfRule>
    <cfRule type="containsText" dxfId="1213" priority="699" operator="containsText" text="kein KA">
      <formula>NOT(ISERROR(SEARCH("kein KA",Y197)))</formula>
    </cfRule>
  </conditionalFormatting>
  <conditionalFormatting sqref="Z197">
    <cfRule type="cellIs" dxfId="1212" priority="696" operator="equal">
      <formula>"offen"</formula>
    </cfRule>
  </conditionalFormatting>
  <conditionalFormatting sqref="U198">
    <cfRule type="cellIs" dxfId="1211" priority="693" operator="equal">
      <formula>"offen"</formula>
    </cfRule>
  </conditionalFormatting>
  <conditionalFormatting sqref="W198:X198">
    <cfRule type="cellIs" dxfId="1210" priority="687" operator="equal">
      <formula>"offen"</formula>
    </cfRule>
  </conditionalFormatting>
  <conditionalFormatting sqref="Z198">
    <cfRule type="cellIs" dxfId="1209" priority="684" operator="equal">
      <formula>"offen"</formula>
    </cfRule>
  </conditionalFormatting>
  <conditionalFormatting sqref="AA198">
    <cfRule type="cellIs" dxfId="1208" priority="683" operator="equal">
      <formula>"offen"</formula>
    </cfRule>
  </conditionalFormatting>
  <conditionalFormatting sqref="W199:X199">
    <cfRule type="cellIs" dxfId="1207" priority="680" operator="equal">
      <formula>"offen"</formula>
    </cfRule>
  </conditionalFormatting>
  <conditionalFormatting sqref="Z199">
    <cfRule type="cellIs" dxfId="1206" priority="677" operator="equal">
      <formula>"offen"</formula>
    </cfRule>
  </conditionalFormatting>
  <conditionalFormatting sqref="AA199">
    <cfRule type="cellIs" dxfId="1205" priority="676" operator="equal">
      <formula>"offen"</formula>
    </cfRule>
  </conditionalFormatting>
  <conditionalFormatting sqref="V198">
    <cfRule type="cellIs" dxfId="1204" priority="673" operator="equal">
      <formula>"offen"</formula>
    </cfRule>
  </conditionalFormatting>
  <conditionalFormatting sqref="AA200">
    <cfRule type="cellIs" dxfId="1203" priority="672" operator="equal">
      <formula>"offen"</formula>
    </cfRule>
  </conditionalFormatting>
  <conditionalFormatting sqref="AA219:AA220">
    <cfRule type="cellIs" dxfId="1202" priority="590" operator="equal">
      <formula>"offen"</formula>
    </cfRule>
  </conditionalFormatting>
  <conditionalFormatting sqref="AA203">
    <cfRule type="cellIs" dxfId="1201" priority="666" operator="equal">
      <formula>"offen"</formula>
    </cfRule>
  </conditionalFormatting>
  <conditionalFormatting sqref="X204 Z204">
    <cfRule type="cellIs" dxfId="1200" priority="663" operator="equal">
      <formula>"offen"</formula>
    </cfRule>
  </conditionalFormatting>
  <conditionalFormatting sqref="Y214:Y217 Y198:Y200 Y190:Y192 Y186 Y184 Y177 Y174 Y226:Y234 Y237:Y241">
    <cfRule type="cellIs" dxfId="1199" priority="580" operator="equal">
      <formula>"offen"</formula>
    </cfRule>
    <cfRule type="containsText" dxfId="1198" priority="581" operator="containsText" text="kein KA">
      <formula>NOT(ISERROR(SEARCH("kein KA",Y174)))</formula>
    </cfRule>
  </conditionalFormatting>
  <conditionalFormatting sqref="AA204">
    <cfRule type="cellIs" dxfId="1197" priority="660" operator="equal">
      <formula>"offen"</formula>
    </cfRule>
  </conditionalFormatting>
  <conditionalFormatting sqref="AA206">
    <cfRule type="cellIs" dxfId="1196" priority="650" operator="equal">
      <formula>"offen"</formula>
    </cfRule>
  </conditionalFormatting>
  <conditionalFormatting sqref="AA207">
    <cfRule type="cellIs" dxfId="1195" priority="646" operator="equal">
      <formula>"offen"</formula>
    </cfRule>
  </conditionalFormatting>
  <conditionalFormatting sqref="AA208">
    <cfRule type="cellIs" dxfId="1194" priority="642" operator="equal">
      <formula>"offen"</formula>
    </cfRule>
  </conditionalFormatting>
  <conditionalFormatting sqref="T209:V209">
    <cfRule type="cellIs" dxfId="1193" priority="639" operator="equal">
      <formula>"offen"</formula>
    </cfRule>
  </conditionalFormatting>
  <conditionalFormatting sqref="T209">
    <cfRule type="containsText" dxfId="1192" priority="638" operator="containsText" text="offen">
      <formula>NOT(ISERROR(SEARCH("offen",T209)))</formula>
    </cfRule>
  </conditionalFormatting>
  <conditionalFormatting sqref="AA209">
    <cfRule type="cellIs" dxfId="1191" priority="632" operator="equal">
      <formula>"offen"</formula>
    </cfRule>
  </conditionalFormatting>
  <conditionalFormatting sqref="W209:X209">
    <cfRule type="cellIs" dxfId="1190" priority="637" operator="equal">
      <formula>"offen"</formula>
    </cfRule>
  </conditionalFormatting>
  <conditionalFormatting sqref="Y209">
    <cfRule type="cellIs" dxfId="1189" priority="635" operator="equal">
      <formula>"offen"</formula>
    </cfRule>
    <cfRule type="containsText" dxfId="1188" priority="636" operator="containsText" text="kein KA">
      <formula>NOT(ISERROR(SEARCH("kein KA",Y209)))</formula>
    </cfRule>
  </conditionalFormatting>
  <conditionalFormatting sqref="Z209">
    <cfRule type="cellIs" dxfId="1187" priority="633" operator="equal">
      <formula>"offen"</formula>
    </cfRule>
  </conditionalFormatting>
  <conditionalFormatting sqref="T210:V210">
    <cfRule type="cellIs" dxfId="1186" priority="630" operator="equal">
      <formula>"offen"</formula>
    </cfRule>
  </conditionalFormatting>
  <conditionalFormatting sqref="T210">
    <cfRule type="containsText" dxfId="1185" priority="629" operator="containsText" text="offen">
      <formula>NOT(ISERROR(SEARCH("offen",T210)))</formula>
    </cfRule>
  </conditionalFormatting>
  <conditionalFormatting sqref="AA210">
    <cfRule type="cellIs" dxfId="1184" priority="623" operator="equal">
      <formula>"offen"</formula>
    </cfRule>
  </conditionalFormatting>
  <conditionalFormatting sqref="W210:X210">
    <cfRule type="cellIs" dxfId="1183" priority="628" operator="equal">
      <formula>"offen"</formula>
    </cfRule>
  </conditionalFormatting>
  <conditionalFormatting sqref="Y210">
    <cfRule type="cellIs" dxfId="1182" priority="626" operator="equal">
      <formula>"offen"</formula>
    </cfRule>
    <cfRule type="containsText" dxfId="1181" priority="627" operator="containsText" text="kein KA">
      <formula>NOT(ISERROR(SEARCH("kein KA",Y210)))</formula>
    </cfRule>
  </conditionalFormatting>
  <conditionalFormatting sqref="Z210">
    <cfRule type="cellIs" dxfId="1180" priority="624" operator="equal">
      <formula>"offen"</formula>
    </cfRule>
  </conditionalFormatting>
  <conditionalFormatting sqref="AA211:AA212">
    <cfRule type="cellIs" dxfId="1179" priority="621" operator="equal">
      <formula>"offen"</formula>
    </cfRule>
  </conditionalFormatting>
  <conditionalFormatting sqref="AB212">
    <cfRule type="cellIs" dxfId="1178" priority="620" operator="equal">
      <formula>"offen"</formula>
    </cfRule>
  </conditionalFormatting>
  <conditionalFormatting sqref="AC212">
    <cfRule type="cellIs" dxfId="1177" priority="619" operator="equal">
      <formula>"offen"</formula>
    </cfRule>
  </conditionalFormatting>
  <conditionalFormatting sqref="AA213">
    <cfRule type="cellIs" dxfId="1176" priority="617" operator="equal">
      <formula>"offen"</formula>
    </cfRule>
  </conditionalFormatting>
  <conditionalFormatting sqref="Z214:Z216">
    <cfRule type="cellIs" dxfId="1175" priority="615" operator="equal">
      <formula>"offen"</formula>
    </cfRule>
  </conditionalFormatting>
  <conditionalFormatting sqref="AA214:AA216">
    <cfRule type="cellIs" dxfId="1174" priority="611" operator="equal">
      <formula>"offen"</formula>
    </cfRule>
  </conditionalFormatting>
  <conditionalFormatting sqref="Z217 W217:X217">
    <cfRule type="cellIs" dxfId="1173" priority="608" operator="equal">
      <formula>"offen"</formula>
    </cfRule>
  </conditionalFormatting>
  <conditionalFormatting sqref="AA241">
    <cfRule type="cellIs" dxfId="1172" priority="524" operator="equal">
      <formula>"offen"</formula>
    </cfRule>
  </conditionalFormatting>
  <conditionalFormatting sqref="AA242">
    <cfRule type="cellIs" dxfId="1171" priority="521" operator="equal">
      <formula>"offen"</formula>
    </cfRule>
  </conditionalFormatting>
  <conditionalFormatting sqref="T218:V220">
    <cfRule type="cellIs" dxfId="1170" priority="597" operator="equal">
      <formula>"offen"</formula>
    </cfRule>
  </conditionalFormatting>
  <conditionalFormatting sqref="T218:T220">
    <cfRule type="containsText" dxfId="1169" priority="596" operator="containsText" text="offen">
      <formula>NOT(ISERROR(SEARCH("offen",T218)))</formula>
    </cfRule>
  </conditionalFormatting>
  <conditionalFormatting sqref="AB219:AC220">
    <cfRule type="cellIs" dxfId="1168" priority="589" operator="equal">
      <formula>"offen"</formula>
    </cfRule>
  </conditionalFormatting>
  <conditionalFormatting sqref="W218:X220">
    <cfRule type="cellIs" dxfId="1167" priority="595" operator="equal">
      <formula>"offen"</formula>
    </cfRule>
  </conditionalFormatting>
  <conditionalFormatting sqref="Y218:Y220">
    <cfRule type="cellIs" dxfId="1166" priority="593" operator="equal">
      <formula>"offen"</formula>
    </cfRule>
    <cfRule type="containsText" dxfId="1165" priority="594" operator="containsText" text="kein KA">
      <formula>NOT(ISERROR(SEARCH("kein KA",Y218)))</formula>
    </cfRule>
  </conditionalFormatting>
  <conditionalFormatting sqref="Z218:Z220">
    <cfRule type="cellIs" dxfId="1164" priority="591" operator="equal">
      <formula>"offen"</formula>
    </cfRule>
  </conditionalFormatting>
  <conditionalFormatting sqref="Z221">
    <cfRule type="cellIs" dxfId="1163" priority="588" operator="equal">
      <formula>"offen"</formula>
    </cfRule>
  </conditionalFormatting>
  <conditionalFormatting sqref="AA221:AA222">
    <cfRule type="cellIs" dxfId="1162" priority="586" operator="equal">
      <formula>"offen"</formula>
    </cfRule>
  </conditionalFormatting>
  <conditionalFormatting sqref="W111 W70 W46:W47">
    <cfRule type="cellIs" dxfId="1161" priority="583" operator="equal">
      <formula>"offen"</formula>
    </cfRule>
  </conditionalFormatting>
  <conditionalFormatting sqref="X111 X70 X46:X47">
    <cfRule type="cellIs" dxfId="1160" priority="582" operator="equal">
      <formula>"offen"</formula>
    </cfRule>
  </conditionalFormatting>
  <conditionalFormatting sqref="Z70">
    <cfRule type="cellIs" dxfId="1159" priority="579" operator="equal">
      <formula>"offen"</formula>
    </cfRule>
  </conditionalFormatting>
  <conditionalFormatting sqref="AB164 AB134 AB128 AB126">
    <cfRule type="cellIs" dxfId="1158" priority="577" operator="equal">
      <formula>"offen"</formula>
    </cfRule>
  </conditionalFormatting>
  <conditionalFormatting sqref="AC164 AC134 AC128 AC126 AC177 AC190 AC192 AC217">
    <cfRule type="cellIs" dxfId="1157" priority="576" operator="equal">
      <formula>"offen"</formula>
    </cfRule>
  </conditionalFormatting>
  <conditionalFormatting sqref="AA224">
    <cfRule type="cellIs" dxfId="1156" priority="574" operator="equal">
      <formula>"offen"</formula>
    </cfRule>
  </conditionalFormatting>
  <conditionalFormatting sqref="AA225">
    <cfRule type="cellIs" dxfId="1155" priority="571" operator="equal">
      <formula>"offen"</formula>
    </cfRule>
  </conditionalFormatting>
  <conditionalFormatting sqref="AA231">
    <cfRule type="cellIs" dxfId="1154" priority="563" operator="equal">
      <formula>"offen"</formula>
    </cfRule>
  </conditionalFormatting>
  <conditionalFormatting sqref="AA228">
    <cfRule type="cellIs" dxfId="1153" priority="566" operator="equal">
      <formula>"offen"</formula>
    </cfRule>
  </conditionalFormatting>
  <conditionalFormatting sqref="Z232:Z233">
    <cfRule type="cellIs" dxfId="1152" priority="553" operator="equal">
      <formula>"offen"</formula>
    </cfRule>
  </conditionalFormatting>
  <conditionalFormatting sqref="AA232:AA233">
    <cfRule type="cellIs" dxfId="1151" priority="552" operator="equal">
      <formula>"offen"</formula>
    </cfRule>
  </conditionalFormatting>
  <conditionalFormatting sqref="AA234">
    <cfRule type="cellIs" dxfId="1150" priority="549" operator="equal">
      <formula>"offen"</formula>
    </cfRule>
  </conditionalFormatting>
  <conditionalFormatting sqref="W235:X235 Z235">
    <cfRule type="cellIs" dxfId="1149" priority="539" operator="equal">
      <formula>"offen"</formula>
    </cfRule>
  </conditionalFormatting>
  <conditionalFormatting sqref="Y235">
    <cfRule type="cellIs" dxfId="1148" priority="537" operator="equal">
      <formula>"offen"</formula>
    </cfRule>
    <cfRule type="containsText" dxfId="1147" priority="538" operator="containsText" text="kein KA">
      <formula>NOT(ISERROR(SEARCH("kein KA",Y235)))</formula>
    </cfRule>
  </conditionalFormatting>
  <conditionalFormatting sqref="AA235">
    <cfRule type="cellIs" dxfId="1146" priority="536" operator="equal">
      <formula>"offen"</formula>
    </cfRule>
  </conditionalFormatting>
  <conditionalFormatting sqref="AA237:AA239">
    <cfRule type="cellIs" dxfId="1145" priority="527" operator="equal">
      <formula>"offen"</formula>
    </cfRule>
  </conditionalFormatting>
  <conditionalFormatting sqref="W236:X236 Z236">
    <cfRule type="cellIs" dxfId="1144" priority="533" operator="equal">
      <formula>"offen"</formula>
    </cfRule>
  </conditionalFormatting>
  <conditionalFormatting sqref="Y236">
    <cfRule type="cellIs" dxfId="1143" priority="531" operator="equal">
      <formula>"offen"</formula>
    </cfRule>
    <cfRule type="containsText" dxfId="1142" priority="532" operator="containsText" text="kein KA">
      <formula>NOT(ISERROR(SEARCH("kein KA",Y236)))</formula>
    </cfRule>
  </conditionalFormatting>
  <conditionalFormatting sqref="AA236">
    <cfRule type="cellIs" dxfId="1141" priority="530" operator="equal">
      <formula>"offen"</formula>
    </cfRule>
  </conditionalFormatting>
  <conditionalFormatting sqref="AB238:AC239">
    <cfRule type="cellIs" dxfId="1140" priority="525" operator="equal">
      <formula>"offen"</formula>
    </cfRule>
  </conditionalFormatting>
  <conditionalFormatting sqref="W243:X243 Z243">
    <cfRule type="cellIs" dxfId="1139" priority="518" operator="equal">
      <formula>"offen"</formula>
    </cfRule>
  </conditionalFormatting>
  <conditionalFormatting sqref="Y243">
    <cfRule type="cellIs" dxfId="1138" priority="516" operator="equal">
      <formula>"offen"</formula>
    </cfRule>
    <cfRule type="containsText" dxfId="1137" priority="517" operator="containsText" text="kein KA">
      <formula>NOT(ISERROR(SEARCH("kein KA",Y243)))</formula>
    </cfRule>
  </conditionalFormatting>
  <conditionalFormatting sqref="AA243">
    <cfRule type="cellIs" dxfId="1136" priority="515" operator="equal">
      <formula>"offen"</formula>
    </cfRule>
  </conditionalFormatting>
  <conditionalFormatting sqref="T87:T89">
    <cfRule type="cellIs" dxfId="1135" priority="486" operator="equal">
      <formula>"offen"</formula>
    </cfRule>
  </conditionalFormatting>
  <conditionalFormatting sqref="T87:T89">
    <cfRule type="containsText" dxfId="1134" priority="485" operator="containsText" text="offen">
      <formula>NOT(ISERROR(SEARCH("offen",T87)))</formula>
    </cfRule>
  </conditionalFormatting>
  <conditionalFormatting sqref="T90">
    <cfRule type="cellIs" dxfId="1133" priority="484" operator="equal">
      <formula>"offen"</formula>
    </cfRule>
  </conditionalFormatting>
  <conditionalFormatting sqref="T90">
    <cfRule type="containsText" dxfId="1132" priority="483" operator="containsText" text="offen">
      <formula>NOT(ISERROR(SEARCH("offen",T90)))</formula>
    </cfRule>
  </conditionalFormatting>
  <conditionalFormatting sqref="T92">
    <cfRule type="cellIs" dxfId="1131" priority="482" operator="equal">
      <formula>"offen"</formula>
    </cfRule>
  </conditionalFormatting>
  <conditionalFormatting sqref="T92">
    <cfRule type="containsText" dxfId="1130" priority="481" operator="containsText" text="offen">
      <formula>NOT(ISERROR(SEARCH("offen",T92)))</formula>
    </cfRule>
  </conditionalFormatting>
  <conditionalFormatting sqref="T94">
    <cfRule type="cellIs" dxfId="1129" priority="480" operator="equal">
      <formula>"offen"</formula>
    </cfRule>
  </conditionalFormatting>
  <conditionalFormatting sqref="T94">
    <cfRule type="containsText" dxfId="1128" priority="479" operator="containsText" text="offen">
      <formula>NOT(ISERROR(SEARCH("offen",T94)))</formula>
    </cfRule>
  </conditionalFormatting>
  <conditionalFormatting sqref="C131 C129">
    <cfRule type="cellIs" dxfId="1127" priority="473" operator="equal">
      <formula>"offen"</formula>
    </cfRule>
  </conditionalFormatting>
  <conditionalFormatting sqref="Z10:AC10">
    <cfRule type="cellIs" dxfId="1126" priority="451" operator="equal">
      <formula>"offen"</formula>
    </cfRule>
  </conditionalFormatting>
  <conditionalFormatting sqref="C9">
    <cfRule type="cellIs" dxfId="1125" priority="463" operator="equal">
      <formula>"offen"</formula>
    </cfRule>
  </conditionalFormatting>
  <conditionalFormatting sqref="E198:G199 E135:G136">
    <cfRule type="cellIs" dxfId="1124" priority="462" operator="equal">
      <formula>"offen"</formula>
    </cfRule>
  </conditionalFormatting>
  <conditionalFormatting sqref="B6">
    <cfRule type="cellIs" dxfId="1123" priority="460" operator="equal">
      <formula>"offen"</formula>
    </cfRule>
  </conditionalFormatting>
  <conditionalFormatting sqref="Z189 AE189:AG189 AI189:AJ189">
    <cfRule type="cellIs" dxfId="1122" priority="457" operator="equal">
      <formula>"offen"</formula>
    </cfRule>
  </conditionalFormatting>
  <conditionalFormatting sqref="T189">
    <cfRule type="containsText" dxfId="1121" priority="456" operator="containsText" text="offen">
      <formula>NOT(ISERROR(SEARCH("offen",T189)))</formula>
    </cfRule>
  </conditionalFormatting>
  <conditionalFormatting sqref="Y189">
    <cfRule type="cellIs" dxfId="1120" priority="454" operator="equal">
      <formula>"offen"</formula>
    </cfRule>
    <cfRule type="containsText" dxfId="1119" priority="455" operator="containsText" text="kein KA">
      <formula>NOT(ISERROR(SEARCH("kein KA",Y189)))</formula>
    </cfRule>
  </conditionalFormatting>
  <conditionalFormatting sqref="Y12">
    <cfRule type="cellIs" dxfId="1118" priority="449" operator="equal">
      <formula>"offen"</formula>
    </cfRule>
    <cfRule type="containsText" dxfId="1117" priority="450" operator="containsText" text="kein KA">
      <formula>NOT(ISERROR(SEARCH("kein KA",Y12)))</formula>
    </cfRule>
  </conditionalFormatting>
  <conditionalFormatting sqref="AB12:AC12">
    <cfRule type="cellIs" dxfId="1116" priority="448" operator="equal">
      <formula>"offen"</formula>
    </cfRule>
  </conditionalFormatting>
  <conditionalFormatting sqref="Y13:Y14">
    <cfRule type="cellIs" dxfId="1115" priority="446" operator="equal">
      <formula>"offen"</formula>
    </cfRule>
    <cfRule type="containsText" dxfId="1114" priority="447" operator="containsText" text="kein KA">
      <formula>NOT(ISERROR(SEARCH("kein KA",Y13)))</formula>
    </cfRule>
  </conditionalFormatting>
  <conditionalFormatting sqref="AB13:AC14">
    <cfRule type="cellIs" dxfId="1113" priority="445" operator="equal">
      <formula>"offen"</formula>
    </cfRule>
  </conditionalFormatting>
  <conditionalFormatting sqref="AB11:AC11">
    <cfRule type="cellIs" dxfId="1112" priority="444" operator="equal">
      <formula>"offen"</formula>
    </cfRule>
  </conditionalFormatting>
  <conditionalFormatting sqref="Y15">
    <cfRule type="cellIs" dxfId="1111" priority="442" operator="equal">
      <formula>"offen"</formula>
    </cfRule>
    <cfRule type="containsText" dxfId="1110" priority="443" operator="containsText" text="kein KA">
      <formula>NOT(ISERROR(SEARCH("kein KA",Y15)))</formula>
    </cfRule>
  </conditionalFormatting>
  <conditionalFormatting sqref="AA15">
    <cfRule type="cellIs" dxfId="1109" priority="440" operator="equal">
      <formula>"offen"</formula>
    </cfRule>
  </conditionalFormatting>
  <conditionalFormatting sqref="AB15:AC15">
    <cfRule type="cellIs" dxfId="1108" priority="439" operator="equal">
      <formula>"offen"</formula>
    </cfRule>
  </conditionalFormatting>
  <conditionalFormatting sqref="Z16">
    <cfRule type="cellIs" dxfId="1107" priority="438" operator="equal">
      <formula>"offen"</formula>
    </cfRule>
  </conditionalFormatting>
  <conditionalFormatting sqref="Y16">
    <cfRule type="cellIs" dxfId="1106" priority="436" operator="equal">
      <formula>"offen"</formula>
    </cfRule>
    <cfRule type="containsText" dxfId="1105" priority="437" operator="containsText" text="kein KA">
      <formula>NOT(ISERROR(SEARCH("kein KA",Y16)))</formula>
    </cfRule>
  </conditionalFormatting>
  <conditionalFormatting sqref="AA16">
    <cfRule type="cellIs" dxfId="1104" priority="435" operator="equal">
      <formula>"offen"</formula>
    </cfRule>
  </conditionalFormatting>
  <conditionalFormatting sqref="AB16:AC16">
    <cfRule type="cellIs" dxfId="1103" priority="434" operator="equal">
      <formula>"offen"</formula>
    </cfRule>
  </conditionalFormatting>
  <conditionalFormatting sqref="Y17">
    <cfRule type="cellIs" dxfId="1102" priority="432" operator="equal">
      <formula>"offen"</formula>
    </cfRule>
    <cfRule type="containsText" dxfId="1101" priority="433" operator="containsText" text="kein KA">
      <formula>NOT(ISERROR(SEARCH("kein KA",Y17)))</formula>
    </cfRule>
  </conditionalFormatting>
  <conditionalFormatting sqref="Y19">
    <cfRule type="cellIs" dxfId="1100" priority="430" operator="equal">
      <formula>"offen"</formula>
    </cfRule>
    <cfRule type="containsText" dxfId="1099" priority="431" operator="containsText" text="kein KA">
      <formula>NOT(ISERROR(SEARCH("kein KA",Y19)))</formula>
    </cfRule>
  </conditionalFormatting>
  <conditionalFormatting sqref="Y18">
    <cfRule type="cellIs" dxfId="1098" priority="428" operator="equal">
      <formula>"offen"</formula>
    </cfRule>
    <cfRule type="containsText" dxfId="1097" priority="429" operator="containsText" text="kein KA">
      <formula>NOT(ISERROR(SEARCH("kein KA",Y18)))</formula>
    </cfRule>
  </conditionalFormatting>
  <conditionalFormatting sqref="AA17">
    <cfRule type="cellIs" dxfId="1096" priority="427" operator="equal">
      <formula>"offen"</formula>
    </cfRule>
  </conditionalFormatting>
  <conditionalFormatting sqref="AB17:AC17">
    <cfRule type="cellIs" dxfId="1095" priority="426" operator="equal">
      <formula>"offen"</formula>
    </cfRule>
  </conditionalFormatting>
  <conditionalFormatting sqref="AA18">
    <cfRule type="cellIs" dxfId="1094" priority="425" operator="equal">
      <formula>"offen"</formula>
    </cfRule>
  </conditionalFormatting>
  <conditionalFormatting sqref="AB18:AC18">
    <cfRule type="cellIs" dxfId="1093" priority="424" operator="equal">
      <formula>"offen"</formula>
    </cfRule>
  </conditionalFormatting>
  <conditionalFormatting sqref="AA20">
    <cfRule type="cellIs" dxfId="1092" priority="422" operator="equal">
      <formula>"offen"</formula>
    </cfRule>
  </conditionalFormatting>
  <conditionalFormatting sqref="AB20:AC20">
    <cfRule type="cellIs" dxfId="1091" priority="421" operator="equal">
      <formula>"offen"</formula>
    </cfRule>
  </conditionalFormatting>
  <conditionalFormatting sqref="AA21:AA22">
    <cfRule type="cellIs" dxfId="1090" priority="419" operator="equal">
      <formula>"offen"</formula>
    </cfRule>
  </conditionalFormatting>
  <conditionalFormatting sqref="AB21:AC22">
    <cfRule type="cellIs" dxfId="1089" priority="418" operator="equal">
      <formula>"offen"</formula>
    </cfRule>
  </conditionalFormatting>
  <conditionalFormatting sqref="Y20:Y22">
    <cfRule type="cellIs" dxfId="1088" priority="416" operator="equal">
      <formula>"offen"</formula>
    </cfRule>
    <cfRule type="containsText" dxfId="1087" priority="417" operator="containsText" text="kein KA">
      <formula>NOT(ISERROR(SEARCH("kein KA",Y20)))</formula>
    </cfRule>
  </conditionalFormatting>
  <conditionalFormatting sqref="Y23">
    <cfRule type="cellIs" dxfId="1086" priority="412" operator="equal">
      <formula>"offen"</formula>
    </cfRule>
    <cfRule type="containsText" dxfId="1085" priority="413" operator="containsText" text="kein KA">
      <formula>NOT(ISERROR(SEARCH("kein KA",Y23)))</formula>
    </cfRule>
  </conditionalFormatting>
  <conditionalFormatting sqref="Z23:AA23">
    <cfRule type="cellIs" dxfId="1084" priority="411" operator="equal">
      <formula>"offen"</formula>
    </cfRule>
  </conditionalFormatting>
  <conditionalFormatting sqref="AB23:AC23">
    <cfRule type="cellIs" dxfId="1083" priority="409" operator="equal">
      <formula>"offen"</formula>
    </cfRule>
  </conditionalFormatting>
  <conditionalFormatting sqref="Y24:Y27">
    <cfRule type="cellIs" dxfId="1082" priority="405" operator="equal">
      <formula>"offen"</formula>
    </cfRule>
    <cfRule type="containsText" dxfId="1081" priority="406" operator="containsText" text="kein KA">
      <formula>NOT(ISERROR(SEARCH("kein KA",Y24)))</formula>
    </cfRule>
  </conditionalFormatting>
  <conditionalFormatting sqref="Z28:Z29">
    <cfRule type="cellIs" dxfId="1080" priority="403" operator="equal">
      <formula>"offen"</formula>
    </cfRule>
  </conditionalFormatting>
  <conditionalFormatting sqref="AD24">
    <cfRule type="cellIs" dxfId="1079" priority="399" operator="equal">
      <formula>"offen"</formula>
    </cfRule>
  </conditionalFormatting>
  <conditionalFormatting sqref="AA25">
    <cfRule type="cellIs" dxfId="1078" priority="396" operator="equal">
      <formula>"offen"</formula>
    </cfRule>
  </conditionalFormatting>
  <conditionalFormatting sqref="AB25:AC25">
    <cfRule type="cellIs" dxfId="1077" priority="395" operator="equal">
      <formula>"offen"</formula>
    </cfRule>
  </conditionalFormatting>
  <conditionalFormatting sqref="AD32">
    <cfRule type="cellIs" dxfId="1076" priority="394" operator="equal">
      <formula>"offen"</formula>
    </cfRule>
  </conditionalFormatting>
  <conditionalFormatting sqref="AA32">
    <cfRule type="cellIs" dxfId="1075" priority="393" operator="equal">
      <formula>"offen"</formula>
    </cfRule>
  </conditionalFormatting>
  <conditionalFormatting sqref="AB32:AC32">
    <cfRule type="cellIs" dxfId="1074" priority="392" operator="equal">
      <formula>"offen"</formula>
    </cfRule>
  </conditionalFormatting>
  <conditionalFormatting sqref="AA28:AA29">
    <cfRule type="cellIs" dxfId="1073" priority="390" operator="equal">
      <formula>"offen"</formula>
    </cfRule>
  </conditionalFormatting>
  <conditionalFormatting sqref="AB28:AC29">
    <cfRule type="cellIs" dxfId="1072" priority="389" operator="equal">
      <formula>"offen"</formula>
    </cfRule>
  </conditionalFormatting>
  <conditionalFormatting sqref="Y30:Y31">
    <cfRule type="cellIs" dxfId="1071" priority="387" operator="equal">
      <formula>"offen"</formula>
    </cfRule>
    <cfRule type="containsText" dxfId="1070" priority="388" operator="containsText" text="kein KA">
      <formula>NOT(ISERROR(SEARCH("kein KA",Y30)))</formula>
    </cfRule>
  </conditionalFormatting>
  <conditionalFormatting sqref="Y28:Y29">
    <cfRule type="cellIs" dxfId="1069" priority="385" operator="equal">
      <formula>"offen"</formula>
    </cfRule>
    <cfRule type="containsText" dxfId="1068" priority="386" operator="containsText" text="kein KA">
      <formula>NOT(ISERROR(SEARCH("kein KA",Y28)))</formula>
    </cfRule>
  </conditionalFormatting>
  <conditionalFormatting sqref="Y32">
    <cfRule type="cellIs" dxfId="1067" priority="383" operator="equal">
      <formula>"offen"</formula>
    </cfRule>
    <cfRule type="containsText" dxfId="1066" priority="384" operator="containsText" text="kein KA">
      <formula>NOT(ISERROR(SEARCH("kein KA",Y32)))</formula>
    </cfRule>
  </conditionalFormatting>
  <conditionalFormatting sqref="AB33:AC33">
    <cfRule type="cellIs" dxfId="1065" priority="382" operator="equal">
      <formula>"offen"</formula>
    </cfRule>
  </conditionalFormatting>
  <conditionalFormatting sqref="Z33:AA33">
    <cfRule type="cellIs" dxfId="1064" priority="381" operator="equal">
      <formula>"offen"</formula>
    </cfRule>
  </conditionalFormatting>
  <conditionalFormatting sqref="Y33">
    <cfRule type="cellIs" dxfId="1063" priority="379" operator="equal">
      <formula>"offen"</formula>
    </cfRule>
    <cfRule type="containsText" dxfId="1062" priority="380" operator="containsText" text="kein KA">
      <formula>NOT(ISERROR(SEARCH("kein KA",Y33)))</formula>
    </cfRule>
  </conditionalFormatting>
  <conditionalFormatting sqref="Y34:Y41">
    <cfRule type="cellIs" dxfId="1061" priority="377" operator="equal">
      <formula>"offen"</formula>
    </cfRule>
    <cfRule type="containsText" dxfId="1060" priority="378" operator="containsText" text="kein KA">
      <formula>NOT(ISERROR(SEARCH("kein KA",Y34)))</formula>
    </cfRule>
  </conditionalFormatting>
  <conditionalFormatting sqref="AD25 AD27:AD31">
    <cfRule type="cellIs" dxfId="1059" priority="373" operator="equal">
      <formula>"offen"</formula>
    </cfRule>
  </conditionalFormatting>
  <conditionalFormatting sqref="AA34">
    <cfRule type="cellIs" dxfId="1058" priority="372" operator="equal">
      <formula>"offen"</formula>
    </cfRule>
  </conditionalFormatting>
  <conditionalFormatting sqref="AB34:AC34">
    <cfRule type="cellIs" dxfId="1057" priority="371" operator="equal">
      <formula>"offen"</formula>
    </cfRule>
  </conditionalFormatting>
  <conditionalFormatting sqref="AD35">
    <cfRule type="cellIs" dxfId="1056" priority="370" operator="equal">
      <formula>"offen"</formula>
    </cfRule>
  </conditionalFormatting>
  <conditionalFormatting sqref="AA35">
    <cfRule type="cellIs" dxfId="1055" priority="369" operator="equal">
      <formula>"offen"</formula>
    </cfRule>
  </conditionalFormatting>
  <conditionalFormatting sqref="AB35:AC35">
    <cfRule type="cellIs" dxfId="1054" priority="368" operator="equal">
      <formula>"offen"</formula>
    </cfRule>
  </conditionalFormatting>
  <conditionalFormatting sqref="AD36">
    <cfRule type="cellIs" dxfId="1053" priority="367" operator="equal">
      <formula>"offen"</formula>
    </cfRule>
  </conditionalFormatting>
  <conditionalFormatting sqref="AA36">
    <cfRule type="cellIs" dxfId="1052" priority="366" operator="equal">
      <formula>"offen"</formula>
    </cfRule>
  </conditionalFormatting>
  <conditionalFormatting sqref="AB36:AC36">
    <cfRule type="cellIs" dxfId="1051" priority="365" operator="equal">
      <formula>"offen"</formula>
    </cfRule>
  </conditionalFormatting>
  <conditionalFormatting sqref="Z43">
    <cfRule type="cellIs" dxfId="1050" priority="362" operator="equal">
      <formula>"offen"</formula>
    </cfRule>
  </conditionalFormatting>
  <conditionalFormatting sqref="Y43:Y45 Y48:Y51">
    <cfRule type="cellIs" dxfId="1049" priority="360" operator="equal">
      <formula>"offen"</formula>
    </cfRule>
    <cfRule type="containsText" dxfId="1048" priority="361" operator="containsText" text="kein KA">
      <formula>NOT(ISERROR(SEARCH("kein KA",Y43)))</formula>
    </cfRule>
  </conditionalFormatting>
  <conditionalFormatting sqref="AD43">
    <cfRule type="cellIs" dxfId="1047" priority="359" operator="equal">
      <formula>"offen"</formula>
    </cfRule>
  </conditionalFormatting>
  <conditionalFormatting sqref="AA43">
    <cfRule type="cellIs" dxfId="1046" priority="358" operator="equal">
      <formula>"offen"</formula>
    </cfRule>
  </conditionalFormatting>
  <conditionalFormatting sqref="AB43:AC43">
    <cfRule type="cellIs" dxfId="1045" priority="357" operator="equal">
      <formula>"offen"</formula>
    </cfRule>
  </conditionalFormatting>
  <conditionalFormatting sqref="AD37">
    <cfRule type="cellIs" dxfId="1044" priority="356" operator="equal">
      <formula>"offen"</formula>
    </cfRule>
  </conditionalFormatting>
  <conditionalFormatting sqref="AA37">
    <cfRule type="cellIs" dxfId="1043" priority="355" operator="equal">
      <formula>"offen"</formula>
    </cfRule>
  </conditionalFormatting>
  <conditionalFormatting sqref="AB37:AC37">
    <cfRule type="cellIs" dxfId="1042" priority="354" operator="equal">
      <formula>"offen"</formula>
    </cfRule>
  </conditionalFormatting>
  <conditionalFormatting sqref="AD38">
    <cfRule type="cellIs" dxfId="1041" priority="353" operator="equal">
      <formula>"offen"</formula>
    </cfRule>
  </conditionalFormatting>
  <conditionalFormatting sqref="AA38 AA46:AA47 AA70 AA73:AA81 AA92 AA95:AA96 AA100:AA101 AA104:AA109 AA111 AA115:AA116 AA120:AA121 AA123 AA126 AA128 AA134 AA164 AA189:AA190 AA192 AA217 AA240 AA85:AA90">
    <cfRule type="cellIs" dxfId="1040" priority="352" operator="equal">
      <formula>"offen"</formula>
    </cfRule>
  </conditionalFormatting>
  <conditionalFormatting sqref="AB38:AC38">
    <cfRule type="cellIs" dxfId="1039" priority="351" operator="equal">
      <formula>"offen"</formula>
    </cfRule>
  </conditionalFormatting>
  <conditionalFormatting sqref="AD39:AD41">
    <cfRule type="cellIs" dxfId="1038" priority="350" operator="equal">
      <formula>"offen"</formula>
    </cfRule>
  </conditionalFormatting>
  <conditionalFormatting sqref="AA39:AA41">
    <cfRule type="cellIs" dxfId="1037" priority="349" operator="equal">
      <formula>"offen"</formula>
    </cfRule>
  </conditionalFormatting>
  <conditionalFormatting sqref="AB39:AC41">
    <cfRule type="cellIs" dxfId="1036" priority="348" operator="equal">
      <formula>"offen"</formula>
    </cfRule>
  </conditionalFormatting>
  <conditionalFormatting sqref="W42:X42">
    <cfRule type="cellIs" dxfId="1035" priority="347" operator="equal">
      <formula>"offen"</formula>
    </cfRule>
  </conditionalFormatting>
  <conditionalFormatting sqref="Z42">
    <cfRule type="cellIs" dxfId="1034" priority="346" operator="equal">
      <formula>"offen"</formula>
    </cfRule>
  </conditionalFormatting>
  <conditionalFormatting sqref="Y42">
    <cfRule type="cellIs" dxfId="1033" priority="344" operator="equal">
      <formula>"offen"</formula>
    </cfRule>
    <cfRule type="containsText" dxfId="1032" priority="345" operator="containsText" text="kein KA">
      <formula>NOT(ISERROR(SEARCH("kein KA",Y42)))</formula>
    </cfRule>
  </conditionalFormatting>
  <conditionalFormatting sqref="AD42">
    <cfRule type="cellIs" dxfId="1031" priority="343" operator="equal">
      <formula>"offen"</formula>
    </cfRule>
  </conditionalFormatting>
  <conditionalFormatting sqref="AA42">
    <cfRule type="cellIs" dxfId="1030" priority="340" operator="equal">
      <formula>"offen"</formula>
    </cfRule>
  </conditionalFormatting>
  <conditionalFormatting sqref="AB42:AC42">
    <cfRule type="cellIs" dxfId="1029" priority="339" operator="equal">
      <formula>"offen"</formula>
    </cfRule>
  </conditionalFormatting>
  <conditionalFormatting sqref="V44:X45">
    <cfRule type="cellIs" dxfId="1028" priority="338" operator="equal">
      <formula>"offen"</formula>
    </cfRule>
  </conditionalFormatting>
  <conditionalFormatting sqref="Z44:Z45">
    <cfRule type="cellIs" dxfId="1027" priority="337" operator="equal">
      <formula>"offen"</formula>
    </cfRule>
  </conditionalFormatting>
  <conditionalFormatting sqref="AD44:AD45">
    <cfRule type="cellIs" dxfId="1026" priority="331" operator="equal">
      <formula>"offen"</formula>
    </cfRule>
  </conditionalFormatting>
  <conditionalFormatting sqref="AA44:AA45">
    <cfRule type="cellIs" dxfId="1025" priority="330" operator="equal">
      <formula>"offen"</formula>
    </cfRule>
  </conditionalFormatting>
  <conditionalFormatting sqref="AB44:AC45">
    <cfRule type="cellIs" dxfId="1024" priority="329" operator="equal">
      <formula>"offen"</formula>
    </cfRule>
  </conditionalFormatting>
  <conditionalFormatting sqref="Z46:Z47">
    <cfRule type="cellIs" dxfId="1023" priority="328" operator="equal">
      <formula>"offen"</formula>
    </cfRule>
  </conditionalFormatting>
  <conditionalFormatting sqref="Y46:Y47">
    <cfRule type="cellIs" dxfId="1022" priority="326" operator="equal">
      <formula>"offen"</formula>
    </cfRule>
    <cfRule type="containsText" dxfId="1021" priority="327" operator="containsText" text="kein KA">
      <formula>NOT(ISERROR(SEARCH("kein KA",Y46)))</formula>
    </cfRule>
  </conditionalFormatting>
  <conditionalFormatting sqref="AB46:AC47">
    <cfRule type="cellIs" dxfId="1020" priority="324" operator="equal">
      <formula>"offen"</formula>
    </cfRule>
  </conditionalFormatting>
  <conditionalFormatting sqref="AD48">
    <cfRule type="cellIs" dxfId="1019" priority="323" operator="equal">
      <formula>"offen"</formula>
    </cfRule>
  </conditionalFormatting>
  <conditionalFormatting sqref="AA48">
    <cfRule type="cellIs" dxfId="1018" priority="322" operator="equal">
      <formula>"offen"</formula>
    </cfRule>
  </conditionalFormatting>
  <conditionalFormatting sqref="AB48:AC48">
    <cfRule type="cellIs" dxfId="1017" priority="321" operator="equal">
      <formula>"offen"</formula>
    </cfRule>
  </conditionalFormatting>
  <conditionalFormatting sqref="AD50">
    <cfRule type="cellIs" dxfId="1016" priority="320" operator="equal">
      <formula>"offen"</formula>
    </cfRule>
  </conditionalFormatting>
  <conditionalFormatting sqref="AA50">
    <cfRule type="cellIs" dxfId="1015" priority="319" operator="equal">
      <formula>"offen"</formula>
    </cfRule>
  </conditionalFormatting>
  <conditionalFormatting sqref="AB50:AC50">
    <cfRule type="cellIs" dxfId="1014" priority="318" operator="equal">
      <formula>"offen"</formula>
    </cfRule>
  </conditionalFormatting>
  <conditionalFormatting sqref="AD49">
    <cfRule type="cellIs" dxfId="1013" priority="317" operator="equal">
      <formula>"offen"</formula>
    </cfRule>
  </conditionalFormatting>
  <conditionalFormatting sqref="AA49">
    <cfRule type="cellIs" dxfId="1012" priority="316" operator="equal">
      <formula>"offen"</formula>
    </cfRule>
  </conditionalFormatting>
  <conditionalFormatting sqref="AB49:AC49">
    <cfRule type="cellIs" dxfId="1011" priority="315" operator="equal">
      <formula>"offen"</formula>
    </cfRule>
  </conditionalFormatting>
  <conditionalFormatting sqref="AA51">
    <cfRule type="cellIs" dxfId="1010" priority="314" operator="equal">
      <formula>"offen"</formula>
    </cfRule>
  </conditionalFormatting>
  <conditionalFormatting sqref="AB51:AC51">
    <cfRule type="cellIs" dxfId="1009" priority="313" operator="equal">
      <formula>"offen"</formula>
    </cfRule>
  </conditionalFormatting>
  <conditionalFormatting sqref="X52">
    <cfRule type="cellIs" dxfId="1008" priority="312" operator="equal">
      <formula>"offen"</formula>
    </cfRule>
  </conditionalFormatting>
  <conditionalFormatting sqref="Z52">
    <cfRule type="cellIs" dxfId="1007" priority="311" operator="equal">
      <formula>"offen"</formula>
    </cfRule>
  </conditionalFormatting>
  <conditionalFormatting sqref="Y52 Y54:Y60">
    <cfRule type="cellIs" dxfId="1006" priority="309" operator="equal">
      <formula>"offen"</formula>
    </cfRule>
    <cfRule type="containsText" dxfId="1005" priority="310" operator="containsText" text="kein KA">
      <formula>NOT(ISERROR(SEARCH("kein KA",Y52)))</formula>
    </cfRule>
  </conditionalFormatting>
  <conditionalFormatting sqref="AD52">
    <cfRule type="cellIs" dxfId="1004" priority="308" operator="equal">
      <formula>"offen"</formula>
    </cfRule>
  </conditionalFormatting>
  <conditionalFormatting sqref="AA52">
    <cfRule type="cellIs" dxfId="1003" priority="307" operator="equal">
      <formula>"offen"</formula>
    </cfRule>
  </conditionalFormatting>
  <conditionalFormatting sqref="AB52:AC52">
    <cfRule type="cellIs" dxfId="1002" priority="306" operator="equal">
      <formula>"offen"</formula>
    </cfRule>
  </conditionalFormatting>
  <conditionalFormatting sqref="Y53">
    <cfRule type="cellIs" dxfId="1001" priority="304" operator="equal">
      <formula>"offen"</formula>
    </cfRule>
    <cfRule type="containsText" dxfId="1000" priority="305" operator="containsText" text="kein KA">
      <formula>NOT(ISERROR(SEARCH("kein KA",Y53)))</formula>
    </cfRule>
  </conditionalFormatting>
  <conditionalFormatting sqref="V53:X53">
    <cfRule type="cellIs" dxfId="999" priority="303" operator="equal">
      <formula>"offen"</formula>
    </cfRule>
  </conditionalFormatting>
  <conditionalFormatting sqref="Z53">
    <cfRule type="cellIs" dxfId="998" priority="302" operator="equal">
      <formula>"offen"</formula>
    </cfRule>
  </conditionalFormatting>
  <conditionalFormatting sqref="AD53">
    <cfRule type="cellIs" dxfId="997" priority="301" operator="equal">
      <formula>"offen"</formula>
    </cfRule>
  </conditionalFormatting>
  <conditionalFormatting sqref="AA53">
    <cfRule type="cellIs" dxfId="996" priority="300" operator="equal">
      <formula>"offen"</formula>
    </cfRule>
  </conditionalFormatting>
  <conditionalFormatting sqref="AB53:AC53">
    <cfRule type="cellIs" dxfId="995" priority="299" operator="equal">
      <formula>"offen"</formula>
    </cfRule>
  </conditionalFormatting>
  <conditionalFormatting sqref="AA26">
    <cfRule type="cellIs" dxfId="994" priority="298" operator="equal">
      <formula>"offen"</formula>
    </cfRule>
  </conditionalFormatting>
  <conditionalFormatting sqref="AB26:AC26">
    <cfRule type="cellIs" dxfId="993" priority="297" operator="equal">
      <formula>"offen"</formula>
    </cfRule>
  </conditionalFormatting>
  <conditionalFormatting sqref="AD26">
    <cfRule type="cellIs" dxfId="992" priority="296" operator="equal">
      <formula>"offen"</formula>
    </cfRule>
  </conditionalFormatting>
  <conditionalFormatting sqref="AD57">
    <cfRule type="cellIs" dxfId="991" priority="295" operator="equal">
      <formula>"offen"</formula>
    </cfRule>
  </conditionalFormatting>
  <conditionalFormatting sqref="AA57">
    <cfRule type="cellIs" dxfId="990" priority="294" operator="equal">
      <formula>"offen"</formula>
    </cfRule>
  </conditionalFormatting>
  <conditionalFormatting sqref="AB57:AC57">
    <cfRule type="cellIs" dxfId="989" priority="293" operator="equal">
      <formula>"offen"</formula>
    </cfRule>
  </conditionalFormatting>
  <conditionalFormatting sqref="AA59">
    <cfRule type="cellIs" dxfId="988" priority="292" operator="equal">
      <formula>"offen"</formula>
    </cfRule>
  </conditionalFormatting>
  <conditionalFormatting sqref="AB59:AC59">
    <cfRule type="cellIs" dxfId="987" priority="291" operator="equal">
      <formula>"offen"</formula>
    </cfRule>
  </conditionalFormatting>
  <conditionalFormatting sqref="AA60">
    <cfRule type="cellIs" dxfId="986" priority="290" operator="equal">
      <formula>"offen"</formula>
    </cfRule>
  </conditionalFormatting>
  <conditionalFormatting sqref="AB60:AC60">
    <cfRule type="cellIs" dxfId="985" priority="289" operator="equal">
      <formula>"offen"</formula>
    </cfRule>
  </conditionalFormatting>
  <conditionalFormatting sqref="AD61">
    <cfRule type="cellIs" dxfId="984" priority="288" operator="equal">
      <formula>"offen"</formula>
    </cfRule>
  </conditionalFormatting>
  <conditionalFormatting sqref="AA61">
    <cfRule type="cellIs" dxfId="983" priority="287" operator="equal">
      <formula>"offen"</formula>
    </cfRule>
  </conditionalFormatting>
  <conditionalFormatting sqref="AB61:AC61">
    <cfRule type="cellIs" dxfId="982" priority="286" operator="equal">
      <formula>"offen"</formula>
    </cfRule>
  </conditionalFormatting>
  <conditionalFormatting sqref="Y61:Y62">
    <cfRule type="cellIs" dxfId="981" priority="284" operator="equal">
      <formula>"offen"</formula>
    </cfRule>
    <cfRule type="containsText" dxfId="980" priority="285" operator="containsText" text="kein KA">
      <formula>NOT(ISERROR(SEARCH("kein KA",Y61)))</formula>
    </cfRule>
  </conditionalFormatting>
  <conditionalFormatting sqref="Y63:Y67">
    <cfRule type="cellIs" dxfId="979" priority="282" operator="equal">
      <formula>"offen"</formula>
    </cfRule>
    <cfRule type="containsText" dxfId="978" priority="283" operator="containsText" text="kein KA">
      <formula>NOT(ISERROR(SEARCH("kein KA",Y63)))</formula>
    </cfRule>
  </conditionalFormatting>
  <conditionalFormatting sqref="AA63">
    <cfRule type="cellIs" dxfId="977" priority="281" operator="equal">
      <formula>"offen"</formula>
    </cfRule>
  </conditionalFormatting>
  <conditionalFormatting sqref="AB63:AC63">
    <cfRule type="cellIs" dxfId="976" priority="280" operator="equal">
      <formula>"offen"</formula>
    </cfRule>
  </conditionalFormatting>
  <conditionalFormatting sqref="AD64">
    <cfRule type="cellIs" dxfId="975" priority="279" operator="equal">
      <formula>"offen"</formula>
    </cfRule>
  </conditionalFormatting>
  <conditionalFormatting sqref="AA64">
    <cfRule type="cellIs" dxfId="974" priority="278" operator="equal">
      <formula>"offen"</formula>
    </cfRule>
  </conditionalFormatting>
  <conditionalFormatting sqref="AB64:AC64">
    <cfRule type="cellIs" dxfId="973" priority="277" operator="equal">
      <formula>"offen"</formula>
    </cfRule>
  </conditionalFormatting>
  <conditionalFormatting sqref="AD66:AD67">
    <cfRule type="cellIs" dxfId="972" priority="276" operator="equal">
      <formula>"offen"</formula>
    </cfRule>
  </conditionalFormatting>
  <conditionalFormatting sqref="AA66:AA67">
    <cfRule type="cellIs" dxfId="971" priority="275" operator="equal">
      <formula>"offen"</formula>
    </cfRule>
  </conditionalFormatting>
  <conditionalFormatting sqref="AB66:AC67">
    <cfRule type="cellIs" dxfId="970" priority="274" operator="equal">
      <formula>"offen"</formula>
    </cfRule>
  </conditionalFormatting>
  <conditionalFormatting sqref="Z68">
    <cfRule type="cellIs" dxfId="969" priority="273" operator="equal">
      <formula>"offen"</formula>
    </cfRule>
  </conditionalFormatting>
  <conditionalFormatting sqref="Y68:Y72">
    <cfRule type="cellIs" dxfId="968" priority="271" operator="equal">
      <formula>"offen"</formula>
    </cfRule>
    <cfRule type="containsText" dxfId="967" priority="272" operator="containsText" text="kein KA">
      <formula>NOT(ISERROR(SEARCH("kein KA",Y68)))</formula>
    </cfRule>
  </conditionalFormatting>
  <conditionalFormatting sqref="AD68:AD72">
    <cfRule type="cellIs" dxfId="966" priority="270" operator="equal">
      <formula>"offen"</formula>
    </cfRule>
  </conditionalFormatting>
  <conditionalFormatting sqref="AA68:AA69 AA71:AA72">
    <cfRule type="cellIs" dxfId="965" priority="269" operator="equal">
      <formula>"offen"</formula>
    </cfRule>
  </conditionalFormatting>
  <conditionalFormatting sqref="AB68:AC72">
    <cfRule type="cellIs" dxfId="964" priority="268" operator="equal">
      <formula>"offen"</formula>
    </cfRule>
  </conditionalFormatting>
  <conditionalFormatting sqref="W73:W78">
    <cfRule type="cellIs" dxfId="963" priority="264" operator="equal">
      <formula>"offen"</formula>
    </cfRule>
  </conditionalFormatting>
  <conditionalFormatting sqref="X73:X78">
    <cfRule type="cellIs" dxfId="962" priority="263" operator="equal">
      <formula>"offen"</formula>
    </cfRule>
  </conditionalFormatting>
  <conditionalFormatting sqref="Z73:Z78">
    <cfRule type="cellIs" dxfId="961" priority="262" operator="equal">
      <formula>"offen"</formula>
    </cfRule>
  </conditionalFormatting>
  <conditionalFormatting sqref="Y73:Y79 Y82">
    <cfRule type="cellIs" dxfId="960" priority="260" operator="equal">
      <formula>"offen"</formula>
    </cfRule>
    <cfRule type="containsText" dxfId="959" priority="261" operator="containsText" text="kein KA">
      <formula>NOT(ISERROR(SEARCH("kein KA",Y73)))</formula>
    </cfRule>
  </conditionalFormatting>
  <conditionalFormatting sqref="AD73:AD78">
    <cfRule type="cellIs" dxfId="958" priority="259" operator="equal">
      <formula>"offen"</formula>
    </cfRule>
  </conditionalFormatting>
  <conditionalFormatting sqref="AB73:AC79">
    <cfRule type="cellIs" dxfId="957" priority="257" operator="equal">
      <formula>"offen"</formula>
    </cfRule>
  </conditionalFormatting>
  <conditionalFormatting sqref="V80:V81">
    <cfRule type="cellIs" dxfId="956" priority="256" operator="equal">
      <formula>"offen"</formula>
    </cfRule>
  </conditionalFormatting>
  <conditionalFormatting sqref="W80:W81">
    <cfRule type="cellIs" dxfId="955" priority="255" operator="equal">
      <formula>"offen"</formula>
    </cfRule>
  </conditionalFormatting>
  <conditionalFormatting sqref="X80:X81">
    <cfRule type="cellIs" dxfId="954" priority="254" operator="equal">
      <formula>"offen"</formula>
    </cfRule>
  </conditionalFormatting>
  <conditionalFormatting sqref="Z80:Z81">
    <cfRule type="cellIs" dxfId="953" priority="253" operator="equal">
      <formula>"offen"</formula>
    </cfRule>
  </conditionalFormatting>
  <conditionalFormatting sqref="Y80:Y81">
    <cfRule type="cellIs" dxfId="952" priority="251" operator="equal">
      <formula>"offen"</formula>
    </cfRule>
    <cfRule type="containsText" dxfId="951" priority="252" operator="containsText" text="kein KA">
      <formula>NOT(ISERROR(SEARCH("kein KA",Y80)))</formula>
    </cfRule>
  </conditionalFormatting>
  <conditionalFormatting sqref="AD80:AD81">
    <cfRule type="cellIs" dxfId="950" priority="250" operator="equal">
      <formula>"offen"</formula>
    </cfRule>
  </conditionalFormatting>
  <conditionalFormatting sqref="AB80:AC81">
    <cfRule type="cellIs" dxfId="949" priority="248" operator="equal">
      <formula>"offen"</formula>
    </cfRule>
  </conditionalFormatting>
  <conditionalFormatting sqref="AD82">
    <cfRule type="cellIs" dxfId="948" priority="247" operator="equal">
      <formula>"offen"</formula>
    </cfRule>
  </conditionalFormatting>
  <conditionalFormatting sqref="AA82">
    <cfRule type="cellIs" dxfId="947" priority="246" operator="equal">
      <formula>"offen"</formula>
    </cfRule>
  </conditionalFormatting>
  <conditionalFormatting sqref="AB82:AC82">
    <cfRule type="cellIs" dxfId="946" priority="245" operator="equal">
      <formula>"offen"</formula>
    </cfRule>
  </conditionalFormatting>
  <conditionalFormatting sqref="W85">
    <cfRule type="cellIs" dxfId="945" priority="244" operator="equal">
      <formula>"offen"</formula>
    </cfRule>
  </conditionalFormatting>
  <conditionalFormatting sqref="X85">
    <cfRule type="cellIs" dxfId="944" priority="243" operator="equal">
      <formula>"offen"</formula>
    </cfRule>
  </conditionalFormatting>
  <conditionalFormatting sqref="Z85">
    <cfRule type="cellIs" dxfId="943" priority="242" operator="equal">
      <formula>"offen"</formula>
    </cfRule>
  </conditionalFormatting>
  <conditionalFormatting sqref="Y85 Y87:Y88 Y90:Y99">
    <cfRule type="cellIs" dxfId="942" priority="240" operator="equal">
      <formula>"offen"</formula>
    </cfRule>
    <cfRule type="containsText" dxfId="941" priority="241" operator="containsText" text="kein KA">
      <formula>NOT(ISERROR(SEARCH("kein KA",Y85)))</formula>
    </cfRule>
  </conditionalFormatting>
  <conditionalFormatting sqref="AD85:AD88">
    <cfRule type="cellIs" dxfId="940" priority="239" operator="equal">
      <formula>"offen"</formula>
    </cfRule>
  </conditionalFormatting>
  <conditionalFormatting sqref="AB85:AC88">
    <cfRule type="cellIs" dxfId="939" priority="237" operator="equal">
      <formula>"offen"</formula>
    </cfRule>
  </conditionalFormatting>
  <conditionalFormatting sqref="W86">
    <cfRule type="cellIs" dxfId="938" priority="236" operator="equal">
      <formula>"offen"</formula>
    </cfRule>
  </conditionalFormatting>
  <conditionalFormatting sqref="X86">
    <cfRule type="cellIs" dxfId="937" priority="235" operator="equal">
      <formula>"offen"</formula>
    </cfRule>
  </conditionalFormatting>
  <conditionalFormatting sqref="Z86">
    <cfRule type="cellIs" dxfId="936" priority="234" operator="equal">
      <formula>"offen"</formula>
    </cfRule>
  </conditionalFormatting>
  <conditionalFormatting sqref="Y86">
    <cfRule type="cellIs" dxfId="935" priority="232" operator="equal">
      <formula>"offen"</formula>
    </cfRule>
    <cfRule type="containsText" dxfId="934" priority="233" operator="containsText" text="kein KA">
      <formula>NOT(ISERROR(SEARCH("kein KA",Y86)))</formula>
    </cfRule>
  </conditionalFormatting>
  <conditionalFormatting sqref="W89">
    <cfRule type="cellIs" dxfId="933" priority="228" operator="equal">
      <formula>"offen"</formula>
    </cfRule>
  </conditionalFormatting>
  <conditionalFormatting sqref="X89">
    <cfRule type="cellIs" dxfId="932" priority="227" operator="equal">
      <formula>"offen"</formula>
    </cfRule>
  </conditionalFormatting>
  <conditionalFormatting sqref="Z89">
    <cfRule type="cellIs" dxfId="931" priority="226" operator="equal">
      <formula>"offen"</formula>
    </cfRule>
  </conditionalFormatting>
  <conditionalFormatting sqref="Y89">
    <cfRule type="cellIs" dxfId="930" priority="224" operator="equal">
      <formula>"offen"</formula>
    </cfRule>
    <cfRule type="containsText" dxfId="929" priority="225" operator="containsText" text="kein KA">
      <formula>NOT(ISERROR(SEARCH("kein KA",Y89)))</formula>
    </cfRule>
  </conditionalFormatting>
  <conditionalFormatting sqref="AD89">
    <cfRule type="cellIs" dxfId="928" priority="223" operator="equal">
      <formula>"offen"</formula>
    </cfRule>
  </conditionalFormatting>
  <conditionalFormatting sqref="AB89:AC89">
    <cfRule type="cellIs" dxfId="927" priority="221" operator="equal">
      <formula>"offen"</formula>
    </cfRule>
  </conditionalFormatting>
  <conditionalFormatting sqref="AD90">
    <cfRule type="cellIs" dxfId="926" priority="220" operator="equal">
      <formula>"offen"</formula>
    </cfRule>
  </conditionalFormatting>
  <conditionalFormatting sqref="AB90:AC90">
    <cfRule type="cellIs" dxfId="925" priority="218" operator="equal">
      <formula>"offen"</formula>
    </cfRule>
  </conditionalFormatting>
  <conditionalFormatting sqref="AD91">
    <cfRule type="cellIs" dxfId="924" priority="217" operator="equal">
      <formula>"offen"</formula>
    </cfRule>
  </conditionalFormatting>
  <conditionalFormatting sqref="AA91">
    <cfRule type="cellIs" dxfId="923" priority="216" operator="equal">
      <formula>"offen"</formula>
    </cfRule>
  </conditionalFormatting>
  <conditionalFormatting sqref="AB91:AC92">
    <cfRule type="cellIs" dxfId="922" priority="215" operator="equal">
      <formula>"offen"</formula>
    </cfRule>
  </conditionalFormatting>
  <conditionalFormatting sqref="AD93">
    <cfRule type="cellIs" dxfId="921" priority="214" operator="equal">
      <formula>"offen"</formula>
    </cfRule>
  </conditionalFormatting>
  <conditionalFormatting sqref="AA93">
    <cfRule type="cellIs" dxfId="920" priority="213" operator="equal">
      <formula>"offen"</formula>
    </cfRule>
  </conditionalFormatting>
  <conditionalFormatting sqref="AB93:AC93">
    <cfRule type="cellIs" dxfId="919" priority="212" operator="equal">
      <formula>"offen"</formula>
    </cfRule>
  </conditionalFormatting>
  <conditionalFormatting sqref="AD98">
    <cfRule type="cellIs" dxfId="918" priority="211" operator="equal">
      <formula>"offen"</formula>
    </cfRule>
  </conditionalFormatting>
  <conditionalFormatting sqref="AA98">
    <cfRule type="cellIs" dxfId="917" priority="210" operator="equal">
      <formula>"offen"</formula>
    </cfRule>
  </conditionalFormatting>
  <conditionalFormatting sqref="AB98:AC98">
    <cfRule type="cellIs" dxfId="916" priority="209" operator="equal">
      <formula>"offen"</formula>
    </cfRule>
  </conditionalFormatting>
  <conditionalFormatting sqref="AD97">
    <cfRule type="cellIs" dxfId="915" priority="208" operator="equal">
      <formula>"offen"</formula>
    </cfRule>
  </conditionalFormatting>
  <conditionalFormatting sqref="AA97">
    <cfRule type="cellIs" dxfId="914" priority="207" operator="equal">
      <formula>"offen"</formula>
    </cfRule>
  </conditionalFormatting>
  <conditionalFormatting sqref="AB97:AC97">
    <cfRule type="cellIs" dxfId="913" priority="206" operator="equal">
      <formula>"offen"</formula>
    </cfRule>
  </conditionalFormatting>
  <conditionalFormatting sqref="AD99">
    <cfRule type="cellIs" dxfId="912" priority="205" operator="equal">
      <formula>"offen"</formula>
    </cfRule>
  </conditionalFormatting>
  <conditionalFormatting sqref="AA99">
    <cfRule type="cellIs" dxfId="911" priority="204" operator="equal">
      <formula>"offen"</formula>
    </cfRule>
  </conditionalFormatting>
  <conditionalFormatting sqref="AB99:AC99">
    <cfRule type="cellIs" dxfId="910" priority="203" operator="equal">
      <formula>"offen"</formula>
    </cfRule>
  </conditionalFormatting>
  <conditionalFormatting sqref="Y100:Y108">
    <cfRule type="cellIs" dxfId="909" priority="201" operator="equal">
      <formula>"offen"</formula>
    </cfRule>
    <cfRule type="containsText" dxfId="908" priority="202" operator="containsText" text="kein KA">
      <formula>NOT(ISERROR(SEARCH("kein KA",Y100)))</formula>
    </cfRule>
  </conditionalFormatting>
  <conditionalFormatting sqref="AD95">
    <cfRule type="cellIs" dxfId="907" priority="200" operator="equal">
      <formula>"offen"</formula>
    </cfRule>
  </conditionalFormatting>
  <conditionalFormatting sqref="AB95:AC96">
    <cfRule type="cellIs" dxfId="906" priority="198" operator="equal">
      <formula>"offen"</formula>
    </cfRule>
  </conditionalFormatting>
  <conditionalFormatting sqref="AD100:AD101">
    <cfRule type="cellIs" dxfId="905" priority="197" operator="equal">
      <formula>"offen"</formula>
    </cfRule>
  </conditionalFormatting>
  <conditionalFormatting sqref="AB100:AC101">
    <cfRule type="cellIs" dxfId="904" priority="195" operator="equal">
      <formula>"offen"</formula>
    </cfRule>
  </conditionalFormatting>
  <conditionalFormatting sqref="AD102:AD108">
    <cfRule type="cellIs" dxfId="903" priority="194" operator="equal">
      <formula>"offen"</formula>
    </cfRule>
  </conditionalFormatting>
  <conditionalFormatting sqref="AA102:AA103">
    <cfRule type="cellIs" dxfId="902" priority="193" operator="equal">
      <formula>"offen"</formula>
    </cfRule>
  </conditionalFormatting>
  <conditionalFormatting sqref="AB102:AC108">
    <cfRule type="cellIs" dxfId="901" priority="192" operator="equal">
      <formula>"offen"</formula>
    </cfRule>
  </conditionalFormatting>
  <conditionalFormatting sqref="Z109">
    <cfRule type="cellIs" dxfId="900" priority="191" operator="equal">
      <formula>"offen"</formula>
    </cfRule>
  </conditionalFormatting>
  <conditionalFormatting sqref="Y109:Y110">
    <cfRule type="cellIs" dxfId="899" priority="189" operator="equal">
      <formula>"offen"</formula>
    </cfRule>
    <cfRule type="containsText" dxfId="898" priority="190" operator="containsText" text="kein KA">
      <formula>NOT(ISERROR(SEARCH("kein KA",Y109)))</formula>
    </cfRule>
  </conditionalFormatting>
  <conditionalFormatting sqref="AD109">
    <cfRule type="cellIs" dxfId="897" priority="188" operator="equal">
      <formula>"offen"</formula>
    </cfRule>
  </conditionalFormatting>
  <conditionalFormatting sqref="AB109:AC109">
    <cfRule type="cellIs" dxfId="896" priority="187" operator="equal">
      <formula>"offen"</formula>
    </cfRule>
  </conditionalFormatting>
  <conditionalFormatting sqref="AD110">
    <cfRule type="cellIs" dxfId="895" priority="186" operator="equal">
      <formula>"offen"</formula>
    </cfRule>
  </conditionalFormatting>
  <conditionalFormatting sqref="AA110">
    <cfRule type="cellIs" dxfId="894" priority="185" operator="equal">
      <formula>"offen"</formula>
    </cfRule>
  </conditionalFormatting>
  <conditionalFormatting sqref="AB110:AC110">
    <cfRule type="cellIs" dxfId="893" priority="184" operator="equal">
      <formula>"offen"</formula>
    </cfRule>
  </conditionalFormatting>
  <conditionalFormatting sqref="Z111">
    <cfRule type="cellIs" dxfId="892" priority="183" operator="equal">
      <formula>"offen"</formula>
    </cfRule>
  </conditionalFormatting>
  <conditionalFormatting sqref="AD111">
    <cfRule type="cellIs" dxfId="891" priority="180" operator="equal">
      <formula>"offen"</formula>
    </cfRule>
  </conditionalFormatting>
  <conditionalFormatting sqref="AB111:AC111">
    <cfRule type="cellIs" dxfId="890" priority="179" operator="equal">
      <formula>"offen"</formula>
    </cfRule>
  </conditionalFormatting>
  <conditionalFormatting sqref="Y111">
    <cfRule type="cellIs" dxfId="889" priority="177" operator="equal">
      <formula>"offen"</formula>
    </cfRule>
    <cfRule type="containsText" dxfId="888" priority="178" operator="containsText" text="kein KA">
      <formula>NOT(ISERROR(SEARCH("kein KA",Y111)))</formula>
    </cfRule>
  </conditionalFormatting>
  <conditionalFormatting sqref="Y112:Y118">
    <cfRule type="cellIs" dxfId="887" priority="175" operator="equal">
      <formula>"offen"</formula>
    </cfRule>
    <cfRule type="containsText" dxfId="886" priority="176" operator="containsText" text="kein KA">
      <formula>NOT(ISERROR(SEARCH("kein KA",Y112)))</formula>
    </cfRule>
  </conditionalFormatting>
  <conditionalFormatting sqref="AD112:AD114">
    <cfRule type="cellIs" dxfId="885" priority="174" operator="equal">
      <formula>"offen"</formula>
    </cfRule>
  </conditionalFormatting>
  <conditionalFormatting sqref="AA112:AA114">
    <cfRule type="cellIs" dxfId="884" priority="173" operator="equal">
      <formula>"offen"</formula>
    </cfRule>
  </conditionalFormatting>
  <conditionalFormatting sqref="AB112:AC114">
    <cfRule type="cellIs" dxfId="883" priority="172" operator="equal">
      <formula>"offen"</formula>
    </cfRule>
  </conditionalFormatting>
  <conditionalFormatting sqref="AD115:AD116">
    <cfRule type="cellIs" dxfId="882" priority="170" operator="equal">
      <formula>"offen"</formula>
    </cfRule>
  </conditionalFormatting>
  <conditionalFormatting sqref="AB115:AC116">
    <cfRule type="cellIs" dxfId="881" priority="169" operator="equal">
      <formula>"offen"</formula>
    </cfRule>
  </conditionalFormatting>
  <conditionalFormatting sqref="AD117:AD118">
    <cfRule type="cellIs" dxfId="880" priority="168" operator="equal">
      <formula>"offen"</formula>
    </cfRule>
  </conditionalFormatting>
  <conditionalFormatting sqref="AA117:AA118">
    <cfRule type="cellIs" dxfId="879" priority="167" operator="equal">
      <formula>"offen"</formula>
    </cfRule>
  </conditionalFormatting>
  <conditionalFormatting sqref="AB117:AC118">
    <cfRule type="cellIs" dxfId="878" priority="166" operator="equal">
      <formula>"offen"</formula>
    </cfRule>
  </conditionalFormatting>
  <conditionalFormatting sqref="Z119">
    <cfRule type="cellIs" dxfId="877" priority="165" operator="equal">
      <formula>"offen"</formula>
    </cfRule>
  </conditionalFormatting>
  <conditionalFormatting sqref="Y119:Y127">
    <cfRule type="cellIs" dxfId="876" priority="163" operator="equal">
      <formula>"offen"</formula>
    </cfRule>
    <cfRule type="containsText" dxfId="875" priority="164" operator="containsText" text="kein KA">
      <formula>NOT(ISERROR(SEARCH("kein KA",Y119)))</formula>
    </cfRule>
  </conditionalFormatting>
  <conditionalFormatting sqref="AD119">
    <cfRule type="cellIs" dxfId="874" priority="162" operator="equal">
      <formula>"offen"</formula>
    </cfRule>
  </conditionalFormatting>
  <conditionalFormatting sqref="AA119">
    <cfRule type="cellIs" dxfId="873" priority="161" operator="equal">
      <formula>"offen"</formula>
    </cfRule>
  </conditionalFormatting>
  <conditionalFormatting sqref="AB119:AC119">
    <cfRule type="cellIs" dxfId="872" priority="160" operator="equal">
      <formula>"offen"</formula>
    </cfRule>
  </conditionalFormatting>
  <conditionalFormatting sqref="AD120:AD121">
    <cfRule type="cellIs" dxfId="871" priority="158" operator="equal">
      <formula>"offen"</formula>
    </cfRule>
  </conditionalFormatting>
  <conditionalFormatting sqref="AB120:AC121">
    <cfRule type="cellIs" dxfId="870" priority="157" operator="equal">
      <formula>"offen"</formula>
    </cfRule>
  </conditionalFormatting>
  <conditionalFormatting sqref="AD123">
    <cfRule type="cellIs" dxfId="869" priority="152" operator="equal">
      <formula>"offen"</formula>
    </cfRule>
  </conditionalFormatting>
  <conditionalFormatting sqref="AB123:AC123">
    <cfRule type="cellIs" dxfId="868" priority="151" operator="equal">
      <formula>"offen"</formula>
    </cfRule>
  </conditionalFormatting>
  <conditionalFormatting sqref="AA176">
    <cfRule type="cellIs" dxfId="867" priority="150" operator="equal">
      <formula>"offen"</formula>
    </cfRule>
  </conditionalFormatting>
  <conditionalFormatting sqref="AC180">
    <cfRule type="cellIs" dxfId="866" priority="125" operator="equal">
      <formula>"offen"</formula>
    </cfRule>
  </conditionalFormatting>
  <conditionalFormatting sqref="AA178:AA179">
    <cfRule type="cellIs" dxfId="865" priority="148" operator="equal">
      <formula>"offen"</formula>
    </cfRule>
  </conditionalFormatting>
  <conditionalFormatting sqref="AB179">
    <cfRule type="cellIs" dxfId="864" priority="147" operator="equal">
      <formula>"offen"</formula>
    </cfRule>
  </conditionalFormatting>
  <conditionalFormatting sqref="AC179">
    <cfRule type="cellIs" dxfId="863" priority="146" operator="equal">
      <formula>"offen"</formula>
    </cfRule>
  </conditionalFormatting>
  <conditionalFormatting sqref="Z180:AA180 V180:X180 AA181:AC181">
    <cfRule type="cellIs" dxfId="862" priority="145" operator="equal">
      <formula>"offen"</formula>
    </cfRule>
  </conditionalFormatting>
  <conditionalFormatting sqref="Y180">
    <cfRule type="cellIs" dxfId="861" priority="143" operator="equal">
      <formula>"offen"</formula>
    </cfRule>
    <cfRule type="containsText" dxfId="860" priority="144" operator="containsText" text="kein KA">
      <formula>NOT(ISERROR(SEARCH("kein KA",Y180)))</formula>
    </cfRule>
  </conditionalFormatting>
  <conditionalFormatting sqref="AA218">
    <cfRule type="cellIs" dxfId="859" priority="140" operator="equal">
      <formula>"offen"</formula>
    </cfRule>
  </conditionalFormatting>
  <conditionalFormatting sqref="Z244:AA244 B244:D244 AD244:AG244 F244:J244 AI244:AJ244">
    <cfRule type="cellIs" dxfId="858" priority="137" operator="equal">
      <formula>"offen"</formula>
    </cfRule>
  </conditionalFormatting>
  <conditionalFormatting sqref="Y244">
    <cfRule type="cellIs" dxfId="857" priority="135" operator="equal">
      <formula>"offen"</formula>
    </cfRule>
    <cfRule type="containsText" dxfId="856" priority="136" operator="containsText" text="kein KA">
      <formula>NOT(ISERROR(SEARCH("kein KA",Y244)))</formula>
    </cfRule>
  </conditionalFormatting>
  <conditionalFormatting sqref="T244">
    <cfRule type="containsText" dxfId="855" priority="132" operator="containsText" text="offen">
      <formula>NOT(ISERROR(SEARCH("offen",T244)))</formula>
    </cfRule>
  </conditionalFormatting>
  <conditionalFormatting sqref="V181:X181 Z181">
    <cfRule type="cellIs" dxfId="854" priority="131" operator="equal">
      <formula>"offen"</formula>
    </cfRule>
  </conditionalFormatting>
  <conditionalFormatting sqref="Y181">
    <cfRule type="cellIs" dxfId="853" priority="129" operator="equal">
      <formula>"offen"</formula>
    </cfRule>
    <cfRule type="containsText" dxfId="852" priority="130" operator="containsText" text="kein KA">
      <formula>NOT(ISERROR(SEARCH("kein KA",Y181)))</formula>
    </cfRule>
  </conditionalFormatting>
  <conditionalFormatting sqref="AC175">
    <cfRule type="cellIs" dxfId="851" priority="128" operator="equal">
      <formula>"offen"</formula>
    </cfRule>
  </conditionalFormatting>
  <conditionalFormatting sqref="AC176">
    <cfRule type="cellIs" dxfId="850" priority="127" operator="equal">
      <formula>"offen"</formula>
    </cfRule>
  </conditionalFormatting>
  <conditionalFormatting sqref="AC178">
    <cfRule type="cellIs" dxfId="849" priority="126" operator="equal">
      <formula>"offen"</formula>
    </cfRule>
  </conditionalFormatting>
  <conditionalFormatting sqref="AC187">
    <cfRule type="cellIs" dxfId="848" priority="124" operator="equal">
      <formula>"offen"</formula>
    </cfRule>
  </conditionalFormatting>
  <conditionalFormatting sqref="AC226">
    <cfRule type="cellIs" dxfId="847" priority="123" operator="equal">
      <formula>"offen"</formula>
    </cfRule>
  </conditionalFormatting>
  <conditionalFormatting sqref="AC231">
    <cfRule type="cellIs" dxfId="846" priority="122" operator="equal">
      <formula>"offen"</formula>
    </cfRule>
  </conditionalFormatting>
  <conditionalFormatting sqref="AC232">
    <cfRule type="cellIs" dxfId="845" priority="121" operator="equal">
      <formula>"offen"</formula>
    </cfRule>
  </conditionalFormatting>
  <conditionalFormatting sqref="AC234">
    <cfRule type="cellIs" dxfId="844" priority="120" operator="equal">
      <formula>"offen"</formula>
    </cfRule>
  </conditionalFormatting>
  <conditionalFormatting sqref="AB178">
    <cfRule type="cellIs" dxfId="843" priority="119" operator="equal">
      <formula>"offen"</formula>
    </cfRule>
  </conditionalFormatting>
  <conditionalFormatting sqref="AB188">
    <cfRule type="cellIs" dxfId="842" priority="118" operator="equal">
      <formula>"offen"</formula>
    </cfRule>
  </conditionalFormatting>
  <conditionalFormatting sqref="AB241">
    <cfRule type="cellIs" dxfId="841" priority="117" operator="equal">
      <formula>"offen"</formula>
    </cfRule>
  </conditionalFormatting>
  <conditionalFormatting sqref="AB242">
    <cfRule type="cellIs" dxfId="840" priority="116" operator="equal">
      <formula>"offen"</formula>
    </cfRule>
  </conditionalFormatting>
  <conditionalFormatting sqref="AC188">
    <cfRule type="cellIs" dxfId="839" priority="115" operator="equal">
      <formula>"offen"</formula>
    </cfRule>
  </conditionalFormatting>
  <conditionalFormatting sqref="AC203">
    <cfRule type="cellIs" dxfId="838" priority="114" operator="equal">
      <formula>"offen"</formula>
    </cfRule>
  </conditionalFormatting>
  <conditionalFormatting sqref="AC241">
    <cfRule type="cellIs" dxfId="837" priority="113" operator="equal">
      <formula>"offen"</formula>
    </cfRule>
  </conditionalFormatting>
  <conditionalFormatting sqref="AC242">
    <cfRule type="cellIs" dxfId="836" priority="112" operator="equal">
      <formula>"offen"</formula>
    </cfRule>
  </conditionalFormatting>
  <conditionalFormatting sqref="AB203">
    <cfRule type="cellIs" dxfId="835" priority="111" operator="equal">
      <formula>"offen"</formula>
    </cfRule>
  </conditionalFormatting>
  <conditionalFormatting sqref="AB205">
    <cfRule type="cellIs" dxfId="834" priority="110" operator="equal">
      <formula>"offen"</formula>
    </cfRule>
  </conditionalFormatting>
  <conditionalFormatting sqref="AB180">
    <cfRule type="cellIs" dxfId="833" priority="109" operator="equal">
      <formula>"offen"</formula>
    </cfRule>
  </conditionalFormatting>
  <conditionalFormatting sqref="AB187">
    <cfRule type="cellIs" dxfId="832" priority="108" operator="equal">
      <formula>"offen"</formula>
    </cfRule>
  </conditionalFormatting>
  <conditionalFormatting sqref="AB226">
    <cfRule type="cellIs" dxfId="831" priority="107" operator="equal">
      <formula>"offen"</formula>
    </cfRule>
  </conditionalFormatting>
  <conditionalFormatting sqref="AB231">
    <cfRule type="cellIs" dxfId="830" priority="106" operator="equal">
      <formula>"offen"</formula>
    </cfRule>
  </conditionalFormatting>
  <conditionalFormatting sqref="AB232">
    <cfRule type="cellIs" dxfId="829" priority="105" operator="equal">
      <formula>"offen"</formula>
    </cfRule>
  </conditionalFormatting>
  <conditionalFormatting sqref="AB234">
    <cfRule type="cellIs" dxfId="828" priority="104" operator="equal">
      <formula>"offen"</formula>
    </cfRule>
  </conditionalFormatting>
  <conditionalFormatting sqref="E244">
    <cfRule type="cellIs" dxfId="827" priority="103" operator="equal">
      <formula>"offen"</formula>
    </cfRule>
  </conditionalFormatting>
  <conditionalFormatting sqref="AB233">
    <cfRule type="cellIs" dxfId="826" priority="102" operator="equal">
      <formula>"offen"</formula>
    </cfRule>
  </conditionalFormatting>
  <conditionalFormatting sqref="AB236">
    <cfRule type="cellIs" dxfId="825" priority="101" operator="equal">
      <formula>"offen"</formula>
    </cfRule>
  </conditionalFormatting>
  <conditionalFormatting sqref="AB237">
    <cfRule type="cellIs" dxfId="824" priority="100" operator="equal">
      <formula>"offen"</formula>
    </cfRule>
  </conditionalFormatting>
  <conditionalFormatting sqref="AB235">
    <cfRule type="cellIs" dxfId="823" priority="99" operator="equal">
      <formula>"offen"</formula>
    </cfRule>
  </conditionalFormatting>
  <conditionalFormatting sqref="AB243">
    <cfRule type="cellIs" dxfId="822" priority="98" operator="equal">
      <formula>"offen"</formula>
    </cfRule>
  </conditionalFormatting>
  <conditionalFormatting sqref="AB210">
    <cfRule type="cellIs" dxfId="821" priority="97" operator="equal">
      <formula>"offen"</formula>
    </cfRule>
  </conditionalFormatting>
  <conditionalFormatting sqref="AB209">
    <cfRule type="cellIs" dxfId="820" priority="96" operator="equal">
      <formula>"offen"</formula>
    </cfRule>
  </conditionalFormatting>
  <conditionalFormatting sqref="AB213">
    <cfRule type="cellIs" dxfId="819" priority="95" operator="equal">
      <formula>"offen"</formula>
    </cfRule>
  </conditionalFormatting>
  <conditionalFormatting sqref="AB199">
    <cfRule type="cellIs" dxfId="818" priority="94" operator="equal">
      <formula>"offen"</formula>
    </cfRule>
  </conditionalFormatting>
  <conditionalFormatting sqref="AB177">
    <cfRule type="cellIs" dxfId="817" priority="93" operator="equal">
      <formula>"offen"</formula>
    </cfRule>
  </conditionalFormatting>
  <conditionalFormatting sqref="AB174">
    <cfRule type="cellIs" dxfId="816" priority="92" operator="equal">
      <formula>"offen"</formula>
    </cfRule>
  </conditionalFormatting>
  <conditionalFormatting sqref="AB173">
    <cfRule type="cellIs" dxfId="815" priority="91" operator="equal">
      <formula>"offen"</formula>
    </cfRule>
  </conditionalFormatting>
  <conditionalFormatting sqref="AB189">
    <cfRule type="cellIs" dxfId="814" priority="90" operator="equal">
      <formula>"offen"</formula>
    </cfRule>
  </conditionalFormatting>
  <conditionalFormatting sqref="AB190">
    <cfRule type="cellIs" dxfId="813" priority="89" operator="equal">
      <formula>"offen"</formula>
    </cfRule>
  </conditionalFormatting>
  <conditionalFormatting sqref="AB183">
    <cfRule type="cellIs" dxfId="812" priority="88" operator="equal">
      <formula>"offen"</formula>
    </cfRule>
  </conditionalFormatting>
  <conditionalFormatting sqref="AB184">
    <cfRule type="cellIs" dxfId="811" priority="87" operator="equal">
      <formula>"offen"</formula>
    </cfRule>
  </conditionalFormatting>
  <conditionalFormatting sqref="AB193">
    <cfRule type="cellIs" dxfId="810" priority="86" operator="equal">
      <formula>"offen"</formula>
    </cfRule>
  </conditionalFormatting>
  <conditionalFormatting sqref="AB194">
    <cfRule type="cellIs" dxfId="809" priority="85" operator="equal">
      <formula>"offen"</formula>
    </cfRule>
  </conditionalFormatting>
  <conditionalFormatting sqref="AB195">
    <cfRule type="cellIs" dxfId="808" priority="84" operator="equal">
      <formula>"offen"</formula>
    </cfRule>
  </conditionalFormatting>
  <conditionalFormatting sqref="AB197">
    <cfRule type="cellIs" dxfId="807" priority="83" operator="equal">
      <formula>"offen"</formula>
    </cfRule>
  </conditionalFormatting>
  <conditionalFormatting sqref="AB201">
    <cfRule type="cellIs" dxfId="806" priority="82" operator="equal">
      <formula>"offen"</formula>
    </cfRule>
  </conditionalFormatting>
  <conditionalFormatting sqref="AB185">
    <cfRule type="cellIs" dxfId="805" priority="81" operator="equal">
      <formula>"offen"</formula>
    </cfRule>
  </conditionalFormatting>
  <conditionalFormatting sqref="AB186">
    <cfRule type="cellIs" dxfId="804" priority="80" operator="equal">
      <formula>"offen"</formula>
    </cfRule>
  </conditionalFormatting>
  <conditionalFormatting sqref="AB191">
    <cfRule type="cellIs" dxfId="803" priority="79" operator="equal">
      <formula>"offen"</formula>
    </cfRule>
  </conditionalFormatting>
  <conditionalFormatting sqref="AB198">
    <cfRule type="cellIs" dxfId="802" priority="78" operator="equal">
      <formula>"offen"</formula>
    </cfRule>
  </conditionalFormatting>
  <conditionalFormatting sqref="AB200">
    <cfRule type="cellIs" dxfId="801" priority="77" operator="equal">
      <formula>"offen"</formula>
    </cfRule>
  </conditionalFormatting>
  <conditionalFormatting sqref="AB202">
    <cfRule type="cellIs" dxfId="800" priority="76" operator="equal">
      <formula>"offen"</formula>
    </cfRule>
  </conditionalFormatting>
  <conditionalFormatting sqref="AB204">
    <cfRule type="cellIs" dxfId="799" priority="75" operator="equal">
      <formula>"offen"</formula>
    </cfRule>
  </conditionalFormatting>
  <conditionalFormatting sqref="AB206">
    <cfRule type="cellIs" dxfId="798" priority="74" operator="equal">
      <formula>"offen"</formula>
    </cfRule>
  </conditionalFormatting>
  <conditionalFormatting sqref="AB207">
    <cfRule type="cellIs" dxfId="797" priority="73" operator="equal">
      <formula>"offen"</formula>
    </cfRule>
  </conditionalFormatting>
  <conditionalFormatting sqref="AB208">
    <cfRule type="cellIs" dxfId="796" priority="72" operator="equal">
      <formula>"offen"</formula>
    </cfRule>
  </conditionalFormatting>
  <conditionalFormatting sqref="AB211">
    <cfRule type="cellIs" dxfId="795" priority="71" operator="equal">
      <formula>"offen"</formula>
    </cfRule>
  </conditionalFormatting>
  <conditionalFormatting sqref="AB214:AB216">
    <cfRule type="cellIs" dxfId="794" priority="70" operator="equal">
      <formula>"offen"</formula>
    </cfRule>
  </conditionalFormatting>
  <conditionalFormatting sqref="AB192">
    <cfRule type="cellIs" dxfId="793" priority="69" operator="equal">
      <formula>"offen"</formula>
    </cfRule>
  </conditionalFormatting>
  <conditionalFormatting sqref="AB221">
    <cfRule type="cellIs" dxfId="792" priority="68" operator="equal">
      <formula>"offen"</formula>
    </cfRule>
  </conditionalFormatting>
  <conditionalFormatting sqref="AB222">
    <cfRule type="cellIs" dxfId="791" priority="67" operator="equal">
      <formula>"offen"</formula>
    </cfRule>
  </conditionalFormatting>
  <conditionalFormatting sqref="AB223">
    <cfRule type="cellIs" dxfId="790" priority="66" operator="equal">
      <formula>"offen"</formula>
    </cfRule>
  </conditionalFormatting>
  <conditionalFormatting sqref="AB224">
    <cfRule type="cellIs" dxfId="789" priority="65" operator="equal">
      <formula>"offen"</formula>
    </cfRule>
  </conditionalFormatting>
  <conditionalFormatting sqref="AB225">
    <cfRule type="cellIs" dxfId="788" priority="64" operator="equal">
      <formula>"offen"</formula>
    </cfRule>
  </conditionalFormatting>
  <conditionalFormatting sqref="AB228">
    <cfRule type="cellIs" dxfId="787" priority="63" operator="equal">
      <formula>"offen"</formula>
    </cfRule>
  </conditionalFormatting>
  <conditionalFormatting sqref="AB227">
    <cfRule type="cellIs" dxfId="786" priority="62" operator="equal">
      <formula>"offen"</formula>
    </cfRule>
  </conditionalFormatting>
  <conditionalFormatting sqref="AB217">
    <cfRule type="cellIs" dxfId="785" priority="61" operator="equal">
      <formula>"offen"</formula>
    </cfRule>
  </conditionalFormatting>
  <conditionalFormatting sqref="AB218">
    <cfRule type="cellIs" dxfId="784" priority="60" operator="equal">
      <formula>"offen"</formula>
    </cfRule>
  </conditionalFormatting>
  <conditionalFormatting sqref="AH189">
    <cfRule type="cellIs" dxfId="783" priority="59" operator="equal">
      <formula>"offen"</formula>
    </cfRule>
  </conditionalFormatting>
  <conditionalFormatting sqref="AH244">
    <cfRule type="cellIs" dxfId="782" priority="58" operator="equal">
      <formula>"offen"</formula>
    </cfRule>
  </conditionalFormatting>
  <conditionalFormatting sqref="AC174">
    <cfRule type="cellIs" dxfId="781" priority="57" operator="equal">
      <formula>"offen"</formula>
    </cfRule>
  </conditionalFormatting>
  <conditionalFormatting sqref="AC183">
    <cfRule type="cellIs" dxfId="780" priority="56" operator="equal">
      <formula>"offen"</formula>
    </cfRule>
  </conditionalFormatting>
  <conditionalFormatting sqref="AC184">
    <cfRule type="cellIs" dxfId="779" priority="55" operator="equal">
      <formula>"offen"</formula>
    </cfRule>
  </conditionalFormatting>
  <conditionalFormatting sqref="AC193">
    <cfRule type="cellIs" dxfId="778" priority="54" operator="equal">
      <formula>"offen"</formula>
    </cfRule>
  </conditionalFormatting>
  <conditionalFormatting sqref="AC194">
    <cfRule type="cellIs" dxfId="777" priority="53" operator="equal">
      <formula>"offen"</formula>
    </cfRule>
  </conditionalFormatting>
  <conditionalFormatting sqref="AC195">
    <cfRule type="cellIs" dxfId="776" priority="52" operator="equal">
      <formula>"offen"</formula>
    </cfRule>
  </conditionalFormatting>
  <conditionalFormatting sqref="AC197">
    <cfRule type="cellIs" dxfId="775" priority="51" operator="equal">
      <formula>"offen"</formula>
    </cfRule>
  </conditionalFormatting>
  <conditionalFormatting sqref="AC201">
    <cfRule type="cellIs" dxfId="774" priority="50" operator="equal">
      <formula>"offen"</formula>
    </cfRule>
  </conditionalFormatting>
  <conditionalFormatting sqref="AC209">
    <cfRule type="cellIs" dxfId="773" priority="49" operator="equal">
      <formula>"offen"</formula>
    </cfRule>
  </conditionalFormatting>
  <conditionalFormatting sqref="AC210">
    <cfRule type="cellIs" dxfId="772" priority="48" operator="equal">
      <formula>"offen"</formula>
    </cfRule>
  </conditionalFormatting>
  <conditionalFormatting sqref="AC237">
    <cfRule type="cellIs" dxfId="771" priority="47" operator="equal">
      <formula>"offen"</formula>
    </cfRule>
  </conditionalFormatting>
  <conditionalFormatting sqref="AC236">
    <cfRule type="cellIs" dxfId="770" priority="46" operator="equal">
      <formula>"offen"</formula>
    </cfRule>
  </conditionalFormatting>
  <conditionalFormatting sqref="AC235">
    <cfRule type="cellIs" dxfId="769" priority="45" operator="equal">
      <formula>"offen"</formula>
    </cfRule>
  </conditionalFormatting>
  <conditionalFormatting sqref="AC233">
    <cfRule type="cellIs" dxfId="768" priority="44" operator="equal">
      <formula>"offen"</formula>
    </cfRule>
  </conditionalFormatting>
  <conditionalFormatting sqref="AC243">
    <cfRule type="cellIs" dxfId="767" priority="43" operator="equal">
      <formula>"offen"</formula>
    </cfRule>
  </conditionalFormatting>
  <conditionalFormatting sqref="AC228">
    <cfRule type="cellIs" dxfId="766" priority="42" operator="equal">
      <formula>"offen"</formula>
    </cfRule>
  </conditionalFormatting>
  <conditionalFormatting sqref="AC225">
    <cfRule type="cellIs" dxfId="765" priority="41" operator="equal">
      <formula>"offen"</formula>
    </cfRule>
  </conditionalFormatting>
  <conditionalFormatting sqref="AC224">
    <cfRule type="cellIs" dxfId="764" priority="40" operator="equal">
      <formula>"offen"</formula>
    </cfRule>
  </conditionalFormatting>
  <conditionalFormatting sqref="AC223">
    <cfRule type="cellIs" dxfId="763" priority="39" operator="equal">
      <formula>"offen"</formula>
    </cfRule>
  </conditionalFormatting>
  <conditionalFormatting sqref="AC222">
    <cfRule type="cellIs" dxfId="762" priority="38" operator="equal">
      <formula>"offen"</formula>
    </cfRule>
  </conditionalFormatting>
  <conditionalFormatting sqref="AC221">
    <cfRule type="cellIs" dxfId="761" priority="37" operator="equal">
      <formula>"offen"</formula>
    </cfRule>
  </conditionalFormatting>
  <conditionalFormatting sqref="AC214:AC216">
    <cfRule type="cellIs" dxfId="760" priority="36" operator="equal">
      <formula>"offen"</formula>
    </cfRule>
  </conditionalFormatting>
  <conditionalFormatting sqref="AC213">
    <cfRule type="cellIs" dxfId="759" priority="35" operator="equal">
      <formula>"offen"</formula>
    </cfRule>
  </conditionalFormatting>
  <conditionalFormatting sqref="AC211">
    <cfRule type="cellIs" dxfId="758" priority="34" operator="equal">
      <formula>"offen"</formula>
    </cfRule>
  </conditionalFormatting>
  <conditionalFormatting sqref="AC208">
    <cfRule type="cellIs" dxfId="757" priority="33" operator="equal">
      <formula>"offen"</formula>
    </cfRule>
  </conditionalFormatting>
  <conditionalFormatting sqref="AC207">
    <cfRule type="cellIs" dxfId="756" priority="32" operator="equal">
      <formula>"offen"</formula>
    </cfRule>
  </conditionalFormatting>
  <conditionalFormatting sqref="AC206">
    <cfRule type="cellIs" dxfId="755" priority="31" operator="equal">
      <formula>"offen"</formula>
    </cfRule>
  </conditionalFormatting>
  <conditionalFormatting sqref="AC204">
    <cfRule type="cellIs" dxfId="754" priority="30" operator="equal">
      <formula>"offen"</formula>
    </cfRule>
  </conditionalFormatting>
  <conditionalFormatting sqref="AC198">
    <cfRule type="cellIs" dxfId="753" priority="29" operator="equal">
      <formula>"offen"</formula>
    </cfRule>
  </conditionalFormatting>
  <conditionalFormatting sqref="AC199">
    <cfRule type="cellIs" dxfId="752" priority="28" operator="equal">
      <formula>"offen"</formula>
    </cfRule>
  </conditionalFormatting>
  <conditionalFormatting sqref="AC200">
    <cfRule type="cellIs" dxfId="751" priority="27" operator="equal">
      <formula>"offen"</formula>
    </cfRule>
  </conditionalFormatting>
  <conditionalFormatting sqref="AC191">
    <cfRule type="cellIs" dxfId="750" priority="26" operator="equal">
      <formula>"offen"</formula>
    </cfRule>
  </conditionalFormatting>
  <conditionalFormatting sqref="AC185">
    <cfRule type="cellIs" dxfId="749" priority="25" operator="equal">
      <formula>"offen"</formula>
    </cfRule>
  </conditionalFormatting>
  <conditionalFormatting sqref="AC173">
    <cfRule type="cellIs" dxfId="748" priority="24" operator="equal">
      <formula>"offen"</formula>
    </cfRule>
  </conditionalFormatting>
  <conditionalFormatting sqref="AC182">
    <cfRule type="cellIs" dxfId="747" priority="23" operator="equal">
      <formula>"offen"</formula>
    </cfRule>
  </conditionalFormatting>
  <conditionalFormatting sqref="AC189">
    <cfRule type="cellIs" dxfId="746" priority="22" operator="equal">
      <formula>"offen"</formula>
    </cfRule>
  </conditionalFormatting>
  <conditionalFormatting sqref="AC218">
    <cfRule type="cellIs" dxfId="745" priority="21" operator="equal">
      <formula>"offen"</formula>
    </cfRule>
  </conditionalFormatting>
  <conditionalFormatting sqref="AC227">
    <cfRule type="cellIs" dxfId="744" priority="20" operator="equal">
      <formula>"offen"</formula>
    </cfRule>
  </conditionalFormatting>
  <conditionalFormatting sqref="AC202">
    <cfRule type="cellIs" dxfId="743" priority="19" operator="equal">
      <formula>"offen"</formula>
    </cfRule>
  </conditionalFormatting>
  <conditionalFormatting sqref="AC205">
    <cfRule type="cellIs" dxfId="742" priority="18" operator="equal">
      <formula>"offen"</formula>
    </cfRule>
  </conditionalFormatting>
  <conditionalFormatting sqref="AC240">
    <cfRule type="cellIs" dxfId="741" priority="17" operator="equal">
      <formula>"offen"</formula>
    </cfRule>
  </conditionalFormatting>
  <conditionalFormatting sqref="AC244">
    <cfRule type="cellIs" dxfId="740" priority="16" operator="equal">
      <formula>"offen"</formula>
    </cfRule>
  </conditionalFormatting>
  <conditionalFormatting sqref="AB240">
    <cfRule type="cellIs" dxfId="739" priority="15" operator="equal">
      <formula>"offen"</formula>
    </cfRule>
  </conditionalFormatting>
  <conditionalFormatting sqref="AB244">
    <cfRule type="cellIs" dxfId="738" priority="14" operator="equal">
      <formula>"offen"</formula>
    </cfRule>
  </conditionalFormatting>
  <conditionalFormatting sqref="AC186">
    <cfRule type="cellIs" dxfId="737" priority="13" operator="equal">
      <formula>"offen"</formula>
    </cfRule>
  </conditionalFormatting>
  <conditionalFormatting sqref="Z158">
    <cfRule type="cellIs" dxfId="736" priority="12" operator="equal">
      <formula>"offen"</formula>
    </cfRule>
  </conditionalFormatting>
  <conditionalFormatting sqref="X156:X157">
    <cfRule type="cellIs" dxfId="735" priority="11" operator="equal">
      <formula>"offen"</formula>
    </cfRule>
  </conditionalFormatting>
  <conditionalFormatting sqref="Z156:Z157">
    <cfRule type="cellIs" dxfId="734" priority="10" operator="equal">
      <formula>"offen"</formula>
    </cfRule>
  </conditionalFormatting>
  <conditionalFormatting sqref="D6">
    <cfRule type="cellIs" dxfId="733" priority="9" operator="equal">
      <formula>"offen"</formula>
    </cfRule>
  </conditionalFormatting>
  <conditionalFormatting sqref="E6">
    <cfRule type="cellIs" dxfId="732" priority="8" operator="equal">
      <formula>"offen"</formula>
    </cfRule>
  </conditionalFormatting>
  <conditionalFormatting sqref="H6">
    <cfRule type="cellIs" dxfId="731" priority="7" operator="equal">
      <formula>"offen"</formula>
    </cfRule>
  </conditionalFormatting>
  <conditionalFormatting sqref="I6">
    <cfRule type="cellIs" dxfId="730" priority="6" operator="equal">
      <formula>"offen"</formula>
    </cfRule>
  </conditionalFormatting>
  <conditionalFormatting sqref="AH153">
    <cfRule type="cellIs" dxfId="729" priority="5" operator="equal">
      <formula>"offen"</formula>
    </cfRule>
  </conditionalFormatting>
  <conditionalFormatting sqref="E7">
    <cfRule type="cellIs" dxfId="728" priority="4" operator="equal">
      <formula>"offen"</formula>
    </cfRule>
  </conditionalFormatting>
  <conditionalFormatting sqref="E8">
    <cfRule type="cellIs" dxfId="727" priority="3" operator="equal">
      <formula>"offen"</formula>
    </cfRule>
  </conditionalFormatting>
  <conditionalFormatting sqref="D8">
    <cfRule type="cellIs" dxfId="726" priority="2" operator="equal">
      <formula>"offen"</formula>
    </cfRule>
  </conditionalFormatting>
  <conditionalFormatting sqref="D7">
    <cfRule type="cellIs" dxfId="725" priority="1" operator="equal">
      <formula>"offen"</formula>
    </cfRule>
  </conditionalFormatting>
  <dataValidations count="23">
    <dataValidation errorStyle="warning" allowBlank="1" showInputMessage="1" showErrorMessage="1" sqref="AL40:AL43 AL46:AL82 AN69 AL86:AL151 AL154:AL176 AL178:AL245 AL9:AL38" xr:uid="{00000000-0002-0000-0000-000000000000}"/>
    <dataValidation type="list" allowBlank="1" showInputMessage="1" showErrorMessage="1" sqref="U198 V9:V245" xr:uid="{00000000-0002-0000-0000-000001000000}">
      <formula1 xml:space="preserve"> Federführung</formula1>
    </dataValidation>
    <dataValidation type="list" allowBlank="1" showInputMessage="1" showErrorMessage="1" sqref="AI40:AI43 AI10:AI11 AI15:AI38 AI154:AI245 AI46:AI151" xr:uid="{00000000-0002-0000-0000-000002000000}">
      <formula1 xml:space="preserve"> Bedürfnisabklärung</formula1>
    </dataValidation>
    <dataValidation type="list" allowBlank="1" showInputMessage="1" showErrorMessage="1" sqref="AJ40:AJ43 AJ10:AJ38 AJ235:AJ245 AJ154:AJ233 AJ46:AJ151" xr:uid="{00000000-0002-0000-0000-000003000000}">
      <formula1>Status_Projektkedit</formula1>
    </dataValidation>
    <dataValidation type="list" allowBlank="1" showInputMessage="1" showErrorMessage="1" sqref="AO85:AP245 AL39:AN39 AJ39 AO10:AP82 AM12:AN14" xr:uid="{00000000-0002-0000-0000-000004000000}">
      <formula1>Finanzierungsart</formula1>
    </dataValidation>
    <dataValidation type="list" allowBlank="1" showInputMessage="1" showErrorMessage="1" sqref="AJ234" xr:uid="{00000000-0002-0000-0000-000005000000}">
      <formula1 xml:space="preserve"> KontoMIPRubrik</formula1>
    </dataValidation>
    <dataValidation type="list" allowBlank="1" showInputMessage="1" showErrorMessage="1" sqref="AB212 AB196 AB179 AB238:AB239 AB229:AB230 AB219:AB220 AB181 AB245" xr:uid="{00000000-0002-0000-0000-000006000000}">
      <formula1>$V$3:$V$8</formula1>
    </dataValidation>
    <dataValidation type="list" allowBlank="1" showInputMessage="1" showErrorMessage="1" sqref="AC245 AC179 AC229:AC230 AC238:AC239 AC181 AC196 AC219:AC220 AC212" xr:uid="{00000000-0002-0000-0000-000007000000}">
      <formula1>$W$3:$W$8</formula1>
    </dataValidation>
    <dataValidation type="list" allowBlank="1" showInputMessage="1" showErrorMessage="1" sqref="AH236 AH233 AH218" xr:uid="{00000000-0002-0000-0000-000008000000}">
      <formula1>$Z$3:$Z$20</formula1>
    </dataValidation>
    <dataValidation type="list" allowBlank="1" showInputMessage="1" showErrorMessage="1" sqref="E243:E245 E228:E241 E6:E226" xr:uid="{00000000-0002-0000-0000-000009000000}">
      <formula1>INDIRECT(SUBSTITUTE(D6, " ", "_"))</formula1>
    </dataValidation>
    <dataValidation type="list" allowBlank="1" showInputMessage="1" showErrorMessage="1" sqref="E242" xr:uid="{00000000-0002-0000-0000-00000A000000}">
      <formula1>INDIRECT(SUBSTITUTE(D227, " ", "_"))</formula1>
    </dataValidation>
    <dataValidation type="list" allowBlank="1" showInputMessage="1" showErrorMessage="1" sqref="D6:D245" xr:uid="{00000000-0002-0000-0000-00000B000000}">
      <formula1>Projekttyp</formula1>
    </dataValidation>
    <dataValidation type="list" allowBlank="1" showInputMessage="1" showErrorMessage="1" sqref="I6 I9:I245" xr:uid="{00000000-0002-0000-0000-00000C000000}">
      <formula1>Projektpriorität</formula1>
    </dataValidation>
    <dataValidation type="list" allowBlank="1" showInputMessage="1" showErrorMessage="1" sqref="H6 H9:H245" xr:uid="{00000000-0002-0000-0000-00000D000000}">
      <formula1>Politische_Bedeutung</formula1>
    </dataValidation>
    <dataValidation type="list" allowBlank="1" showInputMessage="1" showErrorMessage="1" sqref="X9:X245" xr:uid="{00000000-0002-0000-0000-00000E000000}">
      <formula1>Projektverantwortung</formula1>
    </dataValidation>
    <dataValidation type="list" errorStyle="warning" allowBlank="1" showInputMessage="1" showErrorMessage="1" sqref="Z9:Z245" xr:uid="{00000000-0002-0000-0000-00000F000000}">
      <formula1>Projektleitung</formula1>
    </dataValidation>
    <dataValidation type="list" allowBlank="1" showInputMessage="1" showErrorMessage="1" sqref="DW9:DW245 DE9:DE245 DN9:DN245 BM9:BS245 BV9:CB245 CE9:CK245 CN9:CT245" xr:uid="{00000000-0002-0000-0000-000010000000}">
      <formula1>Aufwand</formula1>
    </dataValidation>
    <dataValidation type="list" errorStyle="warning" allowBlank="1" showInputMessage="1" showErrorMessage="1" sqref="AF9:AG245" xr:uid="{00000000-0002-0000-0000-000011000000}">
      <formula1>$A$6:$A$245</formula1>
    </dataValidation>
    <dataValidation type="list" allowBlank="1" showInputMessage="1" showErrorMessage="1" sqref="W9:W245" xr:uid="{00000000-0002-0000-0000-000012000000}">
      <formula1>Fachgruppe</formula1>
    </dataValidation>
    <dataValidation type="list" allowBlank="1" showInputMessage="1" showErrorMessage="1" sqref="BU9:BU245 DZ9:DZ245 CM9:CM245 CD9:CD245 DX9:DX245 DU9:DU245 DS9:DS245 DQ9:DQ245 DO9:DO245 DL9:DL245 DJ9:DJ245 DH9:DH245 DF9:DF245 DC9:DC245 DA9:DA245 CY9:CY245 CW9:CW245" xr:uid="{00000000-0002-0000-0000-000013000000}">
      <formula1>$AE$3:$AE$15</formula1>
    </dataValidation>
    <dataValidation type="list" allowBlank="1" sqref="DG9:DG245 DM9:DM245 EA9:EA245 DY9:DY245 DR9:DR245 DP9:DP245 DV9:DV245 DT9:DT245 DI9:DI245" xr:uid="{00000000-0002-0000-0000-000014000000}">
      <formula1>$AD$3:$AD$17</formula1>
    </dataValidation>
    <dataValidation type="list" allowBlank="1" showInputMessage="1" showErrorMessage="1" sqref="CZ9:CZ245 DD9:DD245 DB9:DB245" xr:uid="{00000000-0002-0000-0000-000015000000}">
      <formula1>$AD$3:$AD$17</formula1>
    </dataValidation>
    <dataValidation type="list" allowBlank="1" showInputMessage="1" showErrorMessage="1" sqref="J9:J245" xr:uid="{00000000-0002-0000-0000-000016000000}">
      <formula1>Projektcharakter</formula1>
    </dataValidation>
  </dataValidations>
  <pageMargins left="0.25" right="0.25" top="0.75" bottom="0.75" header="0.3" footer="0.3"/>
  <pageSetup paperSize="8" scale="16" orientation="landscape" r:id="rId1"/>
  <colBreaks count="1" manualBreakCount="1">
    <brk id="48" max="286" man="1"/>
  </colBreaks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437" operator="containsText" id="{87D0B417-3736-4F20-873D-D9781F506948}">
            <xm:f>NOT(ISERROR(SEARCH(Quellendaten!$B$7,Quellendaten!B6)))</xm:f>
            <xm:f>Quellendaten!$B$7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C9 C44:C45 C39 C27:C29 C17:C18 C132:C141 C148:C153</xm:sqref>
        </x14:conditionalFormatting>
        <x14:conditionalFormatting xmlns:xm="http://schemas.microsoft.com/office/excel/2006/main">
          <x14:cfRule type="containsText" priority="1439" operator="containsText" id="{87D0B417-3736-4F20-873D-D9781F506948}">
            <xm:f>NOT(ISERROR(SEARCH(Quellendaten!$B$7,Quellendaten!#REF!)))</xm:f>
            <xm:f>Quellendaten!$B$7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C10</xm:sqref>
        </x14:conditionalFormatting>
        <x14:conditionalFormatting xmlns:xm="http://schemas.microsoft.com/office/excel/2006/main">
          <x14:cfRule type="cellIs" priority="1440" operator="equal" id="{B1026CBA-5043-425C-A5D6-DBD7E0313591}">
            <xm:f>Quellendaten!$B$7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C245 C190:C243 C7:C188</xm:sqref>
        </x14:conditionalFormatting>
        <x14:conditionalFormatting xmlns:xm="http://schemas.microsoft.com/office/excel/2006/main">
          <x14:cfRule type="containsText" priority="1444" operator="containsText" id="{87D0B417-3736-4F20-873D-D9781F506948}">
            <xm:f>NOT(ISERROR(SEARCH(Quellendaten!$B$7,Quellendaten!B26)))</xm:f>
            <xm:f>Quellendaten!$B$7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C40:C42 C142 C30:C31 C154:C155 C206:C212</xm:sqref>
        </x14:conditionalFormatting>
        <x14:conditionalFormatting xmlns:xm="http://schemas.microsoft.com/office/excel/2006/main">
          <x14:cfRule type="containsText" priority="1452" operator="containsText" id="{87D0B417-3736-4F20-873D-D9781F506948}">
            <xm:f>NOT(ISERROR(SEARCH(Quellendaten!$B$7,Quellendaten!B27)))</xm:f>
            <xm:f>Quellendaten!$B$7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C43 C156:C157 C131 C32:C38 C46:C53 C178:C179 C213:C216</xm:sqref>
        </x14:conditionalFormatting>
        <x14:conditionalFormatting xmlns:xm="http://schemas.microsoft.com/office/excel/2006/main">
          <x14:cfRule type="cellIs" priority="461" operator="equal" id="{13728FF7-9F4A-4A70-9031-CDA1E8B476CE}">
            <xm:f>Quellendaten!$B$7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C6</xm:sqref>
        </x14:conditionalFormatting>
        <x14:conditionalFormatting xmlns:xm="http://schemas.microsoft.com/office/excel/2006/main">
          <x14:cfRule type="containsText" priority="1470" operator="containsText" id="{87D0B417-3736-4F20-873D-D9781F506948}">
            <xm:f>NOT(ISERROR(SEARCH(Quellendaten!$B$7,Quellendaten!B13)))</xm:f>
            <xm:f>Quellendaten!$B$7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C143:C147 C23:C26 C15:C16</xm:sqref>
        </x14:conditionalFormatting>
        <x14:conditionalFormatting xmlns:xm="http://schemas.microsoft.com/office/excel/2006/main">
          <x14:cfRule type="containsText" priority="1500" operator="containsText" id="{87D0B417-3736-4F20-873D-D9781F506948}">
            <xm:f>NOT(ISERROR(SEARCH(Quellendaten!$B$7,Quellendaten!B50)))</xm:f>
            <xm:f>Quellendaten!$B$7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C240:C243 C232:C234 C220 C189:C192 C172:C175 C126:C129 C117:C118 C89 C85 C69:C82 C58:C60</xm:sqref>
        </x14:conditionalFormatting>
        <x14:conditionalFormatting xmlns:xm="http://schemas.microsoft.com/office/excel/2006/main">
          <x14:cfRule type="cellIs" priority="458" operator="equal" id="{EF5D2F7E-F18C-47B7-827A-7482F696019A}">
            <xm:f>Quellendaten!$B$7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C189</xm:sqref>
        </x14:conditionalFormatting>
        <x14:conditionalFormatting xmlns:xm="http://schemas.microsoft.com/office/excel/2006/main">
          <x14:cfRule type="containsText" priority="1542" operator="containsText" id="{87D0B417-3736-4F20-873D-D9781F506948}">
            <xm:f>NOT(ISERROR(SEARCH(Quellendaten!$B$7,Quellendaten!B77)))</xm:f>
            <xm:f>Quellendaten!$B$7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C221:C230 C168:C169 C119:C123 C90:C97 C86 C244:C245</xm:sqref>
        </x14:conditionalFormatting>
        <x14:conditionalFormatting xmlns:xm="http://schemas.microsoft.com/office/excel/2006/main">
          <x14:cfRule type="containsText" priority="1598" operator="containsText" id="{87D0B417-3736-4F20-873D-D9781F506948}">
            <xm:f>NOT(ISERROR(SEARCH(Quellendaten!$B$7,Quellendaten!B48)))</xm:f>
            <xm:f>Quellendaten!$B$7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C235:C239 C54:C55 C61:C67 C130 C193:C196 C201:C205 C180:C181 C158:C162 C83:C84</xm:sqref>
        </x14:conditionalFormatting>
        <x14:conditionalFormatting xmlns:xm="http://schemas.microsoft.com/office/excel/2006/main">
          <x14:cfRule type="cellIs" priority="138" operator="equal" id="{386E6E46-C924-45E9-B9F4-091E61E9D1F7}">
            <xm:f>Quellendaten!$B$7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C244</xm:sqref>
        </x14:conditionalFormatting>
        <x14:conditionalFormatting xmlns:xm="http://schemas.microsoft.com/office/excel/2006/main">
          <x14:cfRule type="containsText" priority="1829" operator="containsText" id="{87D0B417-3736-4F20-873D-D9781F506948}">
            <xm:f>NOT(ISERROR(SEARCH(Quellendaten!$B$7,Quellendaten!B49)))</xm:f>
            <xm:f>Quellendaten!$B$7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C217:C219 C56:C57 C68 C87:C88 C124:C125 C163:C167 C176:C177 C182:C188 C197:C200</xm:sqref>
        </x14:conditionalFormatting>
        <x14:conditionalFormatting xmlns:xm="http://schemas.microsoft.com/office/excel/2006/main">
          <x14:cfRule type="containsText" priority="1934" operator="containsText" id="{87D0B417-3736-4F20-873D-D9781F506948}">
            <xm:f>NOT(ISERROR(SEARCH(Quellendaten!$B$7,Quellendaten!B88)))</xm:f>
            <xm:f>Quellendaten!$B$7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C231 C98:C116 C170:C171</xm:sqref>
        </x14:conditionalFormatting>
        <x14:conditionalFormatting xmlns:xm="http://schemas.microsoft.com/office/excel/2006/main">
          <x14:cfRule type="containsText" priority="1969" operator="containsText" id="{87D0B417-3736-4F20-873D-D9781F506948}">
            <xm:f>NOT(ISERROR(SEARCH(Quellendaten!$B$7,Quellendaten!B10)))</xm:f>
            <xm:f>Quellendaten!$B$7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C19:C22 C11</xm:sqref>
        </x14:conditionalFormatting>
        <x14:conditionalFormatting xmlns:xm="http://schemas.microsoft.com/office/excel/2006/main">
          <x14:cfRule type="containsText" priority="1992" operator="containsText" id="{87D0B417-3736-4F20-873D-D9781F506948}">
            <xm:f>NOT(ISERROR(SEARCH(Quellendaten!$B$7,Quellendaten!B13)))</xm:f>
            <xm:f>Quellendaten!$B$7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C12:C14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8">
        <x14:dataValidation type="list" allowBlank="1" showInputMessage="1" showErrorMessage="1" xr:uid="{00000000-0002-0000-0000-000017000000}">
          <x14:formula1>
            <xm:f>Quellendaten!$AB$3:$AB$7</xm:f>
          </x14:formula1>
          <xm:sqref>AI9</xm:sqref>
        </x14:dataValidation>
        <x14:dataValidation type="list" allowBlank="1" showInputMessage="1" showErrorMessage="1" xr:uid="{00000000-0002-0000-0000-000018000000}">
          <x14:formula1>
            <xm:f>Quellendaten!$AC$3:$AC$7</xm:f>
          </x14:formula1>
          <xm:sqref>AJ9</xm:sqref>
        </x14:dataValidation>
        <x14:dataValidation type="list" allowBlank="1" showInputMessage="1" showErrorMessage="1" xr:uid="{00000000-0002-0000-0000-000019000000}">
          <x14:formula1>
            <xm:f>Quellendaten!$W$3:$W$8</xm:f>
          </x14:formula1>
          <xm:sqref>AB180 AB231:AB237 AB213:AB218 AB182:AB195 AB197:AB211 AB221:AB228 AB240:AB244 AB9:AB178</xm:sqref>
        </x14:dataValidation>
        <x14:dataValidation type="list" allowBlank="1" showInputMessage="1" showErrorMessage="1" xr:uid="{00000000-0002-0000-0000-00001A000000}">
          <x14:formula1>
            <xm:f>Quellendaten!$X$3:$X$8</xm:f>
          </x14:formula1>
          <xm:sqref>AC180 AC197:AC211 AC231:AC237 AC221:AC228 AC213:AC218 AC182:AC195 AC240:AC244 AC9:AC178</xm:sqref>
        </x14:dataValidation>
        <x14:dataValidation type="list" allowBlank="1" showInputMessage="1" showErrorMessage="1" xr:uid="{00000000-0002-0000-0000-00001B000000}">
          <x14:formula1>
            <xm:f>Quellendaten!$AA$3:$AA$25</xm:f>
          </x14:formula1>
          <xm:sqref>AH153:AH158 AH237:AH245 AH160:AH217 AH219:AH232 AH234:AH235 AH9:AH151</xm:sqref>
        </x14:dataValidation>
        <x14:dataValidation type="list" allowBlank="1" showInputMessage="1" showErrorMessage="1" xr:uid="{00000000-0002-0000-0000-00001C000000}">
          <x14:formula1>
            <xm:f>Quellendaten!$I$3:$I$6</xm:f>
          </x14:formula1>
          <xm:sqref>L9:L245</xm:sqref>
        </x14:dataValidation>
        <x14:dataValidation type="list" allowBlank="1" showInputMessage="1" showErrorMessage="1" xr:uid="{00000000-0002-0000-0000-00001D000000}">
          <x14:formula1>
            <xm:f>Quellendaten!$M$3:$M$5</xm:f>
          </x14:formula1>
          <xm:sqref>N9:N245</xm:sqref>
        </x14:dataValidation>
        <x14:dataValidation type="list" allowBlank="1" showInputMessage="1" showErrorMessage="1" xr:uid="{00000000-0002-0000-0000-00001E000000}">
          <x14:formula1>
            <xm:f>Quellendaten!$O$3:$O$23</xm:f>
          </x14:formula1>
          <xm:sqref>T9:T245</xm:sqref>
        </x14:dataValidation>
        <x14:dataValidation type="list" allowBlank="1" showInputMessage="1" showErrorMessage="1" xr:uid="{00000000-0002-0000-0000-00001F000000}">
          <x14:formula1>
            <xm:f>Quellendaten!$L$3:$L$7</xm:f>
          </x14:formula1>
          <xm:sqref>AE9:AE245</xm:sqref>
        </x14:dataValidation>
        <x14:dataValidation type="list" allowBlank="1" showInputMessage="1" showErrorMessage="1" xr:uid="{00000000-0002-0000-0000-000020000000}">
          <x14:formula1>
            <xm:f>Quellendaten!$J$3:$J$7</xm:f>
          </x14:formula1>
          <xm:sqref>K9:K245</xm:sqref>
        </x14:dataValidation>
        <x14:dataValidation type="list" allowBlank="1" showInputMessage="1" showErrorMessage="1" xr:uid="{00000000-0002-0000-0000-000021000000}">
          <x14:formula1>
            <xm:f>Quellendaten!$AF$3:$AF$18</xm:f>
          </x14:formula1>
          <xm:sqref>BL9:BL245</xm:sqref>
        </x14:dataValidation>
        <x14:dataValidation type="list" allowBlank="1" xr:uid="{00000000-0002-0000-0000-000022000000}">
          <x14:formula1>
            <xm:f>Quellendaten!$AE$3:$AE$20</xm:f>
          </x14:formula1>
          <xm:sqref>DK9:DK245</xm:sqref>
        </x14:dataValidation>
        <x14:dataValidation type="list" allowBlank="1" showInputMessage="1" showErrorMessage="1" xr:uid="{00000000-0002-0000-0000-000023000000}">
          <x14:formula1>
            <xm:f>Quellendaten!$B$3:$B$7</xm:f>
          </x14:formula1>
          <xm:sqref>C9:C245</xm:sqref>
        </x14:dataValidation>
        <x14:dataValidation type="list" allowBlank="1" showInputMessage="1" showErrorMessage="1" xr:uid="{00000000-0002-0000-0000-000024000000}">
          <x14:formula1>
            <xm:f>Quellendaten!$V$3:$V$22</xm:f>
          </x14:formula1>
          <xm:sqref>AA9:AA245</xm:sqref>
        </x14:dataValidation>
        <x14:dataValidation type="list" allowBlank="1" showInputMessage="1" showErrorMessage="1" xr:uid="{00000000-0002-0000-0000-000025000000}">
          <x14:formula1>
            <xm:f>Quellendaten!$Y$3:$Y$6</xm:f>
          </x14:formula1>
          <xm:sqref>AD9:AD245</xm:sqref>
        </x14:dataValidation>
        <x14:dataValidation type="list" allowBlank="1" showInputMessage="1" showErrorMessage="1" xr:uid="{00000000-0002-0000-0000-000026000000}">
          <x14:formula1>
            <xm:f>Quellendaten!$AE$3:$AE$20</xm:f>
          </x14:formula1>
          <xm:sqref>CX9:CX245</xm:sqref>
        </x14:dataValidation>
        <x14:dataValidation type="list" allowBlank="1" showInputMessage="1" showErrorMessage="1" xr:uid="{00000000-0002-0000-0000-000027000000}">
          <x14:formula1>
            <xm:f>Quellendaten!$T$3:$T$11</xm:f>
          </x14:formula1>
          <xm:sqref>Y9:Y245</xm:sqref>
        </x14:dataValidation>
        <x14:dataValidation type="list" allowBlank="1" showInputMessage="1" showErrorMessage="1" xr:uid="{00000000-0002-0000-0000-000028000000}">
          <x14:formula1>
            <xm:f>Quellendaten!$A$3:$A$9</xm:f>
          </x14:formula1>
          <xm:sqref>B9:B245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L56"/>
  <sheetViews>
    <sheetView showGridLines="0" tabSelected="1" topLeftCell="A25" zoomScaleNormal="100" zoomScaleSheetLayoutView="175" workbookViewId="0">
      <selection activeCell="A39" sqref="A39"/>
    </sheetView>
  </sheetViews>
  <sheetFormatPr defaultColWidth="11.42578125" defaultRowHeight="12.75"/>
  <cols>
    <col min="1" max="1" width="47.5703125" style="18" bestFit="1" customWidth="1"/>
    <col min="2" max="2" width="0.5703125" style="18" customWidth="1"/>
    <col min="3" max="3" width="53.85546875" style="18" bestFit="1" customWidth="1"/>
    <col min="4" max="4" width="0.7109375" style="4" customWidth="1"/>
    <col min="5" max="10" width="8.7109375" style="4" customWidth="1"/>
    <col min="11" max="14" width="8.7109375" style="13" customWidth="1"/>
    <col min="15" max="55" width="8.7109375" style="4" customWidth="1"/>
    <col min="56" max="64" width="9" style="4" customWidth="1"/>
    <col min="65" max="16384" width="11.42578125" style="4"/>
  </cols>
  <sheetData>
    <row r="1" spans="1:64">
      <c r="A1" s="162" t="s">
        <v>60</v>
      </c>
      <c r="B1" s="2"/>
      <c r="C1" s="383" t="s">
        <v>861</v>
      </c>
      <c r="D1" s="3"/>
      <c r="E1" s="162" t="s">
        <v>28</v>
      </c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66"/>
      <c r="AJ1" s="166"/>
      <c r="AK1" s="166"/>
      <c r="AL1" s="166"/>
      <c r="AM1" s="166"/>
      <c r="AN1" s="166"/>
      <c r="AO1" s="166"/>
      <c r="AP1" s="166"/>
      <c r="AQ1" s="166"/>
      <c r="AR1" s="166"/>
      <c r="AS1" s="166"/>
      <c r="AT1" s="166"/>
      <c r="AU1" s="166"/>
      <c r="AV1" s="166"/>
      <c r="AW1" s="166"/>
      <c r="AX1" s="166"/>
      <c r="AY1" s="166"/>
      <c r="AZ1" s="166"/>
      <c r="BA1" s="166"/>
      <c r="BB1" s="166"/>
      <c r="BC1" s="166"/>
      <c r="BD1" s="166"/>
      <c r="BE1" s="166"/>
      <c r="BF1" s="166"/>
      <c r="BG1" s="166"/>
      <c r="BH1" s="166"/>
      <c r="BI1" s="166"/>
      <c r="BJ1" s="166"/>
      <c r="BK1" s="166"/>
      <c r="BL1" s="166"/>
    </row>
    <row r="2" spans="1:64" s="6" customFormat="1" ht="3" customHeight="1">
      <c r="A2" s="162"/>
      <c r="B2" s="2"/>
      <c r="C2" s="1"/>
      <c r="D2" s="5"/>
      <c r="E2" s="167"/>
      <c r="F2" s="166"/>
      <c r="G2" s="166"/>
      <c r="H2" s="166"/>
      <c r="I2" s="166"/>
      <c r="J2" s="166"/>
      <c r="K2" s="166"/>
      <c r="L2" s="166"/>
      <c r="M2" s="166"/>
      <c r="N2" s="166"/>
      <c r="O2" s="166"/>
      <c r="P2" s="166"/>
      <c r="Q2" s="166"/>
      <c r="R2" s="166"/>
      <c r="S2" s="166"/>
      <c r="T2" s="166"/>
      <c r="U2" s="166"/>
      <c r="V2" s="166"/>
      <c r="W2" s="166"/>
      <c r="X2" s="166"/>
      <c r="Y2" s="166"/>
      <c r="Z2" s="166"/>
      <c r="AA2" s="166"/>
      <c r="AB2" s="166"/>
      <c r="AC2" s="166"/>
      <c r="AD2" s="166"/>
      <c r="AE2" s="166"/>
      <c r="AF2" s="166"/>
      <c r="AG2" s="166"/>
      <c r="AH2" s="166"/>
      <c r="AI2" s="166"/>
      <c r="AJ2" s="166"/>
      <c r="AK2" s="166"/>
      <c r="AL2" s="166"/>
      <c r="AM2" s="166"/>
      <c r="AN2" s="166"/>
      <c r="AO2" s="166"/>
      <c r="AP2" s="166"/>
      <c r="AQ2" s="166"/>
      <c r="AR2" s="166"/>
      <c r="AS2" s="166"/>
      <c r="AT2" s="166"/>
      <c r="AU2" s="166"/>
      <c r="AV2" s="166"/>
      <c r="AW2" s="166"/>
      <c r="AX2" s="166"/>
      <c r="AY2" s="166"/>
      <c r="AZ2" s="166"/>
      <c r="BA2" s="166"/>
      <c r="BB2" s="166"/>
      <c r="BC2" s="166"/>
      <c r="BD2" s="166"/>
      <c r="BE2" s="166"/>
      <c r="BF2" s="166"/>
      <c r="BG2" s="166"/>
      <c r="BH2" s="166"/>
      <c r="BI2" s="166"/>
      <c r="BJ2" s="166"/>
      <c r="BK2" s="166"/>
      <c r="BL2" s="166"/>
    </row>
    <row r="3" spans="1:64" ht="21" customHeight="1">
      <c r="A3" s="163" t="s">
        <v>932</v>
      </c>
      <c r="B3" s="7"/>
      <c r="C3" s="384" t="s">
        <v>918</v>
      </c>
      <c r="D3" s="8"/>
      <c r="E3" s="168"/>
      <c r="F3" s="168"/>
      <c r="G3" s="168"/>
      <c r="H3" s="168"/>
      <c r="I3" s="168"/>
      <c r="J3" s="168"/>
      <c r="K3" s="168"/>
      <c r="L3" s="168"/>
      <c r="M3" s="168"/>
      <c r="N3" s="168"/>
      <c r="O3" s="168"/>
      <c r="P3" s="168"/>
      <c r="Q3" s="168"/>
      <c r="R3" s="168"/>
      <c r="S3" s="168"/>
      <c r="T3" s="168"/>
      <c r="U3" s="168"/>
      <c r="V3" s="168"/>
      <c r="W3" s="168"/>
      <c r="X3" s="168"/>
      <c r="Y3" s="168"/>
      <c r="Z3" s="168"/>
      <c r="AA3" s="168"/>
      <c r="AB3" s="168"/>
      <c r="AC3" s="168"/>
      <c r="AD3" s="168"/>
      <c r="AE3" s="168"/>
      <c r="AF3" s="168"/>
      <c r="AG3" s="168"/>
      <c r="AH3" s="168"/>
      <c r="AI3" s="168"/>
      <c r="AJ3" s="168"/>
      <c r="AK3" s="168"/>
      <c r="AL3" s="168"/>
      <c r="AM3" s="168"/>
      <c r="AN3" s="168"/>
      <c r="AO3" s="168"/>
      <c r="AP3" s="168"/>
      <c r="AQ3" s="168"/>
      <c r="AR3" s="168"/>
      <c r="AS3" s="168"/>
      <c r="AT3" s="168"/>
      <c r="AU3" s="168"/>
      <c r="AV3" s="168"/>
      <c r="AW3" s="168"/>
      <c r="AX3" s="168"/>
      <c r="AY3" s="168"/>
      <c r="AZ3" s="168"/>
      <c r="BA3" s="168"/>
      <c r="BB3" s="168"/>
      <c r="BC3" s="168"/>
      <c r="BD3" s="168"/>
      <c r="BE3" s="168"/>
      <c r="BF3" s="168"/>
      <c r="BG3" s="168"/>
      <c r="BH3" s="168"/>
      <c r="BI3" s="168"/>
      <c r="BJ3" s="168"/>
      <c r="BK3" s="168"/>
      <c r="BL3" s="168"/>
    </row>
    <row r="4" spans="1:64" ht="29.25">
      <c r="A4" s="163" t="s">
        <v>92</v>
      </c>
      <c r="B4" s="7"/>
      <c r="C4" s="19" t="str">
        <f>INDEX(Projektportfolio!D9:D482, MATCH('Projekt-Cockpit'!C1, Projektportfolio!A9:A482))</f>
        <v>Infrastruktur Werterhalt</v>
      </c>
      <c r="D4" s="8"/>
      <c r="E4" s="168" t="s">
        <v>1122</v>
      </c>
      <c r="F4" s="168" t="s">
        <v>1123</v>
      </c>
      <c r="G4" s="168" t="s">
        <v>1124</v>
      </c>
      <c r="H4" s="168" t="s">
        <v>1125</v>
      </c>
      <c r="I4" s="168" t="s">
        <v>1126</v>
      </c>
      <c r="J4" s="168" t="s">
        <v>1127</v>
      </c>
      <c r="K4" s="168" t="s">
        <v>1128</v>
      </c>
      <c r="L4" s="168" t="s">
        <v>1129</v>
      </c>
      <c r="M4" s="168" t="s">
        <v>1130</v>
      </c>
      <c r="N4" s="168" t="s">
        <v>881</v>
      </c>
      <c r="O4" s="168" t="s">
        <v>882</v>
      </c>
      <c r="P4" s="168" t="s">
        <v>883</v>
      </c>
      <c r="Q4" s="168" t="s">
        <v>884</v>
      </c>
      <c r="R4" s="168" t="s">
        <v>885</v>
      </c>
      <c r="S4" s="168" t="s">
        <v>886</v>
      </c>
      <c r="T4" s="168" t="s">
        <v>887</v>
      </c>
      <c r="U4" s="168" t="s">
        <v>888</v>
      </c>
      <c r="V4" s="168" t="s">
        <v>889</v>
      </c>
      <c r="W4" s="168" t="s">
        <v>890</v>
      </c>
      <c r="X4" s="168" t="s">
        <v>891</v>
      </c>
      <c r="Y4" s="168" t="s">
        <v>892</v>
      </c>
      <c r="Z4" s="168" t="s">
        <v>893</v>
      </c>
      <c r="AA4" s="168" t="s">
        <v>894</v>
      </c>
      <c r="AB4" s="168" t="s">
        <v>895</v>
      </c>
      <c r="AC4" s="168" t="s">
        <v>896</v>
      </c>
      <c r="AD4" s="168" t="s">
        <v>897</v>
      </c>
      <c r="AE4" s="168" t="s">
        <v>898</v>
      </c>
      <c r="AF4" s="168" t="s">
        <v>899</v>
      </c>
      <c r="AG4" s="168" t="s">
        <v>29</v>
      </c>
      <c r="AH4" s="168" t="s">
        <v>30</v>
      </c>
      <c r="AI4" s="168" t="s">
        <v>31</v>
      </c>
      <c r="AJ4" s="168" t="s">
        <v>32</v>
      </c>
      <c r="AK4" s="168" t="s">
        <v>33</v>
      </c>
      <c r="AL4" s="168" t="s">
        <v>34</v>
      </c>
      <c r="AM4" s="168" t="s">
        <v>35</v>
      </c>
      <c r="AN4" s="168" t="s">
        <v>36</v>
      </c>
      <c r="AO4" s="168" t="s">
        <v>37</v>
      </c>
      <c r="AP4" s="168" t="s">
        <v>38</v>
      </c>
      <c r="AQ4" s="168" t="s">
        <v>39</v>
      </c>
      <c r="AR4" s="168" t="s">
        <v>40</v>
      </c>
      <c r="AS4" s="168" t="s">
        <v>41</v>
      </c>
      <c r="AT4" s="168" t="s">
        <v>42</v>
      </c>
      <c r="AU4" s="168" t="s">
        <v>43</v>
      </c>
      <c r="AV4" s="168" t="s">
        <v>44</v>
      </c>
      <c r="AW4" s="168" t="s">
        <v>45</v>
      </c>
      <c r="AX4" s="168" t="s">
        <v>46</v>
      </c>
      <c r="AY4" s="168" t="s">
        <v>47</v>
      </c>
      <c r="AZ4" s="168" t="s">
        <v>48</v>
      </c>
      <c r="BA4" s="168" t="s">
        <v>49</v>
      </c>
      <c r="BB4" s="168" t="s">
        <v>900</v>
      </c>
      <c r="BC4" s="168" t="s">
        <v>901</v>
      </c>
      <c r="BD4" s="168" t="s">
        <v>902</v>
      </c>
      <c r="BE4" s="168">
        <v>2019</v>
      </c>
      <c r="BF4" s="168">
        <v>2020</v>
      </c>
      <c r="BG4" s="168">
        <v>2021</v>
      </c>
      <c r="BH4" s="168">
        <v>2022</v>
      </c>
      <c r="BI4" s="168">
        <v>2023</v>
      </c>
      <c r="BJ4" s="168">
        <v>2024</v>
      </c>
      <c r="BK4" s="168">
        <v>2025</v>
      </c>
      <c r="BL4" s="168">
        <v>2026</v>
      </c>
    </row>
    <row r="5" spans="1:64" ht="21.95" customHeight="1">
      <c r="A5" s="163" t="s">
        <v>874</v>
      </c>
      <c r="B5" s="7"/>
      <c r="C5" s="19" t="str">
        <f>INDEX(Projektportfolio!E9:E482, MATCH('Projekt-Cockpit'!C1, Projektportfolio!A9:A482))</f>
        <v>Grundlagenarbeit, Planung &amp; Diverses</v>
      </c>
      <c r="D5" s="8"/>
      <c r="E5" s="389">
        <f>INDEX('Cockpit-Daten'!D3:D515, MATCH('Projekt-Cockpit'!C1, 'Cockpit-Daten'!A3:A515))</f>
        <v>0</v>
      </c>
      <c r="F5" s="389">
        <f>INDEX('Cockpit-Daten'!F3:F515, MATCH('Projekt-Cockpit'!C1, 'Cockpit-Daten'!A3:A515))</f>
        <v>0</v>
      </c>
      <c r="G5" s="389">
        <f>INDEX('Cockpit-Daten'!H3:H515, MATCH('Projekt-Cockpit'!C1, 'Cockpit-Daten'!A3:A515))</f>
        <v>0</v>
      </c>
      <c r="H5" s="389">
        <f>INDEX('Cockpit-Daten'!J3:J515, MATCH('Projekt-Cockpit'!C1, 'Cockpit-Daten'!A3:A515))</f>
        <v>0</v>
      </c>
      <c r="I5" s="389">
        <f>INDEX('Cockpit-Daten'!L3:L515, MATCH('Projekt-Cockpit'!C1, 'Cockpit-Daten'!A3:A515))</f>
        <v>0</v>
      </c>
      <c r="J5" s="389">
        <f>INDEX('Cockpit-Daten'!N3:N515, MATCH('Projekt-Cockpit'!C1, 'Cockpit-Daten'!A3:A515))</f>
        <v>0</v>
      </c>
      <c r="K5" s="389">
        <f>INDEX('Cockpit-Daten'!P3:P515, MATCH('Projekt-Cockpit'!C1, 'Cockpit-Daten'!A3:A515))</f>
        <v>0</v>
      </c>
      <c r="L5" s="389">
        <f>INDEX('Cockpit-Daten'!R3:R515, MATCH('Projekt-Cockpit'!C1, 'Cockpit-Daten'!A3:A515))</f>
        <v>0</v>
      </c>
      <c r="M5" s="389">
        <f>INDEX('Cockpit-Daten'!T3:T515, MATCH('Projekt-Cockpit'!C1, 'Cockpit-Daten'!A3:A515))</f>
        <v>0</v>
      </c>
      <c r="N5" s="389">
        <f>INDEX('Cockpit-Daten'!V3:V515, MATCH('Projekt-Cockpit'!C1, 'Cockpit-Daten'!A3:A515))</f>
        <v>0</v>
      </c>
      <c r="O5" s="389">
        <f>INDEX('Cockpit-Daten'!X3:X515, MATCH('Projekt-Cockpit'!C1, 'Cockpit-Daten'!A3:A515))</f>
        <v>0</v>
      </c>
      <c r="P5" s="389">
        <f>INDEX('Cockpit-Daten'!Z3:Z515, MATCH('Projekt-Cockpit'!C1, 'Cockpit-Daten'!A3:A515))</f>
        <v>0</v>
      </c>
      <c r="Q5" s="389">
        <f>INDEX('Cockpit-Daten'!AB3:AB515, MATCH('Projekt-Cockpit'!C1, 'Cockpit-Daten'!A3:A515))</f>
        <v>0</v>
      </c>
      <c r="R5" s="389">
        <f>INDEX('Cockpit-Daten'!AD3:AD515, MATCH('Projekt-Cockpit'!C1, 'Cockpit-Daten'!A3:A515))</f>
        <v>0</v>
      </c>
      <c r="S5" s="389">
        <f>INDEX('Cockpit-Daten'!AF3:AF515, MATCH('Projekt-Cockpit'!C1, 'Cockpit-Daten'!A3:A515))</f>
        <v>0</v>
      </c>
      <c r="T5" s="389">
        <f>INDEX('Cockpit-Daten'!AH3:AH515, MATCH('Projekt-Cockpit'!C1, 'Cockpit-Daten'!A3:A515))</f>
        <v>0</v>
      </c>
      <c r="U5" s="389">
        <f>INDEX('Cockpit-Daten'!AJ3:AJ515, MATCH('Projekt-Cockpit'!C1, 'Cockpit-Daten'!A3:A515))</f>
        <v>0</v>
      </c>
      <c r="V5" s="389">
        <f>INDEX('Cockpit-Daten'!AL3:AL515, MATCH('Projekt-Cockpit'!C1, 'Cockpit-Daten'!A3:A515))</f>
        <v>0</v>
      </c>
      <c r="W5" s="389">
        <f>INDEX('Cockpit-Daten'!AN3:AN515, MATCH('Projekt-Cockpit'!C1, 'Cockpit-Daten'!A3:A515))</f>
        <v>0</v>
      </c>
      <c r="X5" s="389">
        <f>INDEX('Cockpit-Daten'!AP3:AP515, MATCH('Projekt-Cockpit'!C1, 'Cockpit-Daten'!A3:A515))</f>
        <v>0</v>
      </c>
      <c r="Y5" s="389">
        <f>INDEX('Cockpit-Daten'!AR3:AR515, MATCH('Projekt-Cockpit'!C1, 'Cockpit-Daten'!A3:A515))</f>
        <v>0</v>
      </c>
      <c r="Z5" s="389">
        <f>INDEX('Cockpit-Daten'!AT3:AT515, MATCH('Projekt-Cockpit'!C1, 'Cockpit-Daten'!A3:A515))</f>
        <v>0</v>
      </c>
      <c r="AA5" s="389">
        <f>INDEX('Cockpit-Daten'!AV3:AV515, MATCH('Projekt-Cockpit'!C1, 'Cockpit-Daten'!A3:A515))</f>
        <v>0</v>
      </c>
      <c r="AB5" s="389">
        <f>INDEX('Cockpit-Daten'!AX3:AX515, MATCH('Projekt-Cockpit'!C1, 'Cockpit-Daten'!A3:A515))</f>
        <v>0</v>
      </c>
      <c r="AC5" s="389">
        <f>INDEX('Cockpit-Daten'!AZ3:AZ515, MATCH('Projekt-Cockpit'!C1, 'Cockpit-Daten'!A3:A515))</f>
        <v>0</v>
      </c>
      <c r="AD5" s="389">
        <f>INDEX('Cockpit-Daten'!BB3:BB515, MATCH('Projekt-Cockpit'!C1, 'Cockpit-Daten'!A3:A515))</f>
        <v>0</v>
      </c>
      <c r="AE5" s="389">
        <f>INDEX('Cockpit-Daten'!BD3:BD515, MATCH('Projekt-Cockpit'!C1, 'Cockpit-Daten'!A3:A515))</f>
        <v>0</v>
      </c>
      <c r="AF5" s="389">
        <f>INDEX('Cockpit-Daten'!BF3:BF515, MATCH('Projekt-Cockpit'!C1, 'Cockpit-Daten'!A3:A515))</f>
        <v>0</v>
      </c>
      <c r="AG5" s="389">
        <f>INDEX('Cockpit-Daten'!BH3:BH515, MATCH('Projekt-Cockpit'!C1, 'Cockpit-Daten'!A3:A515))</f>
        <v>0</v>
      </c>
      <c r="AH5" s="389">
        <f>INDEX('Cockpit-Daten'!BJ3:BJ515, MATCH('Projekt-Cockpit'!C1, 'Cockpit-Daten'!A3:A515))</f>
        <v>0</v>
      </c>
      <c r="AI5" s="389">
        <f>INDEX('Cockpit-Daten'!BL3:BL515, MATCH('Projekt-Cockpit'!C1, 'Cockpit-Daten'!A3:A515))</f>
        <v>0</v>
      </c>
      <c r="AJ5" s="389">
        <f>INDEX('Cockpit-Daten'!BN3:BN515, MATCH('Projekt-Cockpit'!C1, 'Cockpit-Daten'!A3:A515))</f>
        <v>0</v>
      </c>
      <c r="AK5" s="389">
        <f>INDEX('Cockpit-Daten'!BP3:BP515, MATCH('Projekt-Cockpit'!C1, 'Cockpit-Daten'!A3:A515))</f>
        <v>0</v>
      </c>
      <c r="AL5" s="389">
        <f>INDEX('Cockpit-Daten'!BR3:BR515, MATCH('Projekt-Cockpit'!C1, 'Cockpit-Daten'!A3:A515))</f>
        <v>0</v>
      </c>
      <c r="AM5" s="389">
        <f>INDEX('Cockpit-Daten'!BT3:BT515, MATCH('Projekt-Cockpit'!C1, 'Cockpit-Daten'!A3:A515))</f>
        <v>0</v>
      </c>
      <c r="AN5" s="389">
        <f>INDEX('Cockpit-Daten'!BV3:BV515, MATCH('Projekt-Cockpit'!C1, 'Cockpit-Daten'!A3:A515))</f>
        <v>0</v>
      </c>
      <c r="AO5" s="389">
        <f>INDEX('Cockpit-Daten'!BX3:BX515, MATCH('Projekt-Cockpit'!C1, 'Cockpit-Daten'!A3:A515))</f>
        <v>0</v>
      </c>
      <c r="AP5" s="389">
        <f>INDEX('Cockpit-Daten'!BZ3:BZ515, MATCH('Projekt-Cockpit'!C1, 'Cockpit-Daten'!A3:A515))</f>
        <v>0</v>
      </c>
      <c r="AQ5" s="389">
        <f>INDEX('Cockpit-Daten'!CB3:CB515, MATCH('Projekt-Cockpit'!C1, 'Cockpit-Daten'!A3:A515))</f>
        <v>0</v>
      </c>
      <c r="AR5" s="389">
        <f>INDEX('Cockpit-Daten'!CD3:CD515, MATCH('Projekt-Cockpit'!C1, 'Cockpit-Daten'!A3:A515))</f>
        <v>0</v>
      </c>
      <c r="AS5" s="389">
        <f>INDEX('Cockpit-Daten'!CF3:CF515, MATCH('Projekt-Cockpit'!C1, 'Cockpit-Daten'!A3:A515))</f>
        <v>0</v>
      </c>
      <c r="AT5" s="389">
        <f>INDEX('Cockpit-Daten'!CH3:CH515, MATCH('Projekt-Cockpit'!C1, 'Cockpit-Daten'!A3:A515))</f>
        <v>0</v>
      </c>
      <c r="AU5" s="389">
        <f>INDEX('Cockpit-Daten'!CJ3:CJ515, MATCH('Projekt-Cockpit'!C1, 'Cockpit-Daten'!A3:A515))</f>
        <v>0</v>
      </c>
      <c r="AV5" s="389">
        <f>INDEX('Cockpit-Daten'!CL3:CL515, MATCH('Projekt-Cockpit'!C1, 'Cockpit-Daten'!A3:A515))</f>
        <v>0</v>
      </c>
      <c r="AW5" s="389">
        <f>INDEX('Cockpit-Daten'!CN3:CN515, MATCH('Projekt-Cockpit'!C1, 'Cockpit-Daten'!A3:A515))</f>
        <v>0</v>
      </c>
      <c r="AX5" s="389">
        <f>INDEX('Cockpit-Daten'!CP3:CP515, MATCH('Projekt-Cockpit'!C1, 'Cockpit-Daten'!A3:A515))</f>
        <v>0</v>
      </c>
      <c r="AY5" s="389">
        <f>INDEX('Cockpit-Daten'!CR3:CR515, MATCH('Projekt-Cockpit'!C1, 'Cockpit-Daten'!A3:A515))</f>
        <v>0</v>
      </c>
      <c r="AZ5" s="389">
        <f>INDEX('Cockpit-Daten'!CT3:CT515, MATCH('Projekt-Cockpit'!C1, 'Cockpit-Daten'!A3:A515))</f>
        <v>0</v>
      </c>
      <c r="BA5" s="389">
        <f>INDEX('Cockpit-Daten'!CV3:CV515, MATCH('Projekt-Cockpit'!C1, 'Cockpit-Daten'!A3:A515))</f>
        <v>0</v>
      </c>
      <c r="BB5" s="389">
        <f>INDEX('Cockpit-Daten'!CX3:CX515, MATCH('Projekt-Cockpit'!C1, 'Cockpit-Daten'!A3:A515))</f>
        <v>0</v>
      </c>
      <c r="BC5" s="389">
        <f>INDEX('Cockpit-Daten'!CZ3:CZ515, MATCH('Projekt-Cockpit'!C1, 'Cockpit-Daten'!A3:A515))</f>
        <v>0</v>
      </c>
      <c r="BD5" s="389">
        <f>INDEX('Cockpit-Daten'!DB3:DB515, MATCH('Projekt-Cockpit'!C1, 'Cockpit-Daten'!A3:A515))</f>
        <v>0</v>
      </c>
      <c r="BE5" s="389">
        <f>INDEX('Cockpit-Daten'!DD3:DD515, MATCH('Projekt-Cockpit'!C1, 'Cockpit-Daten'!A3:A515))</f>
        <v>0</v>
      </c>
      <c r="BF5" s="389">
        <f>INDEX('Cockpit-Daten'!DF3:DF515, MATCH('Projekt-Cockpit'!C1, 'Cockpit-Daten'!A3:A515))</f>
        <v>0</v>
      </c>
      <c r="BG5" s="389">
        <f>INDEX('Cockpit-Daten'!DH3:DH515, MATCH('Projekt-Cockpit'!C1, 'Cockpit-Daten'!A3:A515))</f>
        <v>0</v>
      </c>
      <c r="BH5" s="389">
        <f>INDEX('Cockpit-Daten'!DJ3:DJ515, MATCH('Projekt-Cockpit'!C1, 'Cockpit-Daten'!A3:A515))</f>
        <v>0</v>
      </c>
      <c r="BI5" s="389">
        <f>INDEX('Cockpit-Daten'!DL3:DL515, MATCH('Projekt-Cockpit'!C1, 'Cockpit-Daten'!A3:A515))</f>
        <v>0</v>
      </c>
      <c r="BJ5" s="389">
        <f>INDEX('Cockpit-Daten'!DN3:DN515, MATCH('Projekt-Cockpit'!C1, 'Cockpit-Daten'!A3:A515))</f>
        <v>0</v>
      </c>
      <c r="BK5" s="389">
        <f>INDEX('Cockpit-Daten'!DP3:DP515, MATCH('Projekt-Cockpit'!C1, 'Cockpit-Daten'!A3:A515))</f>
        <v>0</v>
      </c>
      <c r="BL5" s="389">
        <f>INDEX('Cockpit-Daten'!DR3:DR515, MATCH('Projekt-Cockpit'!C1, 'Cockpit-Daten'!A3:A515))</f>
        <v>0</v>
      </c>
    </row>
    <row r="6" spans="1:64" ht="21.95" customHeight="1">
      <c r="A6" s="163" t="s">
        <v>59</v>
      </c>
      <c r="B6" s="7"/>
      <c r="C6" s="19" t="str">
        <f>INDEX(Projektportfolio!I9:I482, MATCH('Projekt-Cockpit'!C1, Projektportfolio!A9:A482))</f>
        <v>2. Priorität Projekt</v>
      </c>
      <c r="D6" s="8"/>
      <c r="E6" s="390"/>
      <c r="F6" s="390"/>
      <c r="G6" s="390"/>
      <c r="H6" s="390"/>
      <c r="I6" s="390"/>
      <c r="J6" s="390"/>
      <c r="K6" s="390"/>
      <c r="L6" s="390"/>
      <c r="M6" s="390"/>
      <c r="N6" s="390"/>
      <c r="O6" s="390"/>
      <c r="P6" s="390"/>
      <c r="Q6" s="390"/>
      <c r="R6" s="390"/>
      <c r="S6" s="390"/>
      <c r="T6" s="390"/>
      <c r="U6" s="390"/>
      <c r="V6" s="390"/>
      <c r="W6" s="390"/>
      <c r="X6" s="390"/>
      <c r="Y6" s="390"/>
      <c r="Z6" s="390"/>
      <c r="AA6" s="390"/>
      <c r="AB6" s="390"/>
      <c r="AC6" s="390"/>
      <c r="AD6" s="390"/>
      <c r="AE6" s="390"/>
      <c r="AF6" s="390"/>
      <c r="AG6" s="390"/>
      <c r="AH6" s="390"/>
      <c r="AI6" s="390"/>
      <c r="AJ6" s="390"/>
      <c r="AK6" s="390"/>
      <c r="AL6" s="390"/>
      <c r="AM6" s="390"/>
      <c r="AN6" s="390"/>
      <c r="AO6" s="390"/>
      <c r="AP6" s="390"/>
      <c r="AQ6" s="390"/>
      <c r="AR6" s="390"/>
      <c r="AS6" s="390"/>
      <c r="AT6" s="390"/>
      <c r="AU6" s="390"/>
      <c r="AV6" s="390"/>
      <c r="AW6" s="390"/>
      <c r="AX6" s="390"/>
      <c r="AY6" s="390"/>
      <c r="AZ6" s="390"/>
      <c r="BA6" s="390"/>
      <c r="BB6" s="390"/>
      <c r="BC6" s="390"/>
      <c r="BD6" s="390"/>
      <c r="BE6" s="390"/>
      <c r="BF6" s="390"/>
      <c r="BG6" s="390"/>
      <c r="BH6" s="390"/>
      <c r="BI6" s="390"/>
      <c r="BJ6" s="390"/>
      <c r="BK6" s="390"/>
      <c r="BL6" s="390"/>
    </row>
    <row r="7" spans="1:64" ht="21.95" customHeight="1">
      <c r="A7" s="163" t="s">
        <v>88</v>
      </c>
      <c r="B7" s="7"/>
      <c r="C7" s="19">
        <f>INDEX(Projektportfolio!K9:K482, MATCH('Projekt-Cockpit'!C1, Projektportfolio!A9:A482))</f>
        <v>0</v>
      </c>
      <c r="D7" s="8"/>
      <c r="E7" s="390"/>
      <c r="F7" s="390"/>
      <c r="G7" s="390"/>
      <c r="H7" s="390"/>
      <c r="I7" s="390"/>
      <c r="J7" s="390"/>
      <c r="K7" s="390"/>
      <c r="L7" s="390"/>
      <c r="M7" s="390"/>
      <c r="N7" s="390"/>
      <c r="O7" s="390"/>
      <c r="P7" s="390"/>
      <c r="Q7" s="390"/>
      <c r="R7" s="390"/>
      <c r="S7" s="390"/>
      <c r="T7" s="390"/>
      <c r="U7" s="390"/>
      <c r="V7" s="390"/>
      <c r="W7" s="390"/>
      <c r="X7" s="390"/>
      <c r="Y7" s="390"/>
      <c r="Z7" s="390"/>
      <c r="AA7" s="390"/>
      <c r="AB7" s="390"/>
      <c r="AC7" s="390"/>
      <c r="AD7" s="390"/>
      <c r="AE7" s="390"/>
      <c r="AF7" s="390"/>
      <c r="AG7" s="390"/>
      <c r="AH7" s="390"/>
      <c r="AI7" s="390"/>
      <c r="AJ7" s="390"/>
      <c r="AK7" s="390"/>
      <c r="AL7" s="390"/>
      <c r="AM7" s="390"/>
      <c r="AN7" s="390"/>
      <c r="AO7" s="390"/>
      <c r="AP7" s="390"/>
      <c r="AQ7" s="390"/>
      <c r="AR7" s="390"/>
      <c r="AS7" s="390"/>
      <c r="AT7" s="390"/>
      <c r="AU7" s="390"/>
      <c r="AV7" s="390"/>
      <c r="AW7" s="390"/>
      <c r="AX7" s="390"/>
      <c r="AY7" s="390"/>
      <c r="AZ7" s="390"/>
      <c r="BA7" s="390"/>
      <c r="BB7" s="390"/>
      <c r="BC7" s="390"/>
      <c r="BD7" s="390"/>
      <c r="BE7" s="390"/>
      <c r="BF7" s="390"/>
      <c r="BG7" s="390"/>
      <c r="BH7" s="390"/>
      <c r="BI7" s="390"/>
      <c r="BJ7" s="390"/>
      <c r="BK7" s="390"/>
      <c r="BL7" s="390"/>
    </row>
    <row r="8" spans="1:64" ht="21.95" customHeight="1">
      <c r="A8" s="163" t="s">
        <v>875</v>
      </c>
      <c r="B8" s="7"/>
      <c r="C8" s="161">
        <f>INDEX(Projektportfolio!M9:M482, MATCH('Projekt-Cockpit'!C1, Projektportfolio!A9:A482))</f>
        <v>0</v>
      </c>
      <c r="D8" s="8"/>
      <c r="E8" s="390"/>
      <c r="F8" s="390"/>
      <c r="G8" s="390"/>
      <c r="H8" s="390"/>
      <c r="I8" s="390"/>
      <c r="J8" s="390"/>
      <c r="K8" s="390"/>
      <c r="L8" s="390"/>
      <c r="M8" s="390"/>
      <c r="N8" s="390"/>
      <c r="O8" s="390"/>
      <c r="P8" s="390"/>
      <c r="Q8" s="390"/>
      <c r="R8" s="390"/>
      <c r="S8" s="390"/>
      <c r="T8" s="390"/>
      <c r="U8" s="390"/>
      <c r="V8" s="390"/>
      <c r="W8" s="390"/>
      <c r="X8" s="390"/>
      <c r="Y8" s="390"/>
      <c r="Z8" s="390"/>
      <c r="AA8" s="390"/>
      <c r="AB8" s="390"/>
      <c r="AC8" s="390"/>
      <c r="AD8" s="390"/>
      <c r="AE8" s="390"/>
      <c r="AF8" s="390"/>
      <c r="AG8" s="390"/>
      <c r="AH8" s="390"/>
      <c r="AI8" s="390"/>
      <c r="AJ8" s="390"/>
      <c r="AK8" s="390"/>
      <c r="AL8" s="390"/>
      <c r="AM8" s="390"/>
      <c r="AN8" s="390"/>
      <c r="AO8" s="390"/>
      <c r="AP8" s="390"/>
      <c r="AQ8" s="390"/>
      <c r="AR8" s="390"/>
      <c r="AS8" s="390"/>
      <c r="AT8" s="390"/>
      <c r="AU8" s="390"/>
      <c r="AV8" s="390"/>
      <c r="AW8" s="390"/>
      <c r="AX8" s="390"/>
      <c r="AY8" s="390"/>
      <c r="AZ8" s="390"/>
      <c r="BA8" s="390"/>
      <c r="BB8" s="390"/>
      <c r="BC8" s="390"/>
      <c r="BD8" s="390"/>
      <c r="BE8" s="390"/>
      <c r="BF8" s="390"/>
      <c r="BG8" s="390"/>
      <c r="BH8" s="390"/>
      <c r="BI8" s="390"/>
      <c r="BJ8" s="390"/>
      <c r="BK8" s="390"/>
      <c r="BL8" s="390"/>
    </row>
    <row r="9" spans="1:64" ht="21.95" customHeight="1">
      <c r="A9" s="163" t="s">
        <v>876</v>
      </c>
      <c r="B9" s="7"/>
      <c r="C9" s="19">
        <f>INDEX(Projektportfolio!O9:O482, MATCH('Projekt-Cockpit'!C1, Projektportfolio!A9:A482))</f>
        <v>0</v>
      </c>
      <c r="D9" s="8"/>
      <c r="E9" s="390"/>
      <c r="F9" s="390"/>
      <c r="G9" s="390"/>
      <c r="H9" s="390"/>
      <c r="I9" s="390"/>
      <c r="J9" s="390"/>
      <c r="K9" s="390"/>
      <c r="L9" s="390"/>
      <c r="M9" s="390"/>
      <c r="N9" s="390"/>
      <c r="O9" s="390"/>
      <c r="P9" s="390"/>
      <c r="Q9" s="390"/>
      <c r="R9" s="390"/>
      <c r="S9" s="390"/>
      <c r="T9" s="390"/>
      <c r="U9" s="390"/>
      <c r="V9" s="390"/>
      <c r="W9" s="390"/>
      <c r="X9" s="390"/>
      <c r="Y9" s="390"/>
      <c r="Z9" s="390"/>
      <c r="AA9" s="390"/>
      <c r="AB9" s="390"/>
      <c r="AC9" s="390"/>
      <c r="AD9" s="390"/>
      <c r="AE9" s="390"/>
      <c r="AF9" s="390"/>
      <c r="AG9" s="390"/>
      <c r="AH9" s="390"/>
      <c r="AI9" s="390"/>
      <c r="AJ9" s="390"/>
      <c r="AK9" s="390"/>
      <c r="AL9" s="390"/>
      <c r="AM9" s="390"/>
      <c r="AN9" s="390"/>
      <c r="AO9" s="390"/>
      <c r="AP9" s="390"/>
      <c r="AQ9" s="390"/>
      <c r="AR9" s="390"/>
      <c r="AS9" s="390"/>
      <c r="AT9" s="390"/>
      <c r="AU9" s="390"/>
      <c r="AV9" s="390"/>
      <c r="AW9" s="390"/>
      <c r="AX9" s="390"/>
      <c r="AY9" s="390"/>
      <c r="AZ9" s="390"/>
      <c r="BA9" s="390"/>
      <c r="BB9" s="390"/>
      <c r="BC9" s="390"/>
      <c r="BD9" s="390"/>
      <c r="BE9" s="390"/>
      <c r="BF9" s="390"/>
      <c r="BG9" s="390"/>
      <c r="BH9" s="390"/>
      <c r="BI9" s="390"/>
      <c r="BJ9" s="390"/>
      <c r="BK9" s="390"/>
      <c r="BL9" s="390"/>
    </row>
    <row r="10" spans="1:64" ht="21.95" customHeight="1">
      <c r="A10" s="163" t="s">
        <v>877</v>
      </c>
      <c r="B10" s="7"/>
      <c r="C10" s="19" t="str">
        <f>INDEX(Projektportfolio!X9:X482, MATCH('Projekt-Cockpit'!C1, Projektportfolio!A9:A482))</f>
        <v>MSt</v>
      </c>
      <c r="D10" s="8"/>
      <c r="E10" s="390"/>
      <c r="F10" s="390"/>
      <c r="G10" s="390"/>
      <c r="H10" s="390"/>
      <c r="I10" s="390"/>
      <c r="J10" s="390"/>
      <c r="K10" s="390"/>
      <c r="L10" s="390"/>
      <c r="M10" s="390"/>
      <c r="N10" s="390"/>
      <c r="O10" s="390"/>
      <c r="P10" s="390"/>
      <c r="Q10" s="390"/>
      <c r="R10" s="390"/>
      <c r="S10" s="390"/>
      <c r="T10" s="390"/>
      <c r="U10" s="390"/>
      <c r="V10" s="390"/>
      <c r="W10" s="390"/>
      <c r="X10" s="390"/>
      <c r="Y10" s="390"/>
      <c r="Z10" s="390"/>
      <c r="AA10" s="390"/>
      <c r="AB10" s="390"/>
      <c r="AC10" s="390"/>
      <c r="AD10" s="390"/>
      <c r="AE10" s="390"/>
      <c r="AF10" s="390"/>
      <c r="AG10" s="390"/>
      <c r="AH10" s="390"/>
      <c r="AI10" s="390"/>
      <c r="AJ10" s="390"/>
      <c r="AK10" s="390"/>
      <c r="AL10" s="390"/>
      <c r="AM10" s="390"/>
      <c r="AN10" s="390"/>
      <c r="AO10" s="390"/>
      <c r="AP10" s="390"/>
      <c r="AQ10" s="390"/>
      <c r="AR10" s="390"/>
      <c r="AS10" s="390"/>
      <c r="AT10" s="390"/>
      <c r="AU10" s="390"/>
      <c r="AV10" s="390"/>
      <c r="AW10" s="390"/>
      <c r="AX10" s="390"/>
      <c r="AY10" s="390"/>
      <c r="AZ10" s="390"/>
      <c r="BA10" s="390"/>
      <c r="BB10" s="390"/>
      <c r="BC10" s="390"/>
      <c r="BD10" s="390"/>
      <c r="BE10" s="390"/>
      <c r="BF10" s="390"/>
      <c r="BG10" s="390"/>
      <c r="BH10" s="390"/>
      <c r="BI10" s="390"/>
      <c r="BJ10" s="390"/>
      <c r="BK10" s="390"/>
      <c r="BL10" s="390"/>
    </row>
    <row r="11" spans="1:64" ht="21.95" customHeight="1">
      <c r="A11" s="163" t="s">
        <v>922</v>
      </c>
      <c r="B11" s="7"/>
      <c r="C11" s="385">
        <v>20</v>
      </c>
      <c r="D11" s="8"/>
      <c r="E11" s="390"/>
      <c r="F11" s="390"/>
      <c r="G11" s="390"/>
      <c r="H11" s="390"/>
      <c r="I11" s="390"/>
      <c r="J11" s="390"/>
      <c r="K11" s="390"/>
      <c r="L11" s="390"/>
      <c r="M11" s="390"/>
      <c r="N11" s="390"/>
      <c r="O11" s="390"/>
      <c r="P11" s="390"/>
      <c r="Q11" s="390"/>
      <c r="R11" s="390"/>
      <c r="S11" s="390"/>
      <c r="T11" s="390"/>
      <c r="U11" s="390"/>
      <c r="V11" s="390"/>
      <c r="W11" s="390"/>
      <c r="X11" s="390"/>
      <c r="Y11" s="390"/>
      <c r="Z11" s="390"/>
      <c r="AA11" s="390"/>
      <c r="AB11" s="390"/>
      <c r="AC11" s="390"/>
      <c r="AD11" s="390"/>
      <c r="AE11" s="390"/>
      <c r="AF11" s="390"/>
      <c r="AG11" s="390"/>
      <c r="AH11" s="390"/>
      <c r="AI11" s="390"/>
      <c r="AJ11" s="390"/>
      <c r="AK11" s="390"/>
      <c r="AL11" s="390"/>
      <c r="AM11" s="390"/>
      <c r="AN11" s="390"/>
      <c r="AO11" s="390"/>
      <c r="AP11" s="390"/>
      <c r="AQ11" s="390"/>
      <c r="AR11" s="390"/>
      <c r="AS11" s="390"/>
      <c r="AT11" s="390"/>
      <c r="AU11" s="390"/>
      <c r="AV11" s="390"/>
      <c r="AW11" s="390"/>
      <c r="AX11" s="390"/>
      <c r="AY11" s="390"/>
      <c r="AZ11" s="390"/>
      <c r="BA11" s="390"/>
      <c r="BB11" s="390"/>
      <c r="BC11" s="390"/>
      <c r="BD11" s="390"/>
      <c r="BE11" s="390"/>
      <c r="BF11" s="390"/>
      <c r="BG11" s="390"/>
      <c r="BH11" s="390"/>
      <c r="BI11" s="390"/>
      <c r="BJ11" s="390"/>
      <c r="BK11" s="390"/>
      <c r="BL11" s="390"/>
    </row>
    <row r="12" spans="1:64" ht="21.95" customHeight="1">
      <c r="A12" s="163" t="s">
        <v>878</v>
      </c>
      <c r="B12" s="7"/>
      <c r="C12" s="19" t="str">
        <f>INDEX(Projektportfolio!Y9:Y482, MATCH('Projekt-Cockpit'!C1, Projektportfolio!A9:A482))</f>
        <v>x</v>
      </c>
      <c r="D12" s="8"/>
      <c r="E12" s="390"/>
      <c r="F12" s="390"/>
      <c r="G12" s="390"/>
      <c r="H12" s="390"/>
      <c r="I12" s="390"/>
      <c r="J12" s="390"/>
      <c r="K12" s="390"/>
      <c r="L12" s="390"/>
      <c r="M12" s="390"/>
      <c r="N12" s="390"/>
      <c r="O12" s="390"/>
      <c r="P12" s="390"/>
      <c r="Q12" s="390"/>
      <c r="R12" s="390"/>
      <c r="S12" s="390"/>
      <c r="T12" s="390"/>
      <c r="U12" s="390"/>
      <c r="V12" s="390"/>
      <c r="W12" s="390"/>
      <c r="X12" s="390"/>
      <c r="Y12" s="390"/>
      <c r="Z12" s="390"/>
      <c r="AA12" s="390"/>
      <c r="AB12" s="390"/>
      <c r="AC12" s="390"/>
      <c r="AD12" s="390"/>
      <c r="AE12" s="390"/>
      <c r="AF12" s="390"/>
      <c r="AG12" s="390"/>
      <c r="AH12" s="390"/>
      <c r="AI12" s="390"/>
      <c r="AJ12" s="390"/>
      <c r="AK12" s="390"/>
      <c r="AL12" s="390"/>
      <c r="AM12" s="390"/>
      <c r="AN12" s="390"/>
      <c r="AO12" s="390"/>
      <c r="AP12" s="390"/>
      <c r="AQ12" s="390"/>
      <c r="AR12" s="390"/>
      <c r="AS12" s="390"/>
      <c r="AT12" s="390"/>
      <c r="AU12" s="390"/>
      <c r="AV12" s="390"/>
      <c r="AW12" s="390"/>
      <c r="AX12" s="390"/>
      <c r="AY12" s="390"/>
      <c r="AZ12" s="390"/>
      <c r="BA12" s="390"/>
      <c r="BB12" s="390"/>
      <c r="BC12" s="390"/>
      <c r="BD12" s="390"/>
      <c r="BE12" s="390"/>
      <c r="BF12" s="390"/>
      <c r="BG12" s="390"/>
      <c r="BH12" s="390"/>
      <c r="BI12" s="390"/>
      <c r="BJ12" s="390"/>
      <c r="BK12" s="390"/>
      <c r="BL12" s="390"/>
    </row>
    <row r="13" spans="1:64" ht="21.95" customHeight="1">
      <c r="A13" s="163" t="s">
        <v>923</v>
      </c>
      <c r="B13" s="7"/>
      <c r="C13" s="384">
        <v>0</v>
      </c>
      <c r="D13" s="8"/>
      <c r="E13" s="390"/>
      <c r="F13" s="390"/>
      <c r="G13" s="390"/>
      <c r="H13" s="390"/>
      <c r="I13" s="390"/>
      <c r="J13" s="390"/>
      <c r="K13" s="390"/>
      <c r="L13" s="390"/>
      <c r="M13" s="390"/>
      <c r="N13" s="390"/>
      <c r="O13" s="390"/>
      <c r="P13" s="390"/>
      <c r="Q13" s="390"/>
      <c r="R13" s="390"/>
      <c r="S13" s="390"/>
      <c r="T13" s="390"/>
      <c r="U13" s="390"/>
      <c r="V13" s="390"/>
      <c r="W13" s="390"/>
      <c r="X13" s="390"/>
      <c r="Y13" s="390"/>
      <c r="Z13" s="390"/>
      <c r="AA13" s="390"/>
      <c r="AB13" s="390"/>
      <c r="AC13" s="390"/>
      <c r="AD13" s="390"/>
      <c r="AE13" s="390"/>
      <c r="AF13" s="390"/>
      <c r="AG13" s="390"/>
      <c r="AH13" s="390"/>
      <c r="AI13" s="390"/>
      <c r="AJ13" s="390"/>
      <c r="AK13" s="390"/>
      <c r="AL13" s="390"/>
      <c r="AM13" s="390"/>
      <c r="AN13" s="390"/>
      <c r="AO13" s="390"/>
      <c r="AP13" s="390"/>
      <c r="AQ13" s="390"/>
      <c r="AR13" s="390"/>
      <c r="AS13" s="390"/>
      <c r="AT13" s="390"/>
      <c r="AU13" s="390"/>
      <c r="AV13" s="390"/>
      <c r="AW13" s="390"/>
      <c r="AX13" s="390"/>
      <c r="AY13" s="390"/>
      <c r="AZ13" s="390"/>
      <c r="BA13" s="390"/>
      <c r="BB13" s="390"/>
      <c r="BC13" s="390"/>
      <c r="BD13" s="390"/>
      <c r="BE13" s="390"/>
      <c r="BF13" s="390"/>
      <c r="BG13" s="390"/>
      <c r="BH13" s="390"/>
      <c r="BI13" s="390"/>
      <c r="BJ13" s="390"/>
      <c r="BK13" s="390"/>
      <c r="BL13" s="390"/>
    </row>
    <row r="14" spans="1:64" ht="21.95" customHeight="1">
      <c r="A14" s="163" t="s">
        <v>700</v>
      </c>
      <c r="B14" s="7"/>
      <c r="C14" s="19" t="str">
        <f>INDEX(Projektportfolio!Z9:Z482, MATCH('Projekt-Cockpit'!C1, Projektportfolio!A9:A482))</f>
        <v>x</v>
      </c>
      <c r="D14" s="8"/>
      <c r="E14" s="390"/>
      <c r="F14" s="390"/>
      <c r="G14" s="390"/>
      <c r="H14" s="390"/>
      <c r="I14" s="390"/>
      <c r="J14" s="390"/>
      <c r="K14" s="390"/>
      <c r="L14" s="390"/>
      <c r="M14" s="390"/>
      <c r="N14" s="390"/>
      <c r="O14" s="390"/>
      <c r="P14" s="390"/>
      <c r="Q14" s="390"/>
      <c r="R14" s="390"/>
      <c r="S14" s="390"/>
      <c r="T14" s="390"/>
      <c r="U14" s="390"/>
      <c r="V14" s="390"/>
      <c r="W14" s="390"/>
      <c r="X14" s="390"/>
      <c r="Y14" s="390"/>
      <c r="Z14" s="390"/>
      <c r="AA14" s="390"/>
      <c r="AB14" s="390"/>
      <c r="AC14" s="390"/>
      <c r="AD14" s="390"/>
      <c r="AE14" s="390"/>
      <c r="AF14" s="390"/>
      <c r="AG14" s="390"/>
      <c r="AH14" s="390"/>
      <c r="AI14" s="390"/>
      <c r="AJ14" s="390"/>
      <c r="AK14" s="390"/>
      <c r="AL14" s="390"/>
      <c r="AM14" s="390"/>
      <c r="AN14" s="390"/>
      <c r="AO14" s="390"/>
      <c r="AP14" s="390"/>
      <c r="AQ14" s="390"/>
      <c r="AR14" s="390"/>
      <c r="AS14" s="390"/>
      <c r="AT14" s="390"/>
      <c r="AU14" s="390"/>
      <c r="AV14" s="390"/>
      <c r="AW14" s="390"/>
      <c r="AX14" s="390"/>
      <c r="AY14" s="390"/>
      <c r="AZ14" s="390"/>
      <c r="BA14" s="390"/>
      <c r="BB14" s="390"/>
      <c r="BC14" s="390"/>
      <c r="BD14" s="390"/>
      <c r="BE14" s="390"/>
      <c r="BF14" s="390"/>
      <c r="BG14" s="390"/>
      <c r="BH14" s="390"/>
      <c r="BI14" s="390"/>
      <c r="BJ14" s="390"/>
      <c r="BK14" s="390"/>
      <c r="BL14" s="390"/>
    </row>
    <row r="15" spans="1:64" ht="21.95" customHeight="1">
      <c r="A15" s="163" t="s">
        <v>924</v>
      </c>
      <c r="B15" s="7"/>
      <c r="C15" s="384">
        <v>0</v>
      </c>
      <c r="D15" s="8"/>
      <c r="E15" s="390"/>
      <c r="F15" s="390"/>
      <c r="G15" s="390"/>
      <c r="H15" s="390"/>
      <c r="I15" s="390"/>
      <c r="J15" s="390"/>
      <c r="K15" s="390"/>
      <c r="L15" s="390"/>
      <c r="M15" s="390"/>
      <c r="N15" s="390"/>
      <c r="O15" s="390"/>
      <c r="P15" s="390"/>
      <c r="Q15" s="390"/>
      <c r="R15" s="390"/>
      <c r="S15" s="390"/>
      <c r="T15" s="390"/>
      <c r="U15" s="390"/>
      <c r="V15" s="390"/>
      <c r="W15" s="390"/>
      <c r="X15" s="390"/>
      <c r="Y15" s="390"/>
      <c r="Z15" s="390"/>
      <c r="AA15" s="390"/>
      <c r="AB15" s="390"/>
      <c r="AC15" s="390"/>
      <c r="AD15" s="390"/>
      <c r="AE15" s="390"/>
      <c r="AF15" s="390"/>
      <c r="AG15" s="390"/>
      <c r="AH15" s="390"/>
      <c r="AI15" s="390"/>
      <c r="AJ15" s="390"/>
      <c r="AK15" s="390"/>
      <c r="AL15" s="390"/>
      <c r="AM15" s="390"/>
      <c r="AN15" s="390"/>
      <c r="AO15" s="390"/>
      <c r="AP15" s="390"/>
      <c r="AQ15" s="390"/>
      <c r="AR15" s="390"/>
      <c r="AS15" s="390"/>
      <c r="AT15" s="390"/>
      <c r="AU15" s="390"/>
      <c r="AV15" s="390"/>
      <c r="AW15" s="390"/>
      <c r="AX15" s="390"/>
      <c r="AY15" s="390"/>
      <c r="AZ15" s="390"/>
      <c r="BA15" s="390"/>
      <c r="BB15" s="390"/>
      <c r="BC15" s="390"/>
      <c r="BD15" s="390"/>
      <c r="BE15" s="390"/>
      <c r="BF15" s="390"/>
      <c r="BG15" s="390"/>
      <c r="BH15" s="390"/>
      <c r="BI15" s="390"/>
      <c r="BJ15" s="390"/>
      <c r="BK15" s="390"/>
      <c r="BL15" s="390"/>
    </row>
    <row r="16" spans="1:64" ht="21.95" customHeight="1">
      <c r="A16" s="163" t="s">
        <v>638</v>
      </c>
      <c r="B16" s="7"/>
      <c r="C16" s="19" t="str">
        <f>INDEX(Projektportfolio!AA9:AA482, MATCH('Projekt-Cockpit'!C1, Projektportfolio!A9:A482))</f>
        <v>Ext.</v>
      </c>
      <c r="D16" s="8"/>
      <c r="E16" s="390"/>
      <c r="F16" s="390"/>
      <c r="G16" s="390"/>
      <c r="H16" s="390"/>
      <c r="I16" s="390"/>
      <c r="J16" s="390"/>
      <c r="K16" s="390"/>
      <c r="L16" s="390"/>
      <c r="M16" s="390"/>
      <c r="N16" s="390"/>
      <c r="O16" s="390"/>
      <c r="P16" s="390"/>
      <c r="Q16" s="390"/>
      <c r="R16" s="390"/>
      <c r="S16" s="390"/>
      <c r="T16" s="390"/>
      <c r="U16" s="390"/>
      <c r="V16" s="390"/>
      <c r="W16" s="390"/>
      <c r="X16" s="390"/>
      <c r="Y16" s="390"/>
      <c r="Z16" s="390"/>
      <c r="AA16" s="390"/>
      <c r="AB16" s="390"/>
      <c r="AC16" s="390"/>
      <c r="AD16" s="390"/>
      <c r="AE16" s="390"/>
      <c r="AF16" s="390"/>
      <c r="AG16" s="390"/>
      <c r="AH16" s="390"/>
      <c r="AI16" s="390"/>
      <c r="AJ16" s="390"/>
      <c r="AK16" s="390"/>
      <c r="AL16" s="390"/>
      <c r="AM16" s="390"/>
      <c r="AN16" s="390"/>
      <c r="AO16" s="390"/>
      <c r="AP16" s="390"/>
      <c r="AQ16" s="390"/>
      <c r="AR16" s="390"/>
      <c r="AS16" s="390"/>
      <c r="AT16" s="390"/>
      <c r="AU16" s="390"/>
      <c r="AV16" s="390"/>
      <c r="AW16" s="390"/>
      <c r="AX16" s="390"/>
      <c r="AY16" s="390"/>
      <c r="AZ16" s="390"/>
      <c r="BA16" s="390"/>
      <c r="BB16" s="390"/>
      <c r="BC16" s="390"/>
      <c r="BD16" s="390"/>
      <c r="BE16" s="390"/>
      <c r="BF16" s="390"/>
      <c r="BG16" s="390"/>
      <c r="BH16" s="390"/>
      <c r="BI16" s="390"/>
      <c r="BJ16" s="390"/>
      <c r="BK16" s="390"/>
      <c r="BL16" s="390"/>
    </row>
    <row r="17" spans="1:64" ht="21.95" customHeight="1">
      <c r="A17" s="163" t="s">
        <v>925</v>
      </c>
      <c r="B17" s="7"/>
      <c r="C17" s="384">
        <v>0</v>
      </c>
      <c r="D17" s="8"/>
      <c r="E17" s="390"/>
      <c r="F17" s="390"/>
      <c r="G17" s="390"/>
      <c r="H17" s="390"/>
      <c r="I17" s="390"/>
      <c r="J17" s="390"/>
      <c r="K17" s="390"/>
      <c r="L17" s="390"/>
      <c r="M17" s="390"/>
      <c r="N17" s="390"/>
      <c r="O17" s="390"/>
      <c r="P17" s="390"/>
      <c r="Q17" s="390"/>
      <c r="R17" s="390"/>
      <c r="S17" s="390"/>
      <c r="T17" s="390"/>
      <c r="U17" s="390"/>
      <c r="V17" s="390"/>
      <c r="W17" s="390"/>
      <c r="X17" s="390"/>
      <c r="Y17" s="390"/>
      <c r="Z17" s="390"/>
      <c r="AA17" s="390"/>
      <c r="AB17" s="390"/>
      <c r="AC17" s="390"/>
      <c r="AD17" s="390"/>
      <c r="AE17" s="390"/>
      <c r="AF17" s="390"/>
      <c r="AG17" s="390"/>
      <c r="AH17" s="390"/>
      <c r="AI17" s="390"/>
      <c r="AJ17" s="390"/>
      <c r="AK17" s="390"/>
      <c r="AL17" s="390"/>
      <c r="AM17" s="390"/>
      <c r="AN17" s="390"/>
      <c r="AO17" s="390"/>
      <c r="AP17" s="390"/>
      <c r="AQ17" s="390"/>
      <c r="AR17" s="390"/>
      <c r="AS17" s="390"/>
      <c r="AT17" s="390"/>
      <c r="AU17" s="390"/>
      <c r="AV17" s="390"/>
      <c r="AW17" s="390"/>
      <c r="AX17" s="390"/>
      <c r="AY17" s="390"/>
      <c r="AZ17" s="390"/>
      <c r="BA17" s="390"/>
      <c r="BB17" s="390"/>
      <c r="BC17" s="390"/>
      <c r="BD17" s="390"/>
      <c r="BE17" s="390"/>
      <c r="BF17" s="390"/>
      <c r="BG17" s="390"/>
      <c r="BH17" s="390"/>
      <c r="BI17" s="390"/>
      <c r="BJ17" s="390"/>
      <c r="BK17" s="390"/>
      <c r="BL17" s="390"/>
    </row>
    <row r="18" spans="1:64" ht="21.95" customHeight="1">
      <c r="A18" s="163" t="s">
        <v>880</v>
      </c>
      <c r="B18" s="7"/>
      <c r="C18" s="19" t="str">
        <f>INDEX(Projektportfolio!AB9:AB482, MATCH('Projekt-Cockpit'!C1, Projektportfolio!A9:A482))</f>
        <v>x</v>
      </c>
      <c r="D18" s="8"/>
      <c r="E18" s="390"/>
      <c r="F18" s="390"/>
      <c r="G18" s="390"/>
      <c r="H18" s="390"/>
      <c r="I18" s="390"/>
      <c r="J18" s="390"/>
      <c r="K18" s="390"/>
      <c r="L18" s="390"/>
      <c r="M18" s="390"/>
      <c r="N18" s="390"/>
      <c r="O18" s="390"/>
      <c r="P18" s="390"/>
      <c r="Q18" s="390"/>
      <c r="R18" s="390"/>
      <c r="S18" s="390"/>
      <c r="T18" s="390"/>
      <c r="U18" s="390"/>
      <c r="V18" s="390"/>
      <c r="W18" s="390"/>
      <c r="X18" s="390"/>
      <c r="Y18" s="390"/>
      <c r="Z18" s="390"/>
      <c r="AA18" s="390"/>
      <c r="AB18" s="390"/>
      <c r="AC18" s="390"/>
      <c r="AD18" s="390"/>
      <c r="AE18" s="390"/>
      <c r="AF18" s="390"/>
      <c r="AG18" s="390"/>
      <c r="AH18" s="390"/>
      <c r="AI18" s="390"/>
      <c r="AJ18" s="390"/>
      <c r="AK18" s="390"/>
      <c r="AL18" s="390"/>
      <c r="AM18" s="390"/>
      <c r="AN18" s="390"/>
      <c r="AO18" s="390"/>
      <c r="AP18" s="390"/>
      <c r="AQ18" s="390"/>
      <c r="AR18" s="390"/>
      <c r="AS18" s="390"/>
      <c r="AT18" s="390"/>
      <c r="AU18" s="390"/>
      <c r="AV18" s="390"/>
      <c r="AW18" s="390"/>
      <c r="AX18" s="390"/>
      <c r="AY18" s="390"/>
      <c r="AZ18" s="390"/>
      <c r="BA18" s="390"/>
      <c r="BB18" s="390"/>
      <c r="BC18" s="390"/>
      <c r="BD18" s="390"/>
      <c r="BE18" s="390"/>
      <c r="BF18" s="390"/>
      <c r="BG18" s="390"/>
      <c r="BH18" s="390"/>
      <c r="BI18" s="390"/>
      <c r="BJ18" s="390"/>
      <c r="BK18" s="390"/>
      <c r="BL18" s="390"/>
    </row>
    <row r="19" spans="1:64" ht="21.95" customHeight="1">
      <c r="A19" s="163" t="s">
        <v>926</v>
      </c>
      <c r="B19" s="7"/>
      <c r="C19" s="384">
        <v>0</v>
      </c>
      <c r="D19" s="8"/>
      <c r="E19" s="391" t="e">
        <f>INDEX(#REF!, MATCH('Projekt-Cockpit'!C1,#REF!))</f>
        <v>#REF!</v>
      </c>
      <c r="F19" s="391"/>
      <c r="G19" s="391"/>
      <c r="H19" s="391"/>
      <c r="I19" s="391"/>
      <c r="J19" s="391"/>
      <c r="K19" s="391"/>
      <c r="L19" s="391"/>
      <c r="M19" s="391"/>
      <c r="N19" s="391"/>
      <c r="O19" s="391"/>
      <c r="P19" s="391"/>
      <c r="Q19" s="391"/>
      <c r="R19" s="391"/>
      <c r="S19" s="391"/>
      <c r="T19" s="391"/>
      <c r="U19" s="391"/>
      <c r="V19" s="391"/>
      <c r="W19" s="391"/>
      <c r="X19" s="391"/>
      <c r="Y19" s="391"/>
      <c r="Z19" s="391"/>
      <c r="AA19" s="391"/>
      <c r="AB19" s="391"/>
      <c r="AC19" s="391"/>
      <c r="AD19" s="391"/>
      <c r="AE19" s="391"/>
      <c r="AF19" s="391"/>
      <c r="AG19" s="391"/>
      <c r="AH19" s="391"/>
      <c r="AI19" s="391"/>
      <c r="AJ19" s="391"/>
      <c r="AK19" s="391"/>
      <c r="AL19" s="391"/>
      <c r="AM19" s="391"/>
      <c r="AN19" s="391"/>
      <c r="AO19" s="391"/>
      <c r="AP19" s="391"/>
      <c r="AQ19" s="391"/>
      <c r="AR19" s="391"/>
      <c r="AS19" s="391"/>
      <c r="AT19" s="391"/>
      <c r="AU19" s="391"/>
      <c r="AV19" s="391"/>
      <c r="AW19" s="391"/>
      <c r="AX19" s="391"/>
      <c r="AY19" s="391"/>
      <c r="AZ19" s="391"/>
      <c r="BA19" s="391"/>
      <c r="BB19" s="391"/>
      <c r="BC19" s="391"/>
      <c r="BD19" s="391"/>
      <c r="BE19" s="391"/>
      <c r="BF19" s="391"/>
      <c r="BG19" s="391"/>
      <c r="BH19" s="391"/>
      <c r="BI19" s="391"/>
      <c r="BJ19" s="391"/>
      <c r="BK19" s="391"/>
      <c r="BL19" s="391"/>
    </row>
    <row r="20" spans="1:64" ht="21.95" customHeight="1">
      <c r="A20" s="163" t="s">
        <v>879</v>
      </c>
      <c r="B20" s="7"/>
      <c r="C20" s="20" t="str">
        <f>INDEX(Projektportfolio!AC9:AC482, MATCH('Projekt-Cockpit'!C1, Projektportfolio!A9:A482))</f>
        <v>x</v>
      </c>
      <c r="D20" s="8"/>
      <c r="E20" s="392">
        <f>INDEX('Cockpit-Daten'!E3:E515, MATCH('Projekt-Cockpit'!C1, 'Cockpit-Daten'!A3:A515))</f>
        <v>0</v>
      </c>
      <c r="F20" s="392">
        <f>INDEX('Cockpit-Daten'!G3:G515, MATCH('Projekt-Cockpit'!C1, 'Cockpit-Daten'!A3:A515))</f>
        <v>0</v>
      </c>
      <c r="G20" s="392">
        <f>INDEX('Cockpit-Daten'!I3:I515, MATCH('Projekt-Cockpit'!C1, 'Cockpit-Daten'!A3:A515))</f>
        <v>0</v>
      </c>
      <c r="H20" s="392">
        <f>INDEX('Cockpit-Daten'!K3:K515, MATCH('Projekt-Cockpit'!C1, 'Cockpit-Daten'!A3:A515))</f>
        <v>0</v>
      </c>
      <c r="I20" s="392">
        <f>INDEX('Cockpit-Daten'!M3:M515, MATCH('Projekt-Cockpit'!C1, 'Cockpit-Daten'!A3:A515))</f>
        <v>0</v>
      </c>
      <c r="J20" s="392">
        <f>INDEX('Cockpit-Daten'!O3:O515, MATCH('Projekt-Cockpit'!C1, 'Cockpit-Daten'!A3:A515))</f>
        <v>0</v>
      </c>
      <c r="K20" s="392">
        <f>INDEX('Cockpit-Daten'!Q3:Q515, MATCH('Projekt-Cockpit'!C1, 'Cockpit-Daten'!A3:A515))</f>
        <v>0</v>
      </c>
      <c r="L20" s="392">
        <f>INDEX('Cockpit-Daten'!S3:S515, MATCH('Projekt-Cockpit'!C1, 'Cockpit-Daten'!A3:A515))</f>
        <v>0</v>
      </c>
      <c r="M20" s="392">
        <f>INDEX('Cockpit-Daten'!U3:U515, MATCH('Projekt-Cockpit'!C1, 'Cockpit-Daten'!A3:A515))</f>
        <v>0</v>
      </c>
      <c r="N20" s="392">
        <f>INDEX('Cockpit-Daten'!W3:W515, MATCH('Projekt-Cockpit'!C1, 'Cockpit-Daten'!A3:A515))</f>
        <v>0</v>
      </c>
      <c r="O20" s="392">
        <f>INDEX('Cockpit-Daten'!Y3:Y515, MATCH('Projekt-Cockpit'!C1, 'Cockpit-Daten'!A3:A515))</f>
        <v>0</v>
      </c>
      <c r="P20" s="392">
        <f>INDEX('Cockpit-Daten'!AA3:AA515, MATCH('Projekt-Cockpit'!C1, 'Cockpit-Daten'!A3:A515))</f>
        <v>0</v>
      </c>
      <c r="Q20" s="392">
        <f>INDEX('Cockpit-Daten'!AC3:AC515, MATCH('Projekt-Cockpit'!C1, 'Cockpit-Daten'!A3:A515))</f>
        <v>0</v>
      </c>
      <c r="R20" s="392">
        <f>INDEX('Cockpit-Daten'!AE3:AE515, MATCH('Projekt-Cockpit'!C1, 'Cockpit-Daten'!A3:A515))</f>
        <v>0</v>
      </c>
      <c r="S20" s="392">
        <f>INDEX('Cockpit-Daten'!AG3:AG515, MATCH('Projekt-Cockpit'!C1, 'Cockpit-Daten'!A3:A515))</f>
        <v>0</v>
      </c>
      <c r="T20" s="392">
        <f>INDEX('Cockpit-Daten'!AI3:AI515, MATCH('Projekt-Cockpit'!C1, 'Cockpit-Daten'!A3:A515))</f>
        <v>0</v>
      </c>
      <c r="U20" s="392">
        <f>INDEX('Cockpit-Daten'!AK3:AK515, MATCH('Projekt-Cockpit'!C1, 'Cockpit-Daten'!A3:A515))</f>
        <v>0</v>
      </c>
      <c r="V20" s="392">
        <f>INDEX('Cockpit-Daten'!AM3:AM515, MATCH('Projekt-Cockpit'!C1, 'Cockpit-Daten'!A3:A515))</f>
        <v>0</v>
      </c>
      <c r="W20" s="392">
        <f>INDEX('Cockpit-Daten'!AO3:AO515, MATCH('Projekt-Cockpit'!C1, 'Cockpit-Daten'!A3:A515))</f>
        <v>0</v>
      </c>
      <c r="X20" s="392">
        <f>INDEX('Cockpit-Daten'!AQ3:AQ515, MATCH('Projekt-Cockpit'!C1, 'Cockpit-Daten'!A3:A515))</f>
        <v>0</v>
      </c>
      <c r="Y20" s="392">
        <f>INDEX('Cockpit-Daten'!AS3:AS515, MATCH('Projekt-Cockpit'!C1, 'Cockpit-Daten'!A3:A515))</f>
        <v>0</v>
      </c>
      <c r="Z20" s="392">
        <f>INDEX('Cockpit-Daten'!AU3:AU515, MATCH('Projekt-Cockpit'!C1, 'Cockpit-Daten'!A3:A515))</f>
        <v>0</v>
      </c>
      <c r="AA20" s="392">
        <f>INDEX('Cockpit-Daten'!AW3:AW515, MATCH('Projekt-Cockpit'!C1, 'Cockpit-Daten'!A3:A515))</f>
        <v>0</v>
      </c>
      <c r="AB20" s="392">
        <f>INDEX('Cockpit-Daten'!AY3:AY515, MATCH('Projekt-Cockpit'!C1, 'Cockpit-Daten'!A3:A515))</f>
        <v>0</v>
      </c>
      <c r="AC20" s="392">
        <f>INDEX('Cockpit-Daten'!BA3:BA515, MATCH('Projekt-Cockpit'!C1, 'Cockpit-Daten'!A3:A515))</f>
        <v>0</v>
      </c>
      <c r="AD20" s="392">
        <f>INDEX('Cockpit-Daten'!BC3:BC515, MATCH('Projekt-Cockpit'!C1, 'Cockpit-Daten'!A3:A515))</f>
        <v>0</v>
      </c>
      <c r="AE20" s="392">
        <f>INDEX('Cockpit-Daten'!BE3:BE515, MATCH('Projekt-Cockpit'!C1, 'Cockpit-Daten'!A3:A515))</f>
        <v>0</v>
      </c>
      <c r="AF20" s="392">
        <f>INDEX('Cockpit-Daten'!BG3:BG515, MATCH('Projekt-Cockpit'!C1, 'Cockpit-Daten'!A3:A515))</f>
        <v>0</v>
      </c>
      <c r="AG20" s="392">
        <f>INDEX('Cockpit-Daten'!BI3:BI515, MATCH('Projekt-Cockpit'!C1, 'Cockpit-Daten'!A3:A515))</f>
        <v>0</v>
      </c>
      <c r="AH20" s="392">
        <f>INDEX('Cockpit-Daten'!BK3:BK515, MATCH('Projekt-Cockpit'!C1, 'Cockpit-Daten'!A3:A515))</f>
        <v>0</v>
      </c>
      <c r="AI20" s="392">
        <f>INDEX('Cockpit-Daten'!BM3:BM515, MATCH('Projekt-Cockpit'!C1, 'Cockpit-Daten'!A3:A515))</f>
        <v>0</v>
      </c>
      <c r="AJ20" s="392">
        <f>INDEX('Cockpit-Daten'!BO3:BO515, MATCH('Projekt-Cockpit'!C1, 'Cockpit-Daten'!A3:A515))</f>
        <v>0</v>
      </c>
      <c r="AK20" s="392">
        <f>INDEX('Cockpit-Daten'!BQ3:BQ515, MATCH('Projekt-Cockpit'!C1, 'Cockpit-Daten'!A3:A515))</f>
        <v>0</v>
      </c>
      <c r="AL20" s="392">
        <f>INDEX('Cockpit-Daten'!BS3:BS515, MATCH('Projekt-Cockpit'!C1, 'Cockpit-Daten'!A3:A515))</f>
        <v>0</v>
      </c>
      <c r="AM20" s="392">
        <f>INDEX('Cockpit-Daten'!BU3:BU515, MATCH('Projekt-Cockpit'!C1, 'Cockpit-Daten'!A3:A515))</f>
        <v>0</v>
      </c>
      <c r="AN20" s="392">
        <f>INDEX('Cockpit-Daten'!BW3:BW515, MATCH('Projekt-Cockpit'!C1, 'Cockpit-Daten'!A3:A515))</f>
        <v>0</v>
      </c>
      <c r="AO20" s="392">
        <f>INDEX('Cockpit-Daten'!BY3:BY515, MATCH('Projekt-Cockpit'!C1, 'Cockpit-Daten'!A3:A515))</f>
        <v>0</v>
      </c>
      <c r="AP20" s="392">
        <f>INDEX('Cockpit-Daten'!CA3:CA515, MATCH('Projekt-Cockpit'!C1, 'Cockpit-Daten'!A3:A515))</f>
        <v>0</v>
      </c>
      <c r="AQ20" s="392">
        <f>INDEX('Cockpit-Daten'!CC3:CC515, MATCH('Projekt-Cockpit'!C1, 'Cockpit-Daten'!A3:A515))</f>
        <v>0</v>
      </c>
      <c r="AR20" s="392">
        <f>INDEX('Cockpit-Daten'!CE3:CE515, MATCH('Projekt-Cockpit'!C1, 'Cockpit-Daten'!A3:A515))</f>
        <v>0</v>
      </c>
      <c r="AS20" s="392">
        <f>INDEX('Cockpit-Daten'!CG3:CG515, MATCH('Projekt-Cockpit'!C1, 'Cockpit-Daten'!A3:A515))</f>
        <v>0</v>
      </c>
      <c r="AT20" s="392">
        <f>INDEX('Cockpit-Daten'!CI3:CI515, MATCH('Projekt-Cockpit'!C1, 'Cockpit-Daten'!A3:A515))</f>
        <v>0</v>
      </c>
      <c r="AU20" s="392">
        <f>INDEX('Cockpit-Daten'!CK3:CK$515, MATCH('Projekt-Cockpit'!C1, 'Cockpit-Daten'!A3:A515))</f>
        <v>0</v>
      </c>
      <c r="AV20" s="392">
        <f>INDEX('Cockpit-Daten'!CM3:CM515, MATCH('Projekt-Cockpit'!C1, 'Cockpit-Daten'!A3:A515))</f>
        <v>0</v>
      </c>
      <c r="AW20" s="392">
        <f>INDEX('Cockpit-Daten'!CO3:CO515, MATCH('Projekt-Cockpit'!C1, 'Cockpit-Daten'!A3:A515))</f>
        <v>0</v>
      </c>
      <c r="AX20" s="392">
        <f>INDEX('Cockpit-Daten'!CQ3:CQ515, MATCH('Projekt-Cockpit'!C1, 'Cockpit-Daten'!A3:A515))</f>
        <v>0</v>
      </c>
      <c r="AY20" s="392">
        <f>INDEX('Cockpit-Daten'!CS3:CS515, MATCH('Projekt-Cockpit'!C1, 'Cockpit-Daten'!A3:A515))</f>
        <v>0</v>
      </c>
      <c r="AZ20" s="392">
        <f>INDEX('Cockpit-Daten'!CU3:CU515, MATCH('Projekt-Cockpit'!C1, 'Cockpit-Daten'!A3:A515))</f>
        <v>0</v>
      </c>
      <c r="BA20" s="392">
        <f>INDEX('Cockpit-Daten'!CW3:CW515, MATCH('Projekt-Cockpit'!C1, 'Cockpit-Daten'!A3:A515))</f>
        <v>0</v>
      </c>
      <c r="BB20" s="392">
        <f>INDEX('Cockpit-Daten'!CY3:CY515, MATCH('Projekt-Cockpit'!C1, 'Cockpit-Daten'!A3:A515))</f>
        <v>0</v>
      </c>
      <c r="BC20" s="392">
        <f>INDEX('Cockpit-Daten'!DA3:DA515, MATCH('Projekt-Cockpit'!C1, 'Cockpit-Daten'!A3:A515))</f>
        <v>0</v>
      </c>
      <c r="BD20" s="392">
        <f>INDEX('Cockpit-Daten'!DC3:DC515, MATCH('Projekt-Cockpit'!C1, 'Cockpit-Daten'!A3:A515))</f>
        <v>0</v>
      </c>
      <c r="BE20" s="392">
        <f>INDEX('Cockpit-Daten'!DE3:DE515, MATCH('Projekt-Cockpit'!C1, 'Cockpit-Daten'!A3:A515))</f>
        <v>0</v>
      </c>
      <c r="BF20" s="392">
        <f>INDEX('Cockpit-Daten'!DG3:DG515, MATCH('Projekt-Cockpit'!C1, 'Cockpit-Daten'!A3:A515))</f>
        <v>0</v>
      </c>
      <c r="BG20" s="392">
        <f>INDEX('Cockpit-Daten'!DI3:DI515, MATCH('Projekt-Cockpit'!C1, 'Cockpit-Daten'!A3:A515))</f>
        <v>0</v>
      </c>
      <c r="BH20" s="392">
        <f>INDEX('Cockpit-Daten'!DK3:DK515, MATCH('Projekt-Cockpit'!C1, 'Cockpit-Daten'!A3:A515))</f>
        <v>0</v>
      </c>
      <c r="BI20" s="392">
        <f>INDEX('Cockpit-Daten'!DM3:DM515, MATCH('Projekt-Cockpit'!C1, 'Cockpit-Daten'!A3:A515))</f>
        <v>0</v>
      </c>
      <c r="BJ20" s="392">
        <f>INDEX('Cockpit-Daten'!DO3:DO515, MATCH('Projekt-Cockpit'!C1, 'Cockpit-Daten'!A3:A515))</f>
        <v>0</v>
      </c>
      <c r="BK20" s="392">
        <f>INDEX('Cockpit-Daten'!DQ3:DQ515, MATCH('Projekt-Cockpit'!C1, 'Cockpit-Daten'!A3:A515))</f>
        <v>0</v>
      </c>
      <c r="BL20" s="392">
        <f>INDEX('Cockpit-Daten'!DS3:DS515, MATCH('Projekt-Cockpit'!C1, 'Cockpit-Daten'!A3:A515))</f>
        <v>0</v>
      </c>
    </row>
    <row r="21" spans="1:64" ht="21.95" customHeight="1">
      <c r="A21" s="163" t="s">
        <v>927</v>
      </c>
      <c r="B21" s="7"/>
      <c r="C21" s="385">
        <v>0</v>
      </c>
      <c r="D21" s="8"/>
      <c r="E21" s="390"/>
      <c r="F21" s="390"/>
      <c r="G21" s="390"/>
      <c r="H21" s="390"/>
      <c r="I21" s="390"/>
      <c r="J21" s="390"/>
      <c r="K21" s="390"/>
      <c r="L21" s="390"/>
      <c r="M21" s="390"/>
      <c r="N21" s="390"/>
      <c r="O21" s="390"/>
      <c r="P21" s="390"/>
      <c r="Q21" s="390"/>
      <c r="R21" s="390"/>
      <c r="S21" s="390"/>
      <c r="T21" s="390"/>
      <c r="U21" s="390"/>
      <c r="V21" s="390"/>
      <c r="W21" s="390"/>
      <c r="X21" s="390"/>
      <c r="Y21" s="390"/>
      <c r="Z21" s="390"/>
      <c r="AA21" s="390"/>
      <c r="AB21" s="390"/>
      <c r="AC21" s="390"/>
      <c r="AD21" s="390"/>
      <c r="AE21" s="390"/>
      <c r="AF21" s="390"/>
      <c r="AG21" s="390"/>
      <c r="AH21" s="390"/>
      <c r="AI21" s="390"/>
      <c r="AJ21" s="390"/>
      <c r="AK21" s="390"/>
      <c r="AL21" s="390"/>
      <c r="AM21" s="390"/>
      <c r="AN21" s="390"/>
      <c r="AO21" s="390"/>
      <c r="AP21" s="390"/>
      <c r="AQ21" s="390"/>
      <c r="AR21" s="390"/>
      <c r="AS21" s="390"/>
      <c r="AT21" s="390"/>
      <c r="AU21" s="390"/>
      <c r="AV21" s="390"/>
      <c r="AW21" s="390"/>
      <c r="AX21" s="390"/>
      <c r="AY21" s="390"/>
      <c r="AZ21" s="390"/>
      <c r="BA21" s="390"/>
      <c r="BB21" s="390"/>
      <c r="BC21" s="390"/>
      <c r="BD21" s="390"/>
      <c r="BE21" s="390"/>
      <c r="BF21" s="390"/>
      <c r="BG21" s="390"/>
      <c r="BH21" s="390"/>
      <c r="BI21" s="390"/>
      <c r="BJ21" s="390"/>
      <c r="BK21" s="390"/>
      <c r="BL21" s="390"/>
    </row>
    <row r="22" spans="1:64" ht="21.95" customHeight="1">
      <c r="A22" s="163" t="s">
        <v>50</v>
      </c>
      <c r="B22" s="7"/>
      <c r="C22" s="20" t="str">
        <f>INDEX(Projektportfolio!AD9:AD482, MATCH('Projekt-Cockpit'!C1, Projektportfolio!A9:A482))</f>
        <v>SGB</v>
      </c>
      <c r="D22" s="8"/>
      <c r="E22" s="390"/>
      <c r="F22" s="390"/>
      <c r="G22" s="390"/>
      <c r="H22" s="390"/>
      <c r="I22" s="390"/>
      <c r="J22" s="390"/>
      <c r="K22" s="390"/>
      <c r="L22" s="390"/>
      <c r="M22" s="390"/>
      <c r="N22" s="390"/>
      <c r="O22" s="390"/>
      <c r="P22" s="390"/>
      <c r="Q22" s="390"/>
      <c r="R22" s="390"/>
      <c r="S22" s="390"/>
      <c r="T22" s="390"/>
      <c r="U22" s="390"/>
      <c r="V22" s="390"/>
      <c r="W22" s="390"/>
      <c r="X22" s="390"/>
      <c r="Y22" s="390"/>
      <c r="Z22" s="390"/>
      <c r="AA22" s="390"/>
      <c r="AB22" s="390"/>
      <c r="AC22" s="390"/>
      <c r="AD22" s="390"/>
      <c r="AE22" s="390"/>
      <c r="AF22" s="390"/>
      <c r="AG22" s="390"/>
      <c r="AH22" s="390"/>
      <c r="AI22" s="390"/>
      <c r="AJ22" s="390"/>
      <c r="AK22" s="390"/>
      <c r="AL22" s="390"/>
      <c r="AM22" s="390"/>
      <c r="AN22" s="390"/>
      <c r="AO22" s="390"/>
      <c r="AP22" s="390"/>
      <c r="AQ22" s="390"/>
      <c r="AR22" s="390"/>
      <c r="AS22" s="390"/>
      <c r="AT22" s="390"/>
      <c r="AU22" s="390"/>
      <c r="AV22" s="390"/>
      <c r="AW22" s="390"/>
      <c r="AX22" s="390"/>
      <c r="AY22" s="390"/>
      <c r="AZ22" s="390"/>
      <c r="BA22" s="390"/>
      <c r="BB22" s="390"/>
      <c r="BC22" s="390"/>
      <c r="BD22" s="390"/>
      <c r="BE22" s="390"/>
      <c r="BF22" s="390"/>
      <c r="BG22" s="390"/>
      <c r="BH22" s="390"/>
      <c r="BI22" s="390"/>
      <c r="BJ22" s="390"/>
      <c r="BK22" s="390"/>
      <c r="BL22" s="390"/>
    </row>
    <row r="23" spans="1:64" ht="21.95" customHeight="1">
      <c r="A23" s="163" t="s">
        <v>935</v>
      </c>
      <c r="B23" s="7"/>
      <c r="C23" s="385">
        <v>0</v>
      </c>
      <c r="D23" s="8"/>
      <c r="E23" s="390"/>
      <c r="F23" s="390"/>
      <c r="G23" s="390"/>
      <c r="H23" s="390"/>
      <c r="I23" s="390"/>
      <c r="J23" s="390"/>
      <c r="K23" s="390"/>
      <c r="L23" s="390"/>
      <c r="M23" s="390"/>
      <c r="N23" s="390"/>
      <c r="O23" s="390"/>
      <c r="P23" s="390"/>
      <c r="Q23" s="390"/>
      <c r="R23" s="390"/>
      <c r="S23" s="390"/>
      <c r="T23" s="390"/>
      <c r="U23" s="390"/>
      <c r="V23" s="390"/>
      <c r="W23" s="390"/>
      <c r="X23" s="390"/>
      <c r="Y23" s="390"/>
      <c r="Z23" s="390"/>
      <c r="AA23" s="390"/>
      <c r="AB23" s="390"/>
      <c r="AC23" s="390"/>
      <c r="AD23" s="390"/>
      <c r="AE23" s="390"/>
      <c r="AF23" s="390"/>
      <c r="AG23" s="390"/>
      <c r="AH23" s="390"/>
      <c r="AI23" s="390"/>
      <c r="AJ23" s="390"/>
      <c r="AK23" s="390"/>
      <c r="AL23" s="390"/>
      <c r="AM23" s="390"/>
      <c r="AN23" s="390"/>
      <c r="AO23" s="390"/>
      <c r="AP23" s="390"/>
      <c r="AQ23" s="390"/>
      <c r="AR23" s="390"/>
      <c r="AS23" s="390"/>
      <c r="AT23" s="390"/>
      <c r="AU23" s="390"/>
      <c r="AV23" s="390"/>
      <c r="AW23" s="390"/>
      <c r="AX23" s="390"/>
      <c r="AY23" s="390"/>
      <c r="AZ23" s="390"/>
      <c r="BA23" s="390"/>
      <c r="BB23" s="390"/>
      <c r="BC23" s="390"/>
      <c r="BD23" s="390"/>
      <c r="BE23" s="390"/>
      <c r="BF23" s="390"/>
      <c r="BG23" s="390"/>
      <c r="BH23" s="390"/>
      <c r="BI23" s="390"/>
      <c r="BJ23" s="390"/>
      <c r="BK23" s="390"/>
      <c r="BL23" s="390"/>
    </row>
    <row r="24" spans="1:64" ht="21.95" customHeight="1">
      <c r="A24" s="163" t="s">
        <v>928</v>
      </c>
      <c r="B24" s="7"/>
      <c r="C24" s="385">
        <v>20</v>
      </c>
      <c r="D24" s="8"/>
      <c r="E24" s="393" t="e">
        <f>INDEX(#REF!, MATCH('Projekt-Cockpit'!C1,#REF!))</f>
        <v>#REF!</v>
      </c>
      <c r="F24" s="393"/>
      <c r="G24" s="393"/>
      <c r="H24" s="393"/>
      <c r="I24" s="393"/>
      <c r="J24" s="393"/>
      <c r="K24" s="393"/>
      <c r="L24" s="393"/>
      <c r="M24" s="393"/>
      <c r="N24" s="393"/>
      <c r="O24" s="393"/>
      <c r="P24" s="393"/>
      <c r="Q24" s="393"/>
      <c r="R24" s="393"/>
      <c r="S24" s="393"/>
      <c r="T24" s="393"/>
      <c r="U24" s="393"/>
      <c r="V24" s="393"/>
      <c r="W24" s="393"/>
      <c r="X24" s="393"/>
      <c r="Y24" s="393"/>
      <c r="Z24" s="393"/>
      <c r="AA24" s="393"/>
      <c r="AB24" s="393"/>
      <c r="AC24" s="393"/>
      <c r="AD24" s="393"/>
      <c r="AE24" s="393"/>
      <c r="AF24" s="393"/>
      <c r="AG24" s="393"/>
      <c r="AH24" s="393"/>
      <c r="AI24" s="393"/>
      <c r="AJ24" s="393"/>
      <c r="AK24" s="393"/>
      <c r="AL24" s="393"/>
      <c r="AM24" s="393"/>
      <c r="AN24" s="393"/>
      <c r="AO24" s="393"/>
      <c r="AP24" s="393"/>
      <c r="AQ24" s="393"/>
      <c r="AR24" s="393"/>
      <c r="AS24" s="393"/>
      <c r="AT24" s="393"/>
      <c r="AU24" s="393"/>
      <c r="AV24" s="393"/>
      <c r="AW24" s="393"/>
      <c r="AX24" s="393"/>
      <c r="AY24" s="393"/>
      <c r="AZ24" s="393"/>
      <c r="BA24" s="393"/>
      <c r="BB24" s="393"/>
      <c r="BC24" s="393"/>
      <c r="BD24" s="393"/>
      <c r="BE24" s="393"/>
      <c r="BF24" s="393"/>
      <c r="BG24" s="393"/>
      <c r="BH24" s="393"/>
      <c r="BI24" s="393"/>
      <c r="BJ24" s="393"/>
      <c r="BK24" s="393"/>
      <c r="BL24" s="393"/>
    </row>
    <row r="25" spans="1:64" s="6" customFormat="1" ht="4.5" customHeight="1">
      <c r="A25" s="9"/>
      <c r="B25" s="9"/>
      <c r="C25" s="9"/>
      <c r="D25" s="10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</row>
    <row r="26" spans="1:64">
      <c r="A26" s="162" t="s">
        <v>903</v>
      </c>
      <c r="B26" s="9"/>
      <c r="C26" s="171"/>
      <c r="D26" s="8"/>
      <c r="E26" s="396"/>
      <c r="F26" s="396"/>
      <c r="G26" s="396"/>
      <c r="H26" s="396"/>
      <c r="I26" s="173"/>
      <c r="J26" s="172"/>
      <c r="K26" s="172"/>
      <c r="L26" s="172"/>
      <c r="M26" s="172"/>
    </row>
    <row r="27" spans="1:64">
      <c r="A27" s="163" t="s">
        <v>17</v>
      </c>
      <c r="B27" s="9"/>
      <c r="C27" s="12" t="str">
        <f>INDEX(Projektportfolio!AH9:AH482, MATCH('Projekt-Cockpit'!C1, Projektportfolio!A9:A482))</f>
        <v>Honorar Realisierung Anlagen</v>
      </c>
      <c r="D27" s="8"/>
      <c r="E27" s="403" t="s">
        <v>936</v>
      </c>
      <c r="F27" s="403"/>
      <c r="G27" s="403"/>
      <c r="H27" s="403"/>
      <c r="I27" s="403"/>
      <c r="J27" s="403"/>
      <c r="K27" s="403"/>
      <c r="L27" s="403"/>
      <c r="M27" s="403"/>
      <c r="N27" s="403"/>
      <c r="O27" s="403"/>
      <c r="P27" s="403"/>
      <c r="Q27" s="403"/>
      <c r="R27" s="403"/>
      <c r="S27" s="403"/>
      <c r="T27" s="403"/>
      <c r="U27" s="403"/>
      <c r="V27" s="403"/>
    </row>
    <row r="28" spans="1:64">
      <c r="A28" s="165" t="s">
        <v>904</v>
      </c>
      <c r="B28" s="9"/>
      <c r="C28" s="179">
        <f>INDEX(Projektportfolio!AK9:AK482, MATCH('Projekt-Cockpit'!C1, Projektportfolio!A9:A482))</f>
        <v>0</v>
      </c>
      <c r="D28" s="8"/>
      <c r="E28" s="404" t="s">
        <v>937</v>
      </c>
      <c r="F28" s="404"/>
      <c r="G28" s="404"/>
      <c r="H28" s="404"/>
      <c r="I28" s="404"/>
      <c r="J28" s="404"/>
      <c r="K28" s="404" t="s">
        <v>938</v>
      </c>
      <c r="L28" s="404"/>
      <c r="M28" s="404"/>
      <c r="N28" s="404"/>
      <c r="O28" s="404"/>
      <c r="P28" s="404"/>
      <c r="Q28" s="404" t="s">
        <v>939</v>
      </c>
      <c r="R28" s="404"/>
      <c r="S28" s="404"/>
      <c r="T28" s="404"/>
      <c r="U28" s="404"/>
      <c r="V28" s="404"/>
    </row>
    <row r="29" spans="1:64">
      <c r="A29" s="165"/>
      <c r="B29" s="9"/>
      <c r="C29" s="14"/>
      <c r="D29" s="15"/>
      <c r="E29" s="405">
        <f>INDEX('Cockpit-Daten'!DV3:DV515, MATCH('Projekt-Cockpit'!C1, 'Cockpit-Daten'!A3:A515))</f>
        <v>0</v>
      </c>
      <c r="F29" s="406"/>
      <c r="G29" s="406"/>
      <c r="H29" s="406"/>
      <c r="I29" s="406"/>
      <c r="J29" s="407"/>
      <c r="K29" s="405">
        <f>INDEX('Cockpit-Daten'!EA3:EA515, MATCH('Projekt-Cockpit'!C1, 'Cockpit-Daten'!A3:A515))</f>
        <v>0</v>
      </c>
      <c r="L29" s="406"/>
      <c r="M29" s="406"/>
      <c r="N29" s="406"/>
      <c r="O29" s="406"/>
      <c r="P29" s="407"/>
      <c r="Q29" s="405">
        <f>INDEX('Cockpit-Daten'!EF3:EF515, MATCH('Projekt-Cockpit'!C1, 'Cockpit-Daten'!A3:A515))</f>
        <v>0</v>
      </c>
      <c r="R29" s="406"/>
      <c r="S29" s="406"/>
      <c r="T29" s="406"/>
      <c r="U29" s="406"/>
      <c r="V29" s="407"/>
    </row>
    <row r="30" spans="1:64">
      <c r="A30" s="165"/>
      <c r="B30" s="9"/>
      <c r="C30" s="14"/>
      <c r="D30" s="15"/>
      <c r="E30" s="408">
        <f>INDEX('Cockpit-Daten'!DW3:DW515, MATCH('Projekt-Cockpit'!C1, 'Cockpit-Daten'!A3:A515))</f>
        <v>0</v>
      </c>
      <c r="F30" s="401"/>
      <c r="G30" s="401"/>
      <c r="H30" s="401"/>
      <c r="I30" s="401"/>
      <c r="J30" s="409"/>
      <c r="K30" s="408">
        <f>INDEX('Cockpit-Daten'!EB3:EB515, MATCH('Projekt-Cockpit'!C1, 'Cockpit-Daten'!A3:A515))</f>
        <v>0</v>
      </c>
      <c r="L30" s="401"/>
      <c r="M30" s="401"/>
      <c r="N30" s="401"/>
      <c r="O30" s="401"/>
      <c r="P30" s="409"/>
      <c r="Q30" s="408">
        <f>INDEX('Cockpit-Daten'!EG3:EG515, MATCH('Projekt-Cockpit'!C1, 'Cockpit-Daten'!A3:A515))</f>
        <v>0</v>
      </c>
      <c r="R30" s="401"/>
      <c r="S30" s="401"/>
      <c r="T30" s="401"/>
      <c r="U30" s="401"/>
      <c r="V30" s="409"/>
    </row>
    <row r="31" spans="1:64">
      <c r="A31" s="165"/>
      <c r="B31" s="9"/>
      <c r="C31" s="16"/>
      <c r="D31" s="17"/>
      <c r="E31" s="397">
        <f>INDEX('Cockpit-Daten'!DX3:DX515, MATCH('Projekt-Cockpit'!C1, 'Cockpit-Daten'!A3:A515))</f>
        <v>0</v>
      </c>
      <c r="F31" s="398"/>
      <c r="G31" s="398"/>
      <c r="H31" s="398"/>
      <c r="I31" s="398"/>
      <c r="J31" s="399"/>
      <c r="K31" s="397">
        <f>INDEX('Cockpit-Daten'!EC3:EC515, MATCH('Projekt-Cockpit'!C1, 'Cockpit-Daten'!A3:A515))</f>
        <v>0</v>
      </c>
      <c r="L31" s="398"/>
      <c r="M31" s="398"/>
      <c r="N31" s="398"/>
      <c r="O31" s="398"/>
      <c r="P31" s="399"/>
      <c r="Q31" s="397">
        <f>INDEX('Cockpit-Daten'!EH3:EH515, MATCH('Projekt-Cockpit'!C1, 'Cockpit-Daten'!A3:A515))</f>
        <v>0</v>
      </c>
      <c r="R31" s="398"/>
      <c r="S31" s="398"/>
      <c r="T31" s="398"/>
      <c r="U31" s="398"/>
      <c r="V31" s="399"/>
    </row>
    <row r="32" spans="1:64">
      <c r="A32" s="165"/>
      <c r="B32" s="9"/>
      <c r="C32" s="16"/>
      <c r="D32" s="17"/>
      <c r="E32" s="400">
        <f>INDEX('Cockpit-Daten'!DY3:DY515, MATCH('Projekt-Cockpit'!C1, 'Cockpit-Daten'!A3:A515))</f>
        <v>0</v>
      </c>
      <c r="F32" s="401"/>
      <c r="G32" s="401"/>
      <c r="H32" s="401"/>
      <c r="I32" s="401"/>
      <c r="J32" s="402"/>
      <c r="K32" s="400">
        <f>INDEX('Cockpit-Daten'!ED3:ED515, MATCH('Projekt-Cockpit'!C1, 'Cockpit-Daten'!A3:A515))</f>
        <v>0</v>
      </c>
      <c r="L32" s="401"/>
      <c r="M32" s="401"/>
      <c r="N32" s="401"/>
      <c r="O32" s="401"/>
      <c r="P32" s="402"/>
      <c r="Q32" s="400">
        <f>INDEX('Cockpit-Daten'!EI3:EI515, MATCH('Projekt-Cockpit'!C1, 'Cockpit-Daten'!A3:A515))</f>
        <v>0</v>
      </c>
      <c r="R32" s="401"/>
      <c r="S32" s="401"/>
      <c r="T32" s="401"/>
      <c r="U32" s="401"/>
      <c r="V32" s="402"/>
    </row>
    <row r="33" spans="1:22">
      <c r="A33" s="165"/>
      <c r="B33" s="9"/>
      <c r="C33" s="16"/>
      <c r="D33" s="17"/>
      <c r="E33" s="400">
        <f>INDEX('Cockpit-Daten'!DZ3:DZ515, MATCH('Projekt-Cockpit'!C1, 'Cockpit-Daten'!A3:A515))</f>
        <v>0</v>
      </c>
      <c r="F33" s="401"/>
      <c r="G33" s="401"/>
      <c r="H33" s="401"/>
      <c r="I33" s="401"/>
      <c r="J33" s="402"/>
      <c r="K33" s="400">
        <f>INDEX('Cockpit-Daten'!EE3:EE515, MATCH('Projekt-Cockpit'!C1, 'Cockpit-Daten'!A3:A515))</f>
        <v>0</v>
      </c>
      <c r="L33" s="401"/>
      <c r="M33" s="401"/>
      <c r="N33" s="401"/>
      <c r="O33" s="401"/>
      <c r="P33" s="402"/>
      <c r="Q33" s="400">
        <f>INDEX('Cockpit-Daten'!EJ3:EJ515, MATCH('Projekt-Cockpit'!C1, 'Cockpit-Daten'!A3:A515))</f>
        <v>0</v>
      </c>
      <c r="R33" s="401"/>
      <c r="S33" s="401"/>
      <c r="T33" s="401"/>
      <c r="U33" s="401"/>
      <c r="V33" s="402"/>
    </row>
    <row r="34" spans="1:22">
      <c r="A34" s="162" t="s">
        <v>70</v>
      </c>
      <c r="B34" s="9"/>
      <c r="C34" s="12"/>
      <c r="D34" s="8"/>
      <c r="E34" s="17"/>
      <c r="F34" s="17"/>
      <c r="G34" s="17"/>
      <c r="H34" s="17"/>
      <c r="I34" s="17"/>
      <c r="K34" s="4"/>
      <c r="L34" s="203"/>
      <c r="M34" s="4"/>
    </row>
    <row r="35" spans="1:22">
      <c r="A35" s="164"/>
      <c r="B35" s="9"/>
      <c r="C35" s="12"/>
      <c r="D35" s="8"/>
      <c r="E35" s="395"/>
      <c r="F35" s="395"/>
      <c r="G35" s="395"/>
      <c r="H35" s="395"/>
      <c r="I35" s="174"/>
      <c r="J35" s="175"/>
      <c r="K35" s="175"/>
      <c r="L35" s="175"/>
      <c r="M35" s="175"/>
    </row>
    <row r="36" spans="1:22">
      <c r="A36" s="165" t="s">
        <v>907</v>
      </c>
      <c r="B36" s="9"/>
      <c r="C36" s="14">
        <f>INDEX(Projektportfolio!AL9:AL482, MATCH('Projekt-Cockpit'!C1, Projektportfolio!A9:A482))</f>
        <v>7000</v>
      </c>
      <c r="D36" s="15"/>
      <c r="E36" s="394" t="s">
        <v>77</v>
      </c>
      <c r="F36" s="394"/>
      <c r="G36" s="394"/>
      <c r="H36" s="394"/>
      <c r="J36" s="170" t="s">
        <v>53</v>
      </c>
      <c r="K36" s="170"/>
      <c r="L36" s="170"/>
      <c r="M36" s="170"/>
    </row>
    <row r="37" spans="1:22">
      <c r="A37" s="165" t="s">
        <v>908</v>
      </c>
      <c r="B37" s="9"/>
      <c r="C37" s="14">
        <f>INDEX(Projektportfolio!AO9:AO482, MATCH('Projekt-Cockpit'!C1, Projektportfolio!A9:A482))</f>
        <v>7000</v>
      </c>
      <c r="D37" s="15"/>
      <c r="E37" s="169" t="s">
        <v>54</v>
      </c>
      <c r="F37" s="169" t="s">
        <v>55</v>
      </c>
      <c r="G37" s="169" t="s">
        <v>56</v>
      </c>
      <c r="H37" s="169" t="s">
        <v>57</v>
      </c>
      <c r="J37" s="169" t="s">
        <v>54</v>
      </c>
      <c r="K37" s="169" t="s">
        <v>55</v>
      </c>
      <c r="L37" s="169" t="s">
        <v>56</v>
      </c>
      <c r="M37" s="169" t="s">
        <v>57</v>
      </c>
    </row>
    <row r="38" spans="1:22">
      <c r="A38" s="165" t="s">
        <v>1005</v>
      </c>
      <c r="B38" s="9"/>
      <c r="C38" s="14">
        <f>INDEX(Projektportfolio!AP9:AP482, MATCH('Projekt-Cockpit'!C1, Projektportfolio!A9:A482))</f>
        <v>0</v>
      </c>
      <c r="D38" s="15"/>
      <c r="E38" s="364">
        <f>INDEX('Cockpit-Daten'!EK3:EK515, MATCH('Projekt-Cockpit'!C1, 'Cockpit-Daten'!A3:A515))</f>
        <v>0</v>
      </c>
      <c r="F38" s="364">
        <f>INDEX('Cockpit-Daten'!EL3:EL515, MATCH('Projekt-Cockpit'!C1, 'Cockpit-Daten'!A3:A515))</f>
        <v>0</v>
      </c>
      <c r="G38" s="364">
        <f>INDEX('Cockpit-Daten'!EM3:EM515, MATCH('Projekt-Cockpit'!C1, 'Cockpit-Daten'!A3:A515))</f>
        <v>0</v>
      </c>
      <c r="H38" s="364">
        <f>INDEX('Cockpit-Daten'!EN3:EN515, MATCH('Projekt-Cockpit'!C1, 'Cockpit-Daten'!A3:A515))</f>
        <v>0</v>
      </c>
      <c r="J38" s="364">
        <f>INDEX('Cockpit-Daten'!FY3:FY515, MATCH('Projekt-Cockpit'!C1, 'Cockpit-Daten'!A3:A515))</f>
        <v>0</v>
      </c>
      <c r="K38" s="364">
        <f>INDEX('Cockpit-Daten'!FZ3:FZ515, MATCH('Projekt-Cockpit'!C1, 'Cockpit-Daten'!A3:A515))</f>
        <v>0</v>
      </c>
      <c r="L38" s="364">
        <f>INDEX('Cockpit-Daten'!GA3:GA515, MATCH('Projekt-Cockpit'!C1, 'Cockpit-Daten'!A3:A515))</f>
        <v>0</v>
      </c>
      <c r="M38" s="364">
        <f>INDEX('Cockpit-Daten'!GB3:GB515, MATCH('Projekt-Cockpit'!C1, 'Cockpit-Daten'!A3:A515))</f>
        <v>0</v>
      </c>
    </row>
    <row r="39" spans="1:22">
      <c r="A39" s="165" t="s">
        <v>871</v>
      </c>
      <c r="B39" s="9"/>
      <c r="C39" s="160">
        <f>INDEX(Projektportfolio!AQ9:AQ482, MATCH('Projekt-Cockpit'!C1, Projektportfolio!A9:A482))</f>
        <v>7000</v>
      </c>
      <c r="D39" s="15"/>
      <c r="E39" s="364">
        <f>INDEX('Cockpit-Daten'!EO3:EO515, MATCH('Projekt-Cockpit'!C1, 'Cockpit-Daten'!A3:A515))</f>
        <v>0</v>
      </c>
      <c r="F39" s="364">
        <f>INDEX('Cockpit-Daten'!EP3:EP515, MATCH('Projekt-Cockpit'!C1, 'Cockpit-Daten'!A3:A515))</f>
        <v>0</v>
      </c>
      <c r="G39" s="364">
        <f>INDEX('Cockpit-Daten'!EQ3:EQ515, MATCH('Projekt-Cockpit'!C1, 'Cockpit-Daten'!A3:A515))</f>
        <v>0</v>
      </c>
      <c r="H39" s="364">
        <f>INDEX('Cockpit-Daten'!ER3:ER515, MATCH('Projekt-Cockpit'!C1, 'Cockpit-Daten'!A3:A515))</f>
        <v>0</v>
      </c>
      <c r="J39" s="364">
        <f>INDEX('Cockpit-Daten'!GC3:GC515, MATCH('Projekt-Cockpit'!C1, 'Cockpit-Daten'!A3:A515))</f>
        <v>0</v>
      </c>
      <c r="K39" s="364">
        <f>INDEX('Cockpit-Daten'!GD3:GD515, MATCH('Projekt-Cockpit'!C1, 'Cockpit-Daten'!A3:A515))</f>
        <v>0</v>
      </c>
      <c r="L39" s="364">
        <f>INDEX('Cockpit-Daten'!GE3:GE515, MATCH('Projekt-Cockpit'!C1, 'Cockpit-Daten'!A3:A515))</f>
        <v>0</v>
      </c>
      <c r="M39" s="364">
        <f>INDEX('Cockpit-Daten'!GF3:GF515, MATCH('Projekt-Cockpit'!C1, 'Cockpit-Daten'!A3:A515))</f>
        <v>0</v>
      </c>
    </row>
    <row r="40" spans="1:22">
      <c r="A40" s="165" t="s">
        <v>872</v>
      </c>
      <c r="B40" s="9"/>
      <c r="C40" s="160">
        <f>INDEX(Projektportfolio!AT9:AT482, MATCH('Projekt-Cockpit'!C1, Projektportfolio!A9:A482))</f>
        <v>0</v>
      </c>
      <c r="D40" s="15"/>
      <c r="E40" s="364">
        <f>INDEX('Cockpit-Daten'!ES3:ES515, MATCH('Projekt-Cockpit'!C1, 'Cockpit-Daten'!A3:A515))</f>
        <v>0</v>
      </c>
      <c r="F40" s="364">
        <f>INDEX('Cockpit-Daten'!ET3:ET515, MATCH('Projekt-Cockpit'!C1, 'Cockpit-Daten'!A3:A515))</f>
        <v>0</v>
      </c>
      <c r="G40" s="364">
        <f>INDEX('Cockpit-Daten'!EU3:EU515, MATCH('Projekt-Cockpit'!C1, 'Cockpit-Daten'!A3:A515))</f>
        <v>0</v>
      </c>
      <c r="H40" s="364">
        <f>INDEX('Cockpit-Daten'!EV3:EV515, MATCH('Projekt-Cockpit'!C1, 'Cockpit-Daten'!A3:A515))</f>
        <v>0</v>
      </c>
      <c r="J40" s="364">
        <f>INDEX('Cockpit-Daten'!GG3:GG515, MATCH('Projekt-Cockpit'!C1, 'Cockpit-Daten'!A3:A515))</f>
        <v>0</v>
      </c>
      <c r="K40" s="364">
        <f>INDEX('Cockpit-Daten'!GH3:GH515, MATCH('Projekt-Cockpit'!C1, 'Cockpit-Daten'!A3:A515))</f>
        <v>0</v>
      </c>
      <c r="L40" s="364">
        <f>INDEX('Cockpit-Daten'!GI3:GI515, MATCH('Projekt-Cockpit'!C1, 'Cockpit-Daten'!A3:A515))</f>
        <v>0</v>
      </c>
      <c r="M40" s="364">
        <f>INDEX('Cockpit-Daten'!GJ3:GJ515, MATCH('Projekt-Cockpit'!C1, 'Cockpit-Daten'!A3:A515))</f>
        <v>0</v>
      </c>
    </row>
    <row r="41" spans="1:22">
      <c r="A41" s="165" t="s">
        <v>873</v>
      </c>
      <c r="B41" s="9"/>
      <c r="C41" s="160">
        <f>INDEX(Projektportfolio!AV9:AV482, MATCH('Projekt-Cockpit'!C1, Projektportfolio!A9:A482))</f>
        <v>0</v>
      </c>
      <c r="D41" s="15"/>
      <c r="E41" s="364">
        <f>INDEX('Cockpit-Daten'!EW3:EW515, MATCH('Projekt-Cockpit'!C1, 'Cockpit-Daten'!A3:A515))</f>
        <v>0</v>
      </c>
      <c r="F41" s="364">
        <f>INDEX('Cockpit-Daten'!EX3:EX515, MATCH('Projekt-Cockpit'!C1, 'Cockpit-Daten'!A3:A515))</f>
        <v>0</v>
      </c>
      <c r="G41" s="364">
        <f>INDEX('Cockpit-Daten'!EY3:EY515, MATCH('Projekt-Cockpit'!C1, 'Cockpit-Daten'!A3:A515))</f>
        <v>0</v>
      </c>
      <c r="H41" s="364">
        <f>INDEX('Cockpit-Daten'!EZ3:EZ515, MATCH('Projekt-Cockpit'!C1, 'Cockpit-Daten'!A3:A515))</f>
        <v>0</v>
      </c>
      <c r="J41" s="364">
        <f>INDEX('Cockpit-Daten'!GK3:GK515, MATCH('Projekt-Cockpit'!C1, 'Cockpit-Daten'!A3:A515))</f>
        <v>0</v>
      </c>
      <c r="K41" s="364">
        <f>INDEX('Cockpit-Daten'!GL3:GL515, MATCH('Projekt-Cockpit'!C1, 'Cockpit-Daten'!A3:A515))</f>
        <v>0</v>
      </c>
      <c r="L41" s="364">
        <f>INDEX('Cockpit-Daten'!GM3:GM515, MATCH('Projekt-Cockpit'!C1, 'Cockpit-Daten'!A3:A515))</f>
        <v>0</v>
      </c>
      <c r="M41" s="364">
        <f>INDEX('Cockpit-Daten'!GN3:GN515, MATCH('Projekt-Cockpit'!C1, 'Cockpit-Daten'!A3:A515))</f>
        <v>0</v>
      </c>
    </row>
    <row r="42" spans="1:22">
      <c r="A42" s="165" t="s">
        <v>905</v>
      </c>
      <c r="B42" s="9"/>
      <c r="C42" s="160">
        <f>INDEX(Projektportfolio!AX9:AX482, MATCH('Projekt-Cockpit'!C1, Projektportfolio!A9:A482))</f>
        <v>0</v>
      </c>
      <c r="D42" s="15"/>
      <c r="E42" s="364">
        <f>INDEX('Cockpit-Daten'!FA3:FA515, MATCH('Projekt-Cockpit'!C1, 'Cockpit-Daten'!A3:A515))</f>
        <v>0</v>
      </c>
      <c r="F42" s="364">
        <f>INDEX('Cockpit-Daten'!FB3:FB515, MATCH('Projekt-Cockpit'!C1, 'Cockpit-Daten'!A3:A515))</f>
        <v>0</v>
      </c>
      <c r="G42" s="364">
        <f>INDEX('Cockpit-Daten'!FC3:FC515, MATCH('Projekt-Cockpit'!C1, 'Cockpit-Daten'!A3:A515))</f>
        <v>0</v>
      </c>
      <c r="H42" s="364">
        <f>INDEX('Cockpit-Daten'!FD3:FD515, MATCH('Projekt-Cockpit'!C1, 'Cockpit-Daten'!A3:A515))</f>
        <v>0</v>
      </c>
      <c r="J42" s="364">
        <f>INDEX('Cockpit-Daten'!GO3:GO515, MATCH('Projekt-Cockpit'!C1, 'Cockpit-Daten'!A3:A515))</f>
        <v>0</v>
      </c>
      <c r="K42" s="364">
        <f>INDEX('Cockpit-Daten'!GP3:GP515, MATCH('Projekt-Cockpit'!C1, 'Cockpit-Daten'!A3:A515))</f>
        <v>0</v>
      </c>
      <c r="L42" s="364">
        <f>INDEX('Cockpit-Daten'!GQ3:GQ515, MATCH('Projekt-Cockpit'!C1, 'Cockpit-Daten'!A3:A515))</f>
        <v>0</v>
      </c>
      <c r="M42" s="364">
        <f>INDEX('Cockpit-Daten'!GR3:GR515, MATCH('Projekt-Cockpit'!C1, 'Cockpit-Daten'!A3:A515))</f>
        <v>0</v>
      </c>
    </row>
    <row r="43" spans="1:22">
      <c r="A43" s="165" t="s">
        <v>906</v>
      </c>
      <c r="B43" s="9"/>
      <c r="C43" s="160">
        <f>INDEX(Projektportfolio!AZ9:AZ482, MATCH('Projekt-Cockpit'!C1, Projektportfolio!A9:A482))</f>
        <v>0</v>
      </c>
      <c r="D43" s="15"/>
      <c r="E43" s="364">
        <f>INDEX('Cockpit-Daten'!FE3:FE515, MATCH('Projekt-Cockpit'!C1, 'Cockpit-Daten'!A3:A515))</f>
        <v>0</v>
      </c>
      <c r="F43" s="364">
        <f>INDEX('Cockpit-Daten'!FF3:FF515, MATCH('Projekt-Cockpit'!C1, 'Cockpit-Daten'!A3:A515))</f>
        <v>0</v>
      </c>
      <c r="G43" s="364">
        <f>INDEX('Cockpit-Daten'!FG3:FG515, MATCH('Projekt-Cockpit'!C1, 'Cockpit-Daten'!A3:A515))</f>
        <v>0</v>
      </c>
      <c r="H43" s="364">
        <f>INDEX('Cockpit-Daten'!FH3:FH515, MATCH('Projekt-Cockpit'!C1, 'Cockpit-Daten'!A3:A515))</f>
        <v>0</v>
      </c>
      <c r="J43" s="364">
        <f>INDEX('Cockpit-Daten'!GS3:GS515, MATCH('Projekt-Cockpit'!C1, 'Cockpit-Daten'!A3:A515))</f>
        <v>0</v>
      </c>
      <c r="K43" s="364">
        <f>INDEX('Cockpit-Daten'!GT3:GT515, MATCH('Projekt-Cockpit'!C1, 'Cockpit-Daten'!A3:A515))</f>
        <v>0</v>
      </c>
      <c r="L43" s="364">
        <f>INDEX('Cockpit-Daten'!GU3:GU515, MATCH('Projekt-Cockpit'!C1, 'Cockpit-Daten'!A3:A515))</f>
        <v>0</v>
      </c>
      <c r="M43" s="364">
        <f>INDEX('Cockpit-Daten'!GV3:GV515, MATCH('Projekt-Cockpit'!C1, 'Cockpit-Daten'!A3:A515))</f>
        <v>0</v>
      </c>
    </row>
    <row r="44" spans="1:22">
      <c r="A44" s="165" t="s">
        <v>821</v>
      </c>
      <c r="B44" s="9"/>
      <c r="C44" s="160">
        <f>INDEX(Projektportfolio!BB9:BB482, MATCH('Projekt-Cockpit'!C1, Projektportfolio!A9:A482))</f>
        <v>0</v>
      </c>
      <c r="D44" s="15"/>
      <c r="E44" s="364">
        <f>INDEX('Cockpit-Daten'!FI3:FI515, MATCH('Projekt-Cockpit'!C1, 'Cockpit-Daten'!A3:A515))</f>
        <v>0</v>
      </c>
      <c r="F44" s="364">
        <f>INDEX('Cockpit-Daten'!FJ3:FJ515, MATCH('Projekt-Cockpit'!C1, 'Cockpit-Daten'!A3:A515))</f>
        <v>0</v>
      </c>
      <c r="G44" s="364">
        <f>INDEX('Cockpit-Daten'!FK3:FK515, MATCH('Projekt-Cockpit'!C1, 'Cockpit-Daten'!A3:A515))</f>
        <v>0</v>
      </c>
      <c r="H44" s="364">
        <f>INDEX('Cockpit-Daten'!FL3:FL515, MATCH('Projekt-Cockpit'!C1, 'Cockpit-Daten'!A3:A515))</f>
        <v>0</v>
      </c>
      <c r="J44" s="364">
        <f>INDEX('Cockpit-Daten'!GW3:GW515, MATCH('Projekt-Cockpit'!C1, 'Cockpit-Daten'!A3:A515))</f>
        <v>0</v>
      </c>
      <c r="K44" s="364">
        <f>INDEX('Cockpit-Daten'!GX3:GX515, MATCH('Projekt-Cockpit'!C1, 'Cockpit-Daten'!A3:A515))</f>
        <v>0</v>
      </c>
      <c r="L44" s="364">
        <f>INDEX('Cockpit-Daten'!GY3:GY515, MATCH('Projekt-Cockpit'!C1, 'Cockpit-Daten'!A3:A515))</f>
        <v>0</v>
      </c>
      <c r="M44" s="364">
        <f>INDEX('Cockpit-Daten'!GZ3:GZ515, MATCH('Projekt-Cockpit'!C1, 'Cockpit-Daten'!A3:A515))</f>
        <v>0</v>
      </c>
    </row>
    <row r="45" spans="1:22">
      <c r="A45" s="165" t="s">
        <v>823</v>
      </c>
      <c r="B45" s="9"/>
      <c r="C45" s="160">
        <f>INDEX(Projektportfolio!BD9:BD482, MATCH('Projekt-Cockpit'!C1, Projektportfolio!A9:A482))</f>
        <v>0</v>
      </c>
      <c r="D45" s="15"/>
      <c r="E45" s="364">
        <f>INDEX('Cockpit-Daten'!FM3:FM515, MATCH('Projekt-Cockpit'!C1, 'Cockpit-Daten'!A3:A515))</f>
        <v>0</v>
      </c>
      <c r="F45" s="364">
        <f>INDEX('Cockpit-Daten'!FN3:FN515, MATCH('Projekt-Cockpit'!C1, 'Cockpit-Daten'!A3:A515))</f>
        <v>0</v>
      </c>
      <c r="G45" s="364">
        <f>INDEX('Cockpit-Daten'!FO3:FO515, MATCH('Projekt-Cockpit'!C1, 'Cockpit-Daten'!A3:A515))</f>
        <v>0</v>
      </c>
      <c r="H45" s="364">
        <f>INDEX('Cockpit-Daten'!FP3:FP515, MATCH('Projekt-Cockpit'!C1, 'Cockpit-Daten'!A3:A515))</f>
        <v>0</v>
      </c>
      <c r="J45" s="364">
        <f>INDEX('Cockpit-Daten'!HA3:HA515, MATCH('Projekt-Cockpit'!C1, 'Cockpit-Daten'!A3:A515))</f>
        <v>0</v>
      </c>
      <c r="K45" s="364">
        <f>INDEX('Cockpit-Daten'!HB3:HB515, MATCH('Projekt-Cockpit'!C1, 'Cockpit-Daten'!A3:A515))</f>
        <v>0</v>
      </c>
      <c r="L45" s="364">
        <f>INDEX('Cockpit-Daten'!HC3:HC515, MATCH('Projekt-Cockpit'!C1, 'Cockpit-Daten'!A3:A515))</f>
        <v>0</v>
      </c>
      <c r="M45" s="364">
        <f>INDEX('Cockpit-Daten'!HD3:HD515, MATCH('Projekt-Cockpit'!C1, 'Cockpit-Daten'!A3:A515))</f>
        <v>0</v>
      </c>
    </row>
    <row r="46" spans="1:22">
      <c r="A46" s="165" t="s">
        <v>824</v>
      </c>
      <c r="B46" s="9"/>
      <c r="C46" s="160">
        <f>INDEX(Projektportfolio!BF9:BF482, MATCH('Projekt-Cockpit'!C1, Projektportfolio!A9:A482))</f>
        <v>0</v>
      </c>
      <c r="D46" s="15"/>
      <c r="E46" s="364">
        <f>INDEX('Cockpit-Daten'!FQ3:FQ515, MATCH('Projekt-Cockpit'!C1, 'Cockpit-Daten'!A3:A515))</f>
        <v>0</v>
      </c>
      <c r="F46" s="364">
        <f>INDEX('Cockpit-Daten'!FR3:FR515, MATCH('Projekt-Cockpit'!C1, 'Cockpit-Daten'!A3:A515))</f>
        <v>0</v>
      </c>
      <c r="G46" s="364">
        <f>INDEX('Cockpit-Daten'!FS3:FS515, MATCH('Projekt-Cockpit'!C1, 'Cockpit-Daten'!A3:A515))</f>
        <v>0</v>
      </c>
      <c r="H46" s="364">
        <f>INDEX('Cockpit-Daten'!FT3:FT515, MATCH('Projekt-Cockpit'!C1, 'Cockpit-Daten'!A3:A515))</f>
        <v>0</v>
      </c>
      <c r="J46" s="364">
        <f>INDEX('Cockpit-Daten'!HE3:HE515, MATCH('Projekt-Cockpit'!C1, 'Cockpit-Daten'!A3:A515))</f>
        <v>0</v>
      </c>
      <c r="K46" s="364">
        <f>INDEX('Cockpit-Daten'!HF3:HF515, MATCH('Projekt-Cockpit'!C1, 'Cockpit-Daten'!A3:A515))</f>
        <v>0</v>
      </c>
      <c r="L46" s="364">
        <f>INDEX('Cockpit-Daten'!HG3:HG515, MATCH('Projekt-Cockpit'!C1, 'Cockpit-Daten'!A3:A515))</f>
        <v>0</v>
      </c>
      <c r="M46" s="364">
        <f>INDEX('Cockpit-Daten'!HH3:HH515, MATCH('Projekt-Cockpit'!C1, 'Cockpit-Daten'!A3:A515))</f>
        <v>0</v>
      </c>
    </row>
    <row r="47" spans="1:22">
      <c r="A47" s="165" t="s">
        <v>825</v>
      </c>
      <c r="B47" s="9"/>
      <c r="C47" s="160">
        <f>INDEX(Projektportfolio!BH9:BH482, MATCH('Projekt-Cockpit'!C1, Projektportfolio!A9:A482))</f>
        <v>0</v>
      </c>
      <c r="D47" s="15"/>
      <c r="E47" s="364">
        <f>INDEX('Cockpit-Daten'!FU3:FU515, MATCH('Projekt-Cockpit'!C1, 'Cockpit-Daten'!A3:A515))</f>
        <v>0</v>
      </c>
      <c r="F47" s="364">
        <f>INDEX('Cockpit-Daten'!FV3:FV515, MATCH('Projekt-Cockpit'!C1, 'Cockpit-Daten'!A3:A515))</f>
        <v>0</v>
      </c>
      <c r="G47" s="364">
        <f>INDEX('Cockpit-Daten'!FW3:FW515, MATCH('Projekt-Cockpit'!C1, 'Cockpit-Daten'!A3:A515))</f>
        <v>0</v>
      </c>
      <c r="H47" s="364">
        <f>INDEX('Cockpit-Daten'!FX3:FX515, MATCH('Projekt-Cockpit'!C1, 'Cockpit-Daten'!A3:A515))</f>
        <v>0</v>
      </c>
      <c r="I47" s="176"/>
      <c r="J47" s="364">
        <f>INDEX('Cockpit-Daten'!HI3:HI515, MATCH('Projekt-Cockpit'!C1, 'Cockpit-Daten'!A3:A515))</f>
        <v>0</v>
      </c>
      <c r="K47" s="364">
        <f>INDEX('Cockpit-Daten'!HJ3:HJ515, MATCH('Projekt-Cockpit'!C1, 'Cockpit-Daten'!A3:A515))</f>
        <v>0</v>
      </c>
      <c r="L47" s="364">
        <f>INDEX('Cockpit-Daten'!HK3:HK515, MATCH('Projekt-Cockpit'!C1, 'Cockpit-Daten'!A3:A515))</f>
        <v>0</v>
      </c>
      <c r="M47" s="364">
        <f>INDEX('Cockpit-Daten'!HL3:HL515, MATCH('Projekt-Cockpit'!C1, 'Cockpit-Daten'!A3:A515))</f>
        <v>0</v>
      </c>
    </row>
    <row r="48" spans="1:22">
      <c r="A48" s="165" t="s">
        <v>1119</v>
      </c>
      <c r="B48" s="9"/>
      <c r="C48" s="14">
        <f>C37-C38</f>
        <v>7000</v>
      </c>
      <c r="D48" s="15"/>
      <c r="E48" s="176"/>
      <c r="F48" s="176"/>
      <c r="G48" s="176"/>
      <c r="H48" s="176"/>
      <c r="J48" s="178"/>
      <c r="K48" s="178"/>
      <c r="L48" s="178"/>
      <c r="M48" s="178"/>
    </row>
    <row r="49" spans="1:25">
      <c r="A49" s="165" t="s">
        <v>1120</v>
      </c>
      <c r="B49" s="9"/>
      <c r="C49" s="14">
        <f>C37-C38-C39-C40-C41-C42-C43-C44-C45-C46-C47</f>
        <v>0</v>
      </c>
      <c r="D49" s="15"/>
      <c r="E49" s="176"/>
      <c r="F49" s="177"/>
      <c r="G49" s="177"/>
      <c r="H49" s="177"/>
      <c r="J49" s="178"/>
      <c r="K49" s="178"/>
      <c r="L49" s="178"/>
      <c r="M49" s="178"/>
    </row>
    <row r="50" spans="1:25" s="6" customFormat="1" ht="4.5" customHeight="1">
      <c r="A50" s="9"/>
      <c r="B50" s="9"/>
      <c r="C50" s="9"/>
      <c r="D50" s="10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</row>
    <row r="51" spans="1:25">
      <c r="A51" s="165" t="s">
        <v>51</v>
      </c>
      <c r="B51" s="9"/>
      <c r="C51" s="365">
        <f>INDEX('Cockpit-Daten'!DT3:DT515, MATCH('Projekt-Cockpit'!C1, 'Cockpit-Daten'!A3:A515))</f>
        <v>0</v>
      </c>
      <c r="D51" s="13"/>
      <c r="E51" s="13"/>
      <c r="F51" s="13"/>
      <c r="G51" s="13"/>
      <c r="H51" s="13"/>
      <c r="I51" s="13"/>
      <c r="J51" s="13"/>
    </row>
    <row r="52" spans="1:25">
      <c r="A52" s="165" t="s">
        <v>50</v>
      </c>
      <c r="B52" s="9"/>
      <c r="C52" s="365">
        <f>INDEX('Cockpit-Daten'!DU3:DU515, MATCH('Projekt-Cockpit'!C1, 'Cockpit-Daten'!A3:A515))</f>
        <v>0</v>
      </c>
      <c r="D52" s="13"/>
      <c r="E52" s="13"/>
      <c r="F52" s="13"/>
      <c r="G52" s="13"/>
      <c r="H52" s="13"/>
      <c r="I52" s="13"/>
      <c r="J52" s="13"/>
    </row>
    <row r="53" spans="1:25">
      <c r="D53" s="13"/>
      <c r="E53" s="13"/>
      <c r="F53" s="13"/>
      <c r="G53" s="13"/>
      <c r="H53" s="13"/>
      <c r="I53" s="13"/>
      <c r="J53" s="13"/>
    </row>
    <row r="54" spans="1:25">
      <c r="D54" s="13"/>
      <c r="E54" s="13"/>
      <c r="F54" s="13"/>
      <c r="G54" s="13"/>
      <c r="H54" s="13"/>
      <c r="I54" s="13"/>
      <c r="J54" s="13"/>
    </row>
    <row r="55" spans="1:25">
      <c r="D55" s="13"/>
      <c r="E55" s="13"/>
      <c r="F55" s="13"/>
      <c r="G55" s="13"/>
      <c r="H55" s="13"/>
      <c r="I55" s="13"/>
      <c r="J55" s="13"/>
    </row>
    <row r="56" spans="1:25">
      <c r="D56" s="13"/>
      <c r="E56" s="13"/>
      <c r="F56" s="13"/>
      <c r="G56" s="13"/>
      <c r="H56" s="13"/>
      <c r="I56" s="13"/>
      <c r="J56" s="13"/>
    </row>
  </sheetData>
  <sheetProtection sort="0" autoFilter="0"/>
  <mergeCells count="142">
    <mergeCell ref="K31:P31"/>
    <mergeCell ref="K32:P32"/>
    <mergeCell ref="K33:P33"/>
    <mergeCell ref="Q31:V31"/>
    <mergeCell ref="Q32:V32"/>
    <mergeCell ref="Q33:V33"/>
    <mergeCell ref="E27:V27"/>
    <mergeCell ref="E28:J28"/>
    <mergeCell ref="K28:P28"/>
    <mergeCell ref="Q28:V28"/>
    <mergeCell ref="E29:J29"/>
    <mergeCell ref="E30:J30"/>
    <mergeCell ref="E31:J31"/>
    <mergeCell ref="E32:J32"/>
    <mergeCell ref="E33:J33"/>
    <mergeCell ref="K29:P29"/>
    <mergeCell ref="K30:P30"/>
    <mergeCell ref="Q29:V29"/>
    <mergeCell ref="Q30:V30"/>
    <mergeCell ref="E36:H36"/>
    <mergeCell ref="AP20:AP24"/>
    <mergeCell ref="AQ20:AQ24"/>
    <mergeCell ref="AR20:AR24"/>
    <mergeCell ref="AS20:AS24"/>
    <mergeCell ref="AT20:AT24"/>
    <mergeCell ref="AN5:AN19"/>
    <mergeCell ref="AO5:AO19"/>
    <mergeCell ref="AN20:AN24"/>
    <mergeCell ref="AO20:AO24"/>
    <mergeCell ref="E35:H35"/>
    <mergeCell ref="E26:H26"/>
    <mergeCell ref="I5:I19"/>
    <mergeCell ref="J5:J19"/>
    <mergeCell ref="K5:K19"/>
    <mergeCell ref="L5:L19"/>
    <mergeCell ref="M5:M19"/>
    <mergeCell ref="T5:T19"/>
    <mergeCell ref="U5:U19"/>
    <mergeCell ref="V5:V19"/>
    <mergeCell ref="O5:O19"/>
    <mergeCell ref="P5:P19"/>
    <mergeCell ref="Q5:Q19"/>
    <mergeCell ref="R5:R19"/>
    <mergeCell ref="T20:T24"/>
    <mergeCell ref="U20:U24"/>
    <mergeCell ref="V20:V24"/>
    <mergeCell ref="S5:S19"/>
    <mergeCell ref="AU5:AU19"/>
    <mergeCell ref="AV5:AV19"/>
    <mergeCell ref="AW5:AW19"/>
    <mergeCell ref="AX5:AX19"/>
    <mergeCell ref="AY5:AY19"/>
    <mergeCell ref="AP5:AP19"/>
    <mergeCell ref="AQ5:AQ19"/>
    <mergeCell ref="AR5:AR19"/>
    <mergeCell ref="AS5:AS19"/>
    <mergeCell ref="AT5:AT19"/>
    <mergeCell ref="E20:E24"/>
    <mergeCell ref="E5:E19"/>
    <mergeCell ref="F5:F19"/>
    <mergeCell ref="G5:G19"/>
    <mergeCell ref="H5:H19"/>
    <mergeCell ref="N5:N19"/>
    <mergeCell ref="BA5:BA19"/>
    <mergeCell ref="AL20:AL24"/>
    <mergeCell ref="AM20:AM24"/>
    <mergeCell ref="Z20:Z24"/>
    <mergeCell ref="AA20:AA24"/>
    <mergeCell ref="AB20:AB24"/>
    <mergeCell ref="AC20:AC24"/>
    <mergeCell ref="AD20:AD24"/>
    <mergeCell ref="AZ20:AZ24"/>
    <mergeCell ref="AF20:AF24"/>
    <mergeCell ref="AG20:AG24"/>
    <mergeCell ref="AH20:AH24"/>
    <mergeCell ref="AE20:AE24"/>
    <mergeCell ref="BA20:BA24"/>
    <mergeCell ref="W20:W24"/>
    <mergeCell ref="X20:X24"/>
    <mergeCell ref="Y20:Y24"/>
    <mergeCell ref="AC5:AC19"/>
    <mergeCell ref="O20:O24"/>
    <mergeCell ref="P20:P24"/>
    <mergeCell ref="Q20:Q24"/>
    <mergeCell ref="AI5:AI19"/>
    <mergeCell ref="AJ5:AJ19"/>
    <mergeCell ref="AK5:AK19"/>
    <mergeCell ref="AL5:AL19"/>
    <mergeCell ref="AM5:AM19"/>
    <mergeCell ref="Z5:Z19"/>
    <mergeCell ref="AA5:AA19"/>
    <mergeCell ref="AB5:AB19"/>
    <mergeCell ref="AI20:AI24"/>
    <mergeCell ref="AJ20:AJ24"/>
    <mergeCell ref="AK20:AK24"/>
    <mergeCell ref="AF5:AF19"/>
    <mergeCell ref="AG5:AG19"/>
    <mergeCell ref="AH5:AH19"/>
    <mergeCell ref="AE5:AE19"/>
    <mergeCell ref="W5:W19"/>
    <mergeCell ref="X5:X19"/>
    <mergeCell ref="Y5:Y19"/>
    <mergeCell ref="R20:R24"/>
    <mergeCell ref="S20:S24"/>
    <mergeCell ref="AD5:AD19"/>
    <mergeCell ref="F20:F24"/>
    <mergeCell ref="G20:G24"/>
    <mergeCell ref="H20:H24"/>
    <mergeCell ref="I20:I24"/>
    <mergeCell ref="J20:J24"/>
    <mergeCell ref="K20:K24"/>
    <mergeCell ref="L20:L24"/>
    <mergeCell ref="M20:M24"/>
    <mergeCell ref="N20:N24"/>
    <mergeCell ref="BB20:BB24"/>
    <mergeCell ref="BC20:BC24"/>
    <mergeCell ref="BD20:BD24"/>
    <mergeCell ref="AU20:AU24"/>
    <mergeCell ref="AV20:AV24"/>
    <mergeCell ref="AW20:AW24"/>
    <mergeCell ref="AX20:AX24"/>
    <mergeCell ref="AY20:AY24"/>
    <mergeCell ref="BI5:BI19"/>
    <mergeCell ref="BI20:BI24"/>
    <mergeCell ref="BD5:BD19"/>
    <mergeCell ref="BB5:BB19"/>
    <mergeCell ref="BC5:BC19"/>
    <mergeCell ref="AZ5:AZ19"/>
    <mergeCell ref="BJ5:BJ19"/>
    <mergeCell ref="BJ20:BJ24"/>
    <mergeCell ref="BK5:BK19"/>
    <mergeCell ref="BK20:BK24"/>
    <mergeCell ref="BL5:BL19"/>
    <mergeCell ref="BL20:BL24"/>
    <mergeCell ref="BE5:BE19"/>
    <mergeCell ref="BE20:BE24"/>
    <mergeCell ref="BF5:BF19"/>
    <mergeCell ref="BF20:BF24"/>
    <mergeCell ref="BG5:BG19"/>
    <mergeCell ref="BG20:BG24"/>
    <mergeCell ref="BH5:BH19"/>
    <mergeCell ref="BH20:BH24"/>
  </mergeCells>
  <conditionalFormatting sqref="I47">
    <cfRule type="cellIs" dxfId="706" priority="49" operator="equal">
      <formula>"Abnahme"</formula>
    </cfRule>
    <cfRule type="cellIs" dxfId="705" priority="50" operator="equal">
      <formula>"Gleich"</formula>
    </cfRule>
    <cfRule type="cellIs" dxfId="704" priority="51" operator="equal">
      <formula>"Zunahme"</formula>
    </cfRule>
  </conditionalFormatting>
  <conditionalFormatting sqref="E20:BD24">
    <cfRule type="cellIs" dxfId="703" priority="36" operator="equal">
      <formula>0</formula>
    </cfRule>
    <cfRule type="cellIs" dxfId="702" priority="37" operator="equal">
      <formula>"-"</formula>
    </cfRule>
    <cfRule type="cellIs" dxfId="701" priority="38" operator="equal">
      <formula>"="</formula>
    </cfRule>
    <cfRule type="cellIs" dxfId="700" priority="39" operator="equal">
      <formula>"+"</formula>
    </cfRule>
  </conditionalFormatting>
  <conditionalFormatting sqref="E38:H47">
    <cfRule type="cellIs" dxfId="699" priority="33" operator="equal">
      <formula>"+"</formula>
    </cfRule>
    <cfRule type="cellIs" dxfId="698" priority="34" operator="equal">
      <formula>"="</formula>
    </cfRule>
    <cfRule type="cellIs" dxfId="697" priority="35" operator="equal">
      <formula>"-"</formula>
    </cfRule>
  </conditionalFormatting>
  <conditionalFormatting sqref="BL20:BL24">
    <cfRule type="cellIs" dxfId="696" priority="1" operator="equal">
      <formula>0</formula>
    </cfRule>
    <cfRule type="cellIs" dxfId="695" priority="2" operator="equal">
      <formula>"+"</formula>
    </cfRule>
    <cfRule type="cellIs" dxfId="694" priority="3" operator="equal">
      <formula>"="</formula>
    </cfRule>
    <cfRule type="cellIs" dxfId="693" priority="4" operator="equal">
      <formula>"-"</formula>
    </cfRule>
  </conditionalFormatting>
  <conditionalFormatting sqref="BE20:BE24">
    <cfRule type="cellIs" dxfId="692" priority="29" operator="equal">
      <formula>0</formula>
    </cfRule>
    <cfRule type="cellIs" dxfId="691" priority="30" operator="equal">
      <formula>"-"</formula>
    </cfRule>
    <cfRule type="cellIs" dxfId="690" priority="31" operator="equal">
      <formula>"="</formula>
    </cfRule>
    <cfRule type="cellIs" dxfId="689" priority="32" operator="equal">
      <formula>"+"</formula>
    </cfRule>
  </conditionalFormatting>
  <conditionalFormatting sqref="BF20:BF24">
    <cfRule type="cellIs" dxfId="688" priority="25" operator="equal">
      <formula>0</formula>
    </cfRule>
    <cfRule type="cellIs" dxfId="687" priority="26" operator="equal">
      <formula>"-"</formula>
    </cfRule>
    <cfRule type="cellIs" dxfId="686" priority="27" operator="equal">
      <formula>"="</formula>
    </cfRule>
    <cfRule type="cellIs" dxfId="685" priority="28" operator="equal">
      <formula>"+"</formula>
    </cfRule>
  </conditionalFormatting>
  <conditionalFormatting sqref="BG20:BG24">
    <cfRule type="cellIs" dxfId="684" priority="21" operator="equal">
      <formula>0</formula>
    </cfRule>
    <cfRule type="cellIs" dxfId="683" priority="22" operator="equal">
      <formula>"-"</formula>
    </cfRule>
    <cfRule type="cellIs" dxfId="682" priority="23" operator="equal">
      <formula>"="</formula>
    </cfRule>
    <cfRule type="cellIs" dxfId="681" priority="24" operator="equal">
      <formula>"+"</formula>
    </cfRule>
  </conditionalFormatting>
  <conditionalFormatting sqref="BH20:BH24">
    <cfRule type="cellIs" dxfId="680" priority="17" operator="equal">
      <formula>0</formula>
    </cfRule>
    <cfRule type="cellIs" dxfId="679" priority="18" operator="equal">
      <formula>"-"</formula>
    </cfRule>
    <cfRule type="cellIs" dxfId="678" priority="19" operator="equal">
      <formula>"="</formula>
    </cfRule>
    <cfRule type="cellIs" dxfId="677" priority="20" operator="equal">
      <formula>"+"</formula>
    </cfRule>
  </conditionalFormatting>
  <conditionalFormatting sqref="BI20:BI24">
    <cfRule type="cellIs" dxfId="676" priority="13" operator="equal">
      <formula>0</formula>
    </cfRule>
    <cfRule type="cellIs" dxfId="675" priority="14" operator="equal">
      <formula>"-"</formula>
    </cfRule>
    <cfRule type="cellIs" dxfId="674" priority="15" operator="equal">
      <formula>"="</formula>
    </cfRule>
    <cfRule type="cellIs" dxfId="673" priority="16" operator="equal">
      <formula>"+"</formula>
    </cfRule>
  </conditionalFormatting>
  <conditionalFormatting sqref="BJ20:BJ24">
    <cfRule type="cellIs" dxfId="672" priority="9" operator="equal">
      <formula>0</formula>
    </cfRule>
    <cfRule type="cellIs" dxfId="671" priority="10" operator="equal">
      <formula>"-"</formula>
    </cfRule>
    <cfRule type="cellIs" dxfId="670" priority="11" operator="equal">
      <formula>"="</formula>
    </cfRule>
    <cfRule type="cellIs" dxfId="669" priority="12" operator="equal">
      <formula>"+"</formula>
    </cfRule>
  </conditionalFormatting>
  <conditionalFormatting sqref="BK20:BK24">
    <cfRule type="cellIs" dxfId="668" priority="5" operator="equal">
      <formula>0</formula>
    </cfRule>
    <cfRule type="cellIs" dxfId="667" priority="6" operator="equal">
      <formula>"-"</formula>
    </cfRule>
    <cfRule type="cellIs" dxfId="666" priority="7" operator="equal">
      <formula>"="</formula>
    </cfRule>
    <cfRule type="cellIs" dxfId="665" priority="8" operator="equal">
      <formula>"+"</formula>
    </cfRule>
  </conditionalFormatting>
  <dataValidations count="3">
    <dataValidation type="list" allowBlank="1" showInputMessage="1" showErrorMessage="1" sqref="E49" xr:uid="{00000000-0002-0000-0100-000000000000}">
      <formula1>Status</formula1>
    </dataValidation>
    <dataValidation type="list" allowBlank="1" showInputMessage="1" showErrorMessage="1" sqref="C1" xr:uid="{00000000-0002-0000-0100-000001000000}">
      <formula1 xml:space="preserve"> Namen</formula1>
    </dataValidation>
    <dataValidation type="list" allowBlank="1" showInputMessage="1" showErrorMessage="1" sqref="C3" xr:uid="{00000000-0002-0000-0100-000002000000}">
      <formula1>Quartal</formula1>
    </dataValidation>
  </dataValidations>
  <pageMargins left="0.25" right="0.25" top="0.75" bottom="0.75" header="0.3" footer="0.3"/>
  <pageSetup paperSize="8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05" r:id="rId4" name="Button 33">
              <controlPr defaultSize="0" print="0" autoFill="0" autoPict="0" macro="[0]!Milestone_Update">
                <anchor moveWithCells="1">
                  <from>
                    <xdr:col>4</xdr:col>
                    <xdr:colOff>190500</xdr:colOff>
                    <xdr:row>2</xdr:row>
                    <xdr:rowOff>28575</xdr:rowOff>
                  </from>
                  <to>
                    <xdr:col>5</xdr:col>
                    <xdr:colOff>190500</xdr:colOff>
                    <xdr:row>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5" name="Button 35">
              <controlPr defaultSize="0" print="0" autoFill="0" autoPict="0" macro="[0]!Prognosis_Update">
                <anchor moveWithCells="1" sizeWithCells="1">
                  <from>
                    <xdr:col>0</xdr:col>
                    <xdr:colOff>2066925</xdr:colOff>
                    <xdr:row>35</xdr:row>
                    <xdr:rowOff>114300</xdr:rowOff>
                  </from>
                  <to>
                    <xdr:col>0</xdr:col>
                    <xdr:colOff>2838450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6" name="Button 38">
              <controlPr defaultSize="0" print="0" autoFill="0" autoPict="0" macro="[0]!Update_Button">
                <anchor moveWithCells="1">
                  <from>
                    <xdr:col>0</xdr:col>
                    <xdr:colOff>1933575</xdr:colOff>
                    <xdr:row>0</xdr:row>
                    <xdr:rowOff>85725</xdr:rowOff>
                  </from>
                  <to>
                    <xdr:col>0</xdr:col>
                    <xdr:colOff>3019425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5" r:id="rId7" name="Button 73">
              <controlPr defaultSize="0" print="0" autoFill="0" autoPict="0" macro="[0]!Project_Goal">
                <anchor moveWithCells="1" sizeWithCells="1">
                  <from>
                    <xdr:col>2</xdr:col>
                    <xdr:colOff>2543175</xdr:colOff>
                    <xdr:row>7</xdr:row>
                    <xdr:rowOff>0</xdr:rowOff>
                  </from>
                  <to>
                    <xdr:col>2</xdr:col>
                    <xdr:colOff>3448050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8" r:id="rId8" name="Button 76">
              <controlPr defaultSize="0" print="0" autoFill="0" autoPict="0" macro="[0]!ExComm_Update">
                <anchor moveWithCells="1" sizeWithCells="1">
                  <from>
                    <xdr:col>0</xdr:col>
                    <xdr:colOff>2162175</xdr:colOff>
                    <xdr:row>50</xdr:row>
                    <xdr:rowOff>19050</xdr:rowOff>
                  </from>
                  <to>
                    <xdr:col>0</xdr:col>
                    <xdr:colOff>2971800</xdr:colOff>
                    <xdr:row>51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9" r:id="rId9" name="Button 77">
              <controlPr defaultSize="0" print="0" autoFill="0" autoPict="0" macro="[0]!Status_Update">
                <anchor moveWithCells="1" sizeWithCells="1">
                  <from>
                    <xdr:col>5</xdr:col>
                    <xdr:colOff>57150</xdr:colOff>
                    <xdr:row>48</xdr:row>
                    <xdr:rowOff>9525</xdr:rowOff>
                  </from>
                  <to>
                    <xdr:col>7</xdr:col>
                    <xdr:colOff>28575</xdr:colOff>
                    <xdr:row>50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1" r:id="rId10" name="Button 79">
              <controlPr defaultSize="0" print="0" autoFill="0" autoPict="0" macro="[0]!Tendenz_Update">
                <anchor moveWithCells="1" sizeWithCells="1">
                  <from>
                    <xdr:col>10</xdr:col>
                    <xdr:colOff>19050</xdr:colOff>
                    <xdr:row>48</xdr:row>
                    <xdr:rowOff>19050</xdr:rowOff>
                  </from>
                  <to>
                    <xdr:col>12</xdr:col>
                    <xdr:colOff>0</xdr:colOff>
                    <xdr:row>50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" r:id="rId11" name="Button 84">
              <controlPr defaultSize="0" print="0" autoFill="0" autoPict="0" macro="[0]!Dependencies_Define">
                <anchor moveWithCells="1" sizeWithCells="1">
                  <from>
                    <xdr:col>11</xdr:col>
                    <xdr:colOff>323850</xdr:colOff>
                    <xdr:row>33</xdr:row>
                    <xdr:rowOff>57150</xdr:rowOff>
                  </from>
                  <to>
                    <xdr:col>14</xdr:col>
                    <xdr:colOff>285750</xdr:colOff>
                    <xdr:row>34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HL523"/>
  <sheetViews>
    <sheetView zoomScale="82" zoomScaleNormal="82" workbookViewId="0">
      <selection activeCell="DN24" sqref="DN24"/>
    </sheetView>
  </sheetViews>
  <sheetFormatPr defaultColWidth="9.140625" defaultRowHeight="12.75"/>
  <cols>
    <col min="1" max="1" width="48.28515625" bestFit="1" customWidth="1"/>
    <col min="2" max="2" width="12.5703125" customWidth="1"/>
    <col min="3" max="3" width="17.42578125" bestFit="1" customWidth="1"/>
    <col min="5" max="5" width="15.5703125" customWidth="1"/>
    <col min="7" max="7" width="15.85546875" customWidth="1"/>
    <col min="9" max="9" width="15.85546875" customWidth="1"/>
    <col min="11" max="11" width="15.85546875" customWidth="1"/>
    <col min="13" max="13" width="15.85546875" customWidth="1"/>
    <col min="15" max="15" width="15.85546875" customWidth="1"/>
    <col min="17" max="17" width="15.85546875" customWidth="1"/>
    <col min="19" max="19" width="15.85546875" customWidth="1"/>
    <col min="21" max="21" width="15.85546875" customWidth="1"/>
    <col min="23" max="23" width="15.5703125" customWidth="1"/>
    <col min="25" max="25" width="15.140625" customWidth="1"/>
    <col min="27" max="27" width="15.5703125" customWidth="1"/>
    <col min="29" max="29" width="15.5703125" customWidth="1"/>
    <col min="31" max="31" width="15.5703125" customWidth="1"/>
    <col min="33" max="33" width="15.5703125" customWidth="1"/>
    <col min="35" max="35" width="15.5703125" customWidth="1"/>
    <col min="39" max="39" width="15.5703125" customWidth="1"/>
    <col min="41" max="41" width="16.5703125" customWidth="1"/>
    <col min="43" max="43" width="15.85546875" customWidth="1"/>
    <col min="45" max="45" width="15.5703125" customWidth="1"/>
    <col min="47" max="47" width="15.85546875" customWidth="1"/>
    <col min="49" max="49" width="15.85546875" customWidth="1"/>
    <col min="51" max="51" width="15.85546875" customWidth="1"/>
    <col min="53" max="53" width="15.85546875" customWidth="1"/>
    <col min="55" max="55" width="15.85546875" customWidth="1"/>
    <col min="57" max="57" width="15.85546875" customWidth="1"/>
    <col min="59" max="59" width="15.85546875" customWidth="1"/>
    <col min="61" max="61" width="15.85546875" customWidth="1"/>
    <col min="63" max="63" width="15.85546875" customWidth="1"/>
    <col min="65" max="65" width="15.5703125" customWidth="1"/>
    <col min="67" max="67" width="15.85546875" customWidth="1"/>
    <col min="69" max="69" width="15.85546875" customWidth="1"/>
    <col min="71" max="71" width="15.85546875" customWidth="1"/>
    <col min="73" max="73" width="15.85546875" customWidth="1"/>
    <col min="75" max="75" width="15.85546875" customWidth="1"/>
    <col min="77" max="77" width="15.85546875" customWidth="1"/>
    <col min="79" max="79" width="15.85546875" customWidth="1"/>
    <col min="81" max="81" width="15.85546875" customWidth="1"/>
    <col min="83" max="83" width="15.85546875" customWidth="1"/>
    <col min="85" max="85" width="15.5703125" customWidth="1"/>
    <col min="87" max="87" width="15.85546875" customWidth="1"/>
    <col min="89" max="89" width="15.85546875" customWidth="1"/>
    <col min="91" max="91" width="15.85546875" customWidth="1"/>
    <col min="93" max="93" width="15.85546875" customWidth="1"/>
    <col min="95" max="95" width="15.85546875" customWidth="1"/>
    <col min="97" max="97" width="15.85546875" customWidth="1"/>
    <col min="99" max="99" width="15.85546875" customWidth="1"/>
    <col min="101" max="101" width="15.85546875" customWidth="1"/>
    <col min="103" max="103" width="15.85546875" customWidth="1"/>
    <col min="105" max="105" width="15.5703125" customWidth="1"/>
    <col min="107" max="107" width="15.85546875" customWidth="1"/>
    <col min="109" max="109" width="14.42578125" customWidth="1"/>
    <col min="111" max="111" width="14.85546875" customWidth="1"/>
    <col min="113" max="113" width="14.42578125" customWidth="1"/>
    <col min="115" max="115" width="14.85546875" customWidth="1"/>
    <col min="124" max="124" width="23.140625" customWidth="1"/>
    <col min="125" max="125" width="15.5703125" customWidth="1"/>
    <col min="126" max="126" width="22.28515625" customWidth="1"/>
    <col min="127" max="130" width="22.7109375" customWidth="1"/>
    <col min="131" max="131" width="20.85546875" customWidth="1"/>
    <col min="132" max="135" width="21.28515625" customWidth="1"/>
    <col min="136" max="136" width="24" customWidth="1"/>
    <col min="137" max="140" width="24.42578125" customWidth="1"/>
    <col min="141" max="141" width="27.5703125" customWidth="1"/>
    <col min="142" max="144" width="27.85546875" customWidth="1"/>
    <col min="145" max="145" width="28.5703125" customWidth="1"/>
    <col min="146" max="148" width="28.85546875" customWidth="1"/>
    <col min="149" max="149" width="28.5703125" customWidth="1"/>
    <col min="150" max="153" width="28.85546875" customWidth="1"/>
    <col min="154" max="156" width="29.28515625" customWidth="1"/>
    <col min="157" max="157" width="28.5703125" customWidth="1"/>
    <col min="158" max="161" width="28.85546875" customWidth="1"/>
    <col min="162" max="164" width="29.28515625" customWidth="1"/>
    <col min="165" max="165" width="28.85546875" customWidth="1"/>
    <col min="166" max="168" width="29.28515625" customWidth="1"/>
    <col min="169" max="169" width="28.85546875" customWidth="1"/>
    <col min="170" max="172" width="29.28515625" customWidth="1"/>
    <col min="173" max="173" width="28.85546875" customWidth="1"/>
    <col min="174" max="176" width="29.28515625" customWidth="1"/>
    <col min="177" max="177" width="28.85546875" customWidth="1"/>
    <col min="178" max="180" width="29.28515625" customWidth="1"/>
    <col min="181" max="181" width="29.42578125" customWidth="1"/>
    <col min="182" max="184" width="29.85546875" customWidth="1"/>
    <col min="185" max="185" width="30.42578125" customWidth="1"/>
    <col min="186" max="188" width="30.85546875" customWidth="1"/>
    <col min="189" max="189" width="30.42578125" customWidth="1"/>
    <col min="190" max="193" width="30.85546875" customWidth="1"/>
    <col min="194" max="196" width="31.140625" customWidth="1"/>
    <col min="197" max="197" width="30.42578125" customWidth="1"/>
    <col min="198" max="201" width="30.85546875" customWidth="1"/>
    <col min="202" max="204" width="31.140625" customWidth="1"/>
    <col min="205" max="205" width="30.85546875" customWidth="1"/>
    <col min="206" max="208" width="31.140625" customWidth="1"/>
    <col min="209" max="209" width="30.85546875" customWidth="1"/>
    <col min="210" max="212" width="31.140625" customWidth="1"/>
    <col min="213" max="213" width="30.85546875" customWidth="1"/>
    <col min="214" max="216" width="31.140625" customWidth="1"/>
    <col min="217" max="217" width="30.85546875" customWidth="1"/>
    <col min="218" max="220" width="31.140625" customWidth="1"/>
  </cols>
  <sheetData>
    <row r="1" spans="1:220">
      <c r="A1" s="35" t="s">
        <v>929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21"/>
      <c r="BC1" s="21"/>
      <c r="BD1" s="21"/>
      <c r="BE1" s="21"/>
      <c r="BF1" s="21"/>
      <c r="BG1" s="21"/>
      <c r="BH1" s="21"/>
      <c r="BI1" s="21"/>
      <c r="BJ1" s="21"/>
      <c r="BK1" s="21"/>
      <c r="BL1" s="21"/>
      <c r="BM1" s="21"/>
      <c r="BN1" s="21"/>
      <c r="BO1" s="21"/>
      <c r="BP1" s="21"/>
      <c r="BQ1" s="21"/>
      <c r="BR1" s="21"/>
      <c r="BS1" s="21"/>
      <c r="BT1" s="21"/>
      <c r="BU1" s="21"/>
      <c r="BV1" s="21"/>
      <c r="BW1" s="21"/>
      <c r="BX1" s="21"/>
      <c r="BY1" s="21"/>
      <c r="BZ1" s="21"/>
      <c r="CA1" s="21"/>
      <c r="CB1" s="21"/>
      <c r="CC1" s="21"/>
      <c r="CD1" s="21"/>
      <c r="CE1" s="21"/>
      <c r="CF1" s="21"/>
      <c r="CG1" s="21"/>
      <c r="CH1" s="21"/>
      <c r="CI1" s="21"/>
      <c r="CJ1" s="21"/>
      <c r="CK1" s="21"/>
      <c r="CL1" s="21"/>
      <c r="CM1" s="21"/>
      <c r="CN1" s="21"/>
      <c r="CO1" s="21"/>
      <c r="CP1" s="21"/>
      <c r="CQ1" s="21"/>
      <c r="CR1" s="21"/>
      <c r="CS1" s="21"/>
      <c r="CT1" s="21"/>
      <c r="CU1" s="21"/>
      <c r="CV1" s="21"/>
      <c r="CW1" s="21"/>
      <c r="CX1" s="21"/>
      <c r="CY1" s="21"/>
      <c r="CZ1" s="21"/>
      <c r="DA1" s="21"/>
      <c r="DB1" s="21"/>
      <c r="DC1" s="21"/>
      <c r="DD1" s="21"/>
      <c r="DE1" s="21"/>
      <c r="DF1" s="21"/>
      <c r="DG1" s="21"/>
      <c r="DH1" s="21"/>
      <c r="DI1" s="21"/>
      <c r="DJ1" s="21"/>
      <c r="DK1" s="21"/>
      <c r="DL1" s="21"/>
      <c r="DM1" s="21"/>
      <c r="DN1" s="21"/>
      <c r="DO1" s="21"/>
      <c r="DP1" s="21"/>
      <c r="DQ1" s="21"/>
      <c r="DR1" s="21"/>
      <c r="DS1" s="21"/>
      <c r="DT1" s="21"/>
      <c r="DU1" s="21"/>
      <c r="DV1" s="21"/>
      <c r="DW1" s="21"/>
      <c r="DX1" s="21"/>
      <c r="DY1" s="21"/>
      <c r="DZ1" s="21"/>
      <c r="EA1" s="21"/>
      <c r="EB1" s="21"/>
      <c r="EC1" s="21"/>
      <c r="ED1" s="21"/>
      <c r="EE1" s="21"/>
      <c r="EF1" s="21"/>
      <c r="EG1" s="21"/>
      <c r="EH1" s="21"/>
      <c r="EI1" s="21"/>
      <c r="EJ1" s="21"/>
      <c r="EK1" s="21"/>
      <c r="EL1" s="21"/>
      <c r="EM1" s="21"/>
      <c r="EN1" s="21"/>
      <c r="EO1" s="21"/>
      <c r="EP1" s="21"/>
      <c r="EQ1" s="21"/>
      <c r="ER1" s="21"/>
      <c r="ES1" s="21"/>
      <c r="ET1" s="21"/>
      <c r="EU1" s="21"/>
      <c r="EV1" s="21"/>
      <c r="EW1" s="21"/>
      <c r="EX1" s="21"/>
      <c r="EY1" s="21"/>
      <c r="EZ1" s="21"/>
      <c r="FA1" s="21"/>
      <c r="FB1" s="21"/>
      <c r="FC1" s="21"/>
      <c r="FD1" s="21"/>
      <c r="FE1" s="21"/>
      <c r="FF1" s="21"/>
      <c r="FG1" s="21"/>
      <c r="FH1" s="21"/>
      <c r="FI1" s="21"/>
      <c r="FJ1" s="21"/>
      <c r="FK1" s="21"/>
      <c r="FL1" s="21"/>
      <c r="FM1" s="21"/>
      <c r="FN1" s="21"/>
      <c r="FO1" s="21"/>
      <c r="FP1" s="21"/>
      <c r="FQ1" s="21"/>
      <c r="FR1" s="21"/>
      <c r="FS1" s="21"/>
      <c r="FT1" s="21"/>
      <c r="FU1" s="21"/>
      <c r="FV1" s="21"/>
      <c r="FW1" s="21"/>
      <c r="FX1" s="21"/>
      <c r="FY1" s="21"/>
      <c r="FZ1" s="21"/>
      <c r="GA1" s="21"/>
      <c r="GB1" s="21"/>
      <c r="GC1" s="21"/>
      <c r="GD1" s="21"/>
      <c r="GE1" s="21"/>
      <c r="GF1" s="21"/>
      <c r="GG1" s="21"/>
      <c r="GH1" s="21"/>
      <c r="GI1" s="21"/>
      <c r="GJ1" s="21"/>
      <c r="GK1" s="21"/>
      <c r="GL1" s="21"/>
      <c r="GM1" s="21"/>
      <c r="GN1" s="21"/>
      <c r="GO1" s="21"/>
      <c r="GP1" s="21"/>
      <c r="GQ1" s="21"/>
      <c r="GR1" s="21"/>
      <c r="GS1" s="21"/>
      <c r="GT1" s="21"/>
      <c r="GU1" s="21"/>
      <c r="GV1" s="21"/>
      <c r="GW1" s="21"/>
      <c r="GX1" s="21"/>
      <c r="GY1" s="21"/>
      <c r="GZ1" s="21"/>
      <c r="HA1" s="21"/>
      <c r="HB1" s="21"/>
      <c r="HC1" s="21"/>
      <c r="HD1" s="21"/>
      <c r="HE1" s="21"/>
      <c r="HF1" s="21"/>
      <c r="HG1" s="21"/>
      <c r="HH1" s="21"/>
      <c r="HI1" s="21"/>
      <c r="HJ1" s="21"/>
      <c r="HK1" s="21"/>
      <c r="HL1" s="21"/>
    </row>
    <row r="2" spans="1:220" s="320" customFormat="1" ht="122.25" customHeight="1">
      <c r="A2" s="319" t="s">
        <v>930</v>
      </c>
      <c r="B2" s="319" t="s">
        <v>1212</v>
      </c>
      <c r="C2" s="319" t="s">
        <v>59</v>
      </c>
      <c r="D2" s="319" t="s">
        <v>1122</v>
      </c>
      <c r="E2" s="319" t="s">
        <v>1131</v>
      </c>
      <c r="F2" s="319" t="s">
        <v>1123</v>
      </c>
      <c r="G2" s="319" t="s">
        <v>1132</v>
      </c>
      <c r="H2" s="319" t="s">
        <v>1124</v>
      </c>
      <c r="I2" s="319" t="s">
        <v>1133</v>
      </c>
      <c r="J2" s="319" t="s">
        <v>1125</v>
      </c>
      <c r="K2" s="319" t="s">
        <v>1134</v>
      </c>
      <c r="L2" s="319" t="s">
        <v>1126</v>
      </c>
      <c r="M2" s="319" t="s">
        <v>1135</v>
      </c>
      <c r="N2" s="319" t="s">
        <v>1127</v>
      </c>
      <c r="O2" s="319" t="s">
        <v>1136</v>
      </c>
      <c r="P2" s="319" t="s">
        <v>1128</v>
      </c>
      <c r="Q2" s="319" t="s">
        <v>1137</v>
      </c>
      <c r="R2" s="319" t="s">
        <v>1129</v>
      </c>
      <c r="S2" s="319" t="s">
        <v>1138</v>
      </c>
      <c r="T2" s="319" t="s">
        <v>1130</v>
      </c>
      <c r="U2" s="319" t="s">
        <v>1139</v>
      </c>
      <c r="V2" s="319" t="s">
        <v>881</v>
      </c>
      <c r="W2" s="319" t="s">
        <v>963</v>
      </c>
      <c r="X2" s="319" t="s">
        <v>882</v>
      </c>
      <c r="Y2" s="319" t="s">
        <v>964</v>
      </c>
      <c r="Z2" s="319" t="s">
        <v>883</v>
      </c>
      <c r="AA2" s="319" t="s">
        <v>965</v>
      </c>
      <c r="AB2" s="319" t="s">
        <v>884</v>
      </c>
      <c r="AC2" s="319" t="s">
        <v>966</v>
      </c>
      <c r="AD2" s="319" t="s">
        <v>885</v>
      </c>
      <c r="AE2" s="319" t="s">
        <v>967</v>
      </c>
      <c r="AF2" s="319" t="s">
        <v>886</v>
      </c>
      <c r="AG2" s="319" t="s">
        <v>968</v>
      </c>
      <c r="AH2" s="319" t="s">
        <v>887</v>
      </c>
      <c r="AI2" s="319" t="s">
        <v>969</v>
      </c>
      <c r="AJ2" s="319" t="s">
        <v>888</v>
      </c>
      <c r="AK2" s="319" t="s">
        <v>970</v>
      </c>
      <c r="AL2" s="319" t="s">
        <v>889</v>
      </c>
      <c r="AM2" s="319" t="s">
        <v>971</v>
      </c>
      <c r="AN2" s="319" t="s">
        <v>890</v>
      </c>
      <c r="AO2" s="319" t="s">
        <v>1232</v>
      </c>
      <c r="AP2" s="319" t="s">
        <v>891</v>
      </c>
      <c r="AQ2" s="319" t="s">
        <v>972</v>
      </c>
      <c r="AR2" s="319" t="s">
        <v>892</v>
      </c>
      <c r="AS2" s="319" t="s">
        <v>973</v>
      </c>
      <c r="AT2" s="319" t="s">
        <v>893</v>
      </c>
      <c r="AU2" s="319" t="s">
        <v>974</v>
      </c>
      <c r="AV2" s="319" t="s">
        <v>894</v>
      </c>
      <c r="AW2" s="319" t="s">
        <v>975</v>
      </c>
      <c r="AX2" s="319" t="s">
        <v>895</v>
      </c>
      <c r="AY2" s="319" t="s">
        <v>976</v>
      </c>
      <c r="AZ2" s="319" t="s">
        <v>896</v>
      </c>
      <c r="BA2" s="319" t="s">
        <v>977</v>
      </c>
      <c r="BB2" s="319" t="s">
        <v>897</v>
      </c>
      <c r="BC2" s="319" t="s">
        <v>978</v>
      </c>
      <c r="BD2" s="319" t="s">
        <v>898</v>
      </c>
      <c r="BE2" s="319" t="s">
        <v>979</v>
      </c>
      <c r="BF2" s="319" t="s">
        <v>899</v>
      </c>
      <c r="BG2" s="319" t="s">
        <v>980</v>
      </c>
      <c r="BH2" s="319" t="s">
        <v>29</v>
      </c>
      <c r="BI2" s="319" t="s">
        <v>981</v>
      </c>
      <c r="BJ2" s="319" t="s">
        <v>30</v>
      </c>
      <c r="BK2" s="319" t="s">
        <v>982</v>
      </c>
      <c r="BL2" s="319" t="s">
        <v>31</v>
      </c>
      <c r="BM2" s="319" t="s">
        <v>987</v>
      </c>
      <c r="BN2" s="319" t="s">
        <v>32</v>
      </c>
      <c r="BO2" s="319" t="s">
        <v>983</v>
      </c>
      <c r="BP2" s="319" t="s">
        <v>33</v>
      </c>
      <c r="BQ2" s="319" t="s">
        <v>984</v>
      </c>
      <c r="BR2" s="319" t="s">
        <v>34</v>
      </c>
      <c r="BS2" s="319" t="s">
        <v>985</v>
      </c>
      <c r="BT2" s="319" t="s">
        <v>35</v>
      </c>
      <c r="BU2" s="319" t="s">
        <v>986</v>
      </c>
      <c r="BV2" s="319" t="s">
        <v>36</v>
      </c>
      <c r="BW2" s="319" t="s">
        <v>988</v>
      </c>
      <c r="BX2" s="319" t="s">
        <v>37</v>
      </c>
      <c r="BY2" s="319" t="s">
        <v>989</v>
      </c>
      <c r="BZ2" s="319" t="s">
        <v>38</v>
      </c>
      <c r="CA2" s="319" t="s">
        <v>990</v>
      </c>
      <c r="CB2" s="319" t="s">
        <v>39</v>
      </c>
      <c r="CC2" s="319" t="s">
        <v>991</v>
      </c>
      <c r="CD2" s="319" t="s">
        <v>40</v>
      </c>
      <c r="CE2" s="319" t="s">
        <v>992</v>
      </c>
      <c r="CF2" s="319" t="s">
        <v>41</v>
      </c>
      <c r="CG2" s="319" t="s">
        <v>993</v>
      </c>
      <c r="CH2" s="319" t="s">
        <v>42</v>
      </c>
      <c r="CI2" s="319" t="s">
        <v>994</v>
      </c>
      <c r="CJ2" s="319" t="s">
        <v>43</v>
      </c>
      <c r="CK2" s="319" t="s">
        <v>995</v>
      </c>
      <c r="CL2" s="319" t="s">
        <v>44</v>
      </c>
      <c r="CM2" s="319" t="s">
        <v>996</v>
      </c>
      <c r="CN2" s="319" t="s">
        <v>45</v>
      </c>
      <c r="CO2" s="319" t="s">
        <v>997</v>
      </c>
      <c r="CP2" s="319" t="s">
        <v>46</v>
      </c>
      <c r="CQ2" s="319" t="s">
        <v>998</v>
      </c>
      <c r="CR2" s="319" t="s">
        <v>47</v>
      </c>
      <c r="CS2" s="319" t="s">
        <v>999</v>
      </c>
      <c r="CT2" s="319" t="s">
        <v>48</v>
      </c>
      <c r="CU2" s="319" t="s">
        <v>1000</v>
      </c>
      <c r="CV2" s="319" t="s">
        <v>49</v>
      </c>
      <c r="CW2" s="319" t="s">
        <v>1001</v>
      </c>
      <c r="CX2" s="319" t="s">
        <v>900</v>
      </c>
      <c r="CY2" s="319" t="s">
        <v>1003</v>
      </c>
      <c r="CZ2" s="319" t="s">
        <v>901</v>
      </c>
      <c r="DA2" s="319" t="s">
        <v>1002</v>
      </c>
      <c r="DB2" s="319" t="s">
        <v>902</v>
      </c>
      <c r="DC2" s="319" t="s">
        <v>1004</v>
      </c>
      <c r="DD2" s="319" t="s">
        <v>1233</v>
      </c>
      <c r="DE2" s="319" t="s">
        <v>1148</v>
      </c>
      <c r="DF2" s="319" t="s">
        <v>1234</v>
      </c>
      <c r="DG2" s="319" t="s">
        <v>1149</v>
      </c>
      <c r="DH2" s="319" t="s">
        <v>1235</v>
      </c>
      <c r="DI2" s="319" t="s">
        <v>1150</v>
      </c>
      <c r="DJ2" s="319" t="s">
        <v>1236</v>
      </c>
      <c r="DK2" s="319" t="s">
        <v>1151</v>
      </c>
      <c r="DL2" s="319" t="s">
        <v>1237</v>
      </c>
      <c r="DM2" s="319" t="s">
        <v>1152</v>
      </c>
      <c r="DN2" s="319" t="s">
        <v>1238</v>
      </c>
      <c r="DO2" s="319" t="s">
        <v>1153</v>
      </c>
      <c r="DP2" s="319" t="s">
        <v>1239</v>
      </c>
      <c r="DQ2" s="319" t="s">
        <v>1154</v>
      </c>
      <c r="DR2" s="319" t="s">
        <v>1240</v>
      </c>
      <c r="DS2" s="319" t="s">
        <v>1155</v>
      </c>
      <c r="DT2" s="319" t="s">
        <v>51</v>
      </c>
      <c r="DU2" s="319" t="s">
        <v>50</v>
      </c>
      <c r="DV2" s="319" t="s">
        <v>948</v>
      </c>
      <c r="DW2" s="319" t="s">
        <v>949</v>
      </c>
      <c r="DX2" s="319" t="s">
        <v>950</v>
      </c>
      <c r="DY2" s="319" t="s">
        <v>951</v>
      </c>
      <c r="DZ2" s="319" t="s">
        <v>952</v>
      </c>
      <c r="EA2" s="319" t="s">
        <v>953</v>
      </c>
      <c r="EB2" s="319" t="s">
        <v>954</v>
      </c>
      <c r="EC2" s="319" t="s">
        <v>955</v>
      </c>
      <c r="ED2" s="319" t="s">
        <v>956</v>
      </c>
      <c r="EE2" s="319" t="s">
        <v>957</v>
      </c>
      <c r="EF2" s="319" t="s">
        <v>958</v>
      </c>
      <c r="EG2" s="319" t="s">
        <v>959</v>
      </c>
      <c r="EH2" s="319" t="s">
        <v>960</v>
      </c>
      <c r="EI2" s="319" t="s">
        <v>961</v>
      </c>
      <c r="EJ2" s="319" t="s">
        <v>962</v>
      </c>
      <c r="EK2" s="319" t="s">
        <v>940</v>
      </c>
      <c r="EL2" s="319" t="s">
        <v>941</v>
      </c>
      <c r="EM2" s="319" t="s">
        <v>942</v>
      </c>
      <c r="EN2" s="319" t="s">
        <v>943</v>
      </c>
      <c r="EO2" s="319" t="s">
        <v>1006</v>
      </c>
      <c r="EP2" s="319" t="s">
        <v>1007</v>
      </c>
      <c r="EQ2" s="319" t="s">
        <v>1008</v>
      </c>
      <c r="ER2" s="319" t="s">
        <v>1009</v>
      </c>
      <c r="ES2" s="319" t="s">
        <v>1010</v>
      </c>
      <c r="ET2" s="319" t="s">
        <v>1011</v>
      </c>
      <c r="EU2" s="319" t="s">
        <v>1012</v>
      </c>
      <c r="EV2" s="319" t="s">
        <v>1013</v>
      </c>
      <c r="EW2" s="319" t="s">
        <v>1017</v>
      </c>
      <c r="EX2" s="319" t="s">
        <v>1014</v>
      </c>
      <c r="EY2" s="319" t="s">
        <v>1015</v>
      </c>
      <c r="EZ2" s="319" t="s">
        <v>1016</v>
      </c>
      <c r="FA2" s="319" t="s">
        <v>1018</v>
      </c>
      <c r="FB2" s="319" t="s">
        <v>1019</v>
      </c>
      <c r="FC2" s="319" t="s">
        <v>1020</v>
      </c>
      <c r="FD2" s="319" t="s">
        <v>1021</v>
      </c>
      <c r="FE2" s="319" t="s">
        <v>1022</v>
      </c>
      <c r="FF2" s="319" t="s">
        <v>1023</v>
      </c>
      <c r="FG2" s="319" t="s">
        <v>1024</v>
      </c>
      <c r="FH2" s="319" t="s">
        <v>1025</v>
      </c>
      <c r="FI2" s="319" t="s">
        <v>1026</v>
      </c>
      <c r="FJ2" s="319" t="s">
        <v>1027</v>
      </c>
      <c r="FK2" s="319" t="s">
        <v>1028</v>
      </c>
      <c r="FL2" s="319" t="s">
        <v>1029</v>
      </c>
      <c r="FM2" s="319" t="s">
        <v>1030</v>
      </c>
      <c r="FN2" s="319" t="s">
        <v>1031</v>
      </c>
      <c r="FO2" s="319" t="s">
        <v>1032</v>
      </c>
      <c r="FP2" s="319" t="s">
        <v>1033</v>
      </c>
      <c r="FQ2" s="319" t="s">
        <v>1034</v>
      </c>
      <c r="FR2" s="319" t="s">
        <v>1036</v>
      </c>
      <c r="FS2" s="319" t="s">
        <v>1037</v>
      </c>
      <c r="FT2" s="319" t="s">
        <v>1038</v>
      </c>
      <c r="FU2" s="319" t="s">
        <v>1039</v>
      </c>
      <c r="FV2" s="319" t="s">
        <v>1035</v>
      </c>
      <c r="FW2" s="319" t="s">
        <v>1040</v>
      </c>
      <c r="FX2" s="319" t="s">
        <v>1041</v>
      </c>
      <c r="FY2" s="319" t="s">
        <v>944</v>
      </c>
      <c r="FZ2" s="319" t="s">
        <v>945</v>
      </c>
      <c r="GA2" s="319" t="s">
        <v>946</v>
      </c>
      <c r="GB2" s="319" t="s">
        <v>947</v>
      </c>
      <c r="GC2" s="319" t="s">
        <v>1042</v>
      </c>
      <c r="GD2" s="319" t="s">
        <v>1043</v>
      </c>
      <c r="GE2" s="319" t="s">
        <v>1044</v>
      </c>
      <c r="GF2" s="319" t="s">
        <v>1045</v>
      </c>
      <c r="GG2" s="319" t="s">
        <v>1046</v>
      </c>
      <c r="GH2" s="319" t="s">
        <v>1047</v>
      </c>
      <c r="GI2" s="319" t="s">
        <v>1048</v>
      </c>
      <c r="GJ2" s="319" t="s">
        <v>1049</v>
      </c>
      <c r="GK2" s="319" t="s">
        <v>1050</v>
      </c>
      <c r="GL2" s="319" t="s">
        <v>1051</v>
      </c>
      <c r="GM2" s="319" t="s">
        <v>1052</v>
      </c>
      <c r="GN2" s="319" t="s">
        <v>1053</v>
      </c>
      <c r="GO2" s="319" t="s">
        <v>1054</v>
      </c>
      <c r="GP2" s="319" t="s">
        <v>1055</v>
      </c>
      <c r="GQ2" s="319" t="s">
        <v>1056</v>
      </c>
      <c r="GR2" s="319" t="s">
        <v>1057</v>
      </c>
      <c r="GS2" s="319" t="s">
        <v>1058</v>
      </c>
      <c r="GT2" s="319" t="s">
        <v>1059</v>
      </c>
      <c r="GU2" s="319" t="s">
        <v>1060</v>
      </c>
      <c r="GV2" s="319" t="s">
        <v>1061</v>
      </c>
      <c r="GW2" s="319" t="s">
        <v>1062</v>
      </c>
      <c r="GX2" s="319" t="s">
        <v>1063</v>
      </c>
      <c r="GY2" s="319" t="s">
        <v>1064</v>
      </c>
      <c r="GZ2" s="319" t="s">
        <v>1065</v>
      </c>
      <c r="HA2" s="319" t="s">
        <v>1066</v>
      </c>
      <c r="HB2" s="319" t="s">
        <v>1067</v>
      </c>
      <c r="HC2" s="319" t="s">
        <v>1068</v>
      </c>
      <c r="HD2" s="319" t="s">
        <v>1069</v>
      </c>
      <c r="HE2" s="319" t="s">
        <v>1070</v>
      </c>
      <c r="HF2" s="319" t="s">
        <v>1071</v>
      </c>
      <c r="HG2" s="319" t="s">
        <v>1072</v>
      </c>
      <c r="HH2" s="319" t="s">
        <v>1073</v>
      </c>
      <c r="HI2" s="319" t="s">
        <v>1074</v>
      </c>
      <c r="HJ2" s="319" t="s">
        <v>1075</v>
      </c>
      <c r="HK2" s="319" t="s">
        <v>1076</v>
      </c>
      <c r="HL2" s="319" t="s">
        <v>1077</v>
      </c>
    </row>
    <row r="3" spans="1:220" s="380" customFormat="1">
      <c r="A3" s="380" t="s">
        <v>272</v>
      </c>
      <c r="C3" s="380" t="s">
        <v>95</v>
      </c>
    </row>
    <row r="4" spans="1:220" s="380" customFormat="1">
      <c r="A4" s="380" t="s">
        <v>274</v>
      </c>
      <c r="B4" s="380" t="s">
        <v>75</v>
      </c>
    </row>
    <row r="5" spans="1:220" s="380" customFormat="1">
      <c r="A5" s="380" t="s">
        <v>677</v>
      </c>
      <c r="B5" s="380" t="s">
        <v>75</v>
      </c>
      <c r="J5" s="381"/>
      <c r="K5" s="381"/>
    </row>
    <row r="6" spans="1:220" s="380" customFormat="1">
      <c r="A6" s="380" t="s">
        <v>337</v>
      </c>
      <c r="B6" s="380" t="s">
        <v>83</v>
      </c>
      <c r="C6" s="380" t="s">
        <v>96</v>
      </c>
      <c r="D6" s="380" t="s">
        <v>1211</v>
      </c>
    </row>
    <row r="7" spans="1:220" s="380" customFormat="1">
      <c r="A7" s="380" t="s">
        <v>339</v>
      </c>
      <c r="B7" s="380" t="s">
        <v>83</v>
      </c>
    </row>
    <row r="8" spans="1:220" s="380" customFormat="1">
      <c r="A8" s="380" t="s">
        <v>678</v>
      </c>
      <c r="B8" s="380" t="s">
        <v>83</v>
      </c>
    </row>
    <row r="9" spans="1:220" s="380" customFormat="1">
      <c r="A9" s="380" t="s">
        <v>835</v>
      </c>
    </row>
    <row r="10" spans="1:220" s="380" customFormat="1">
      <c r="A10" s="380" t="s">
        <v>834</v>
      </c>
      <c r="B10" s="380" t="s">
        <v>690</v>
      </c>
      <c r="D10" s="380" t="s">
        <v>1147</v>
      </c>
    </row>
    <row r="11" spans="1:220" s="380" customFormat="1">
      <c r="A11" s="380" t="s">
        <v>308</v>
      </c>
      <c r="B11" s="380" t="s">
        <v>81</v>
      </c>
      <c r="C11" s="380" t="s">
        <v>24</v>
      </c>
    </row>
    <row r="12" spans="1:220" s="380" customFormat="1">
      <c r="A12" s="380" t="s">
        <v>838</v>
      </c>
      <c r="B12" s="380" t="s">
        <v>75</v>
      </c>
    </row>
    <row r="13" spans="1:220" s="380" customFormat="1">
      <c r="A13" s="380" t="s">
        <v>1159</v>
      </c>
      <c r="B13" s="380" t="s">
        <v>860</v>
      </c>
      <c r="C13" s="380" t="s">
        <v>94</v>
      </c>
    </row>
    <row r="14" spans="1:220" s="380" customFormat="1">
      <c r="A14" s="380" t="s">
        <v>391</v>
      </c>
      <c r="B14" s="380" t="s">
        <v>83</v>
      </c>
      <c r="C14" s="380" t="s">
        <v>95</v>
      </c>
      <c r="D14" s="382" t="s">
        <v>1147</v>
      </c>
    </row>
    <row r="15" spans="1:220" s="380" customFormat="1">
      <c r="A15" s="380" t="s">
        <v>601</v>
      </c>
      <c r="B15" s="380" t="s">
        <v>83</v>
      </c>
    </row>
    <row r="16" spans="1:220" s="380" customFormat="1">
      <c r="A16" s="380" t="s">
        <v>679</v>
      </c>
      <c r="B16" s="380" t="s">
        <v>83</v>
      </c>
    </row>
    <row r="17" spans="1:23" s="380" customFormat="1">
      <c r="A17" s="380" t="s">
        <v>430</v>
      </c>
      <c r="B17" s="380" t="s">
        <v>81</v>
      </c>
      <c r="C17" s="380" t="s">
        <v>95</v>
      </c>
    </row>
    <row r="18" spans="1:23" s="380" customFormat="1">
      <c r="A18" s="380" t="s">
        <v>432</v>
      </c>
      <c r="B18" s="380" t="s">
        <v>80</v>
      </c>
      <c r="C18" s="380" t="s">
        <v>95</v>
      </c>
      <c r="J18" s="380" t="s">
        <v>1147</v>
      </c>
    </row>
    <row r="19" spans="1:23" s="380" customFormat="1">
      <c r="A19" s="380" t="s">
        <v>434</v>
      </c>
      <c r="B19" s="380" t="s">
        <v>86</v>
      </c>
      <c r="C19" s="380" t="s">
        <v>95</v>
      </c>
    </row>
    <row r="20" spans="1:23" s="380" customFormat="1">
      <c r="A20" s="380" t="s">
        <v>172</v>
      </c>
      <c r="B20" s="380" t="s">
        <v>75</v>
      </c>
    </row>
    <row r="21" spans="1:23" s="380" customFormat="1">
      <c r="A21" s="380" t="s">
        <v>1163</v>
      </c>
    </row>
    <row r="22" spans="1:23" s="380" customFormat="1">
      <c r="A22" s="380" t="s">
        <v>174</v>
      </c>
      <c r="B22" s="380" t="s">
        <v>75</v>
      </c>
    </row>
    <row r="23" spans="1:23" s="380" customFormat="1">
      <c r="A23" s="380" t="s">
        <v>436</v>
      </c>
      <c r="B23" s="380" t="s">
        <v>10</v>
      </c>
      <c r="W23" s="380" t="s">
        <v>63</v>
      </c>
    </row>
    <row r="24" spans="1:23" s="380" customFormat="1">
      <c r="A24" s="380" t="s">
        <v>869</v>
      </c>
    </row>
    <row r="25" spans="1:23" s="380" customFormat="1">
      <c r="A25" s="380" t="s">
        <v>863</v>
      </c>
      <c r="B25" s="380" t="s">
        <v>860</v>
      </c>
      <c r="C25" s="380" t="s">
        <v>94</v>
      </c>
    </row>
    <row r="26" spans="1:23" s="380" customFormat="1">
      <c r="A26" s="380" t="s">
        <v>1083</v>
      </c>
      <c r="C26" s="380" t="s">
        <v>95</v>
      </c>
    </row>
    <row r="27" spans="1:23" s="380" customFormat="1">
      <c r="A27" s="380" t="s">
        <v>438</v>
      </c>
      <c r="B27" s="380" t="s">
        <v>75</v>
      </c>
      <c r="C27" s="380" t="s">
        <v>96</v>
      </c>
    </row>
    <row r="28" spans="1:23" s="380" customFormat="1">
      <c r="A28" s="380" t="s">
        <v>440</v>
      </c>
      <c r="B28" s="380" t="s">
        <v>81</v>
      </c>
      <c r="C28" s="380" t="s">
        <v>95</v>
      </c>
    </row>
    <row r="29" spans="1:23" s="380" customFormat="1">
      <c r="A29" s="380" t="s">
        <v>199</v>
      </c>
      <c r="B29" s="380" t="s">
        <v>82</v>
      </c>
      <c r="C29" s="380" t="s">
        <v>95</v>
      </c>
    </row>
    <row r="30" spans="1:23" s="380" customFormat="1">
      <c r="A30" s="380" t="s">
        <v>311</v>
      </c>
      <c r="B30" s="380" t="s">
        <v>80</v>
      </c>
      <c r="C30" s="380" t="s">
        <v>95</v>
      </c>
    </row>
    <row r="31" spans="1:23" s="380" customFormat="1">
      <c r="A31" s="380" t="s">
        <v>194</v>
      </c>
      <c r="B31" s="380" t="s">
        <v>84</v>
      </c>
      <c r="C31" s="380" t="s">
        <v>95</v>
      </c>
      <c r="N31" s="380" t="s">
        <v>1147</v>
      </c>
    </row>
    <row r="32" spans="1:23" s="380" customFormat="1">
      <c r="A32" s="380" t="s">
        <v>1213</v>
      </c>
      <c r="B32" s="380" t="s">
        <v>84</v>
      </c>
      <c r="C32" s="380" t="s">
        <v>95</v>
      </c>
    </row>
    <row r="33" spans="1:19" s="380" customFormat="1">
      <c r="A33" s="380" t="s">
        <v>442</v>
      </c>
      <c r="B33" s="380" t="s">
        <v>78</v>
      </c>
      <c r="C33" s="380" t="s">
        <v>95</v>
      </c>
    </row>
    <row r="34" spans="1:19" s="380" customFormat="1">
      <c r="A34" s="380" t="s">
        <v>444</v>
      </c>
      <c r="B34" s="380" t="s">
        <v>86</v>
      </c>
      <c r="C34" s="380" t="s">
        <v>95</v>
      </c>
    </row>
    <row r="35" spans="1:19" s="380" customFormat="1">
      <c r="A35" s="380" t="s">
        <v>446</v>
      </c>
      <c r="B35" s="380" t="s">
        <v>86</v>
      </c>
      <c r="C35" s="380" t="s">
        <v>96</v>
      </c>
    </row>
    <row r="36" spans="1:19" s="380" customFormat="1">
      <c r="A36" s="380" t="s">
        <v>232</v>
      </c>
      <c r="B36" s="380" t="s">
        <v>690</v>
      </c>
      <c r="C36" s="380" t="s">
        <v>95</v>
      </c>
    </row>
    <row r="37" spans="1:19" s="380" customFormat="1">
      <c r="A37" s="380" t="s">
        <v>234</v>
      </c>
      <c r="B37" s="380" t="s">
        <v>79</v>
      </c>
      <c r="C37" s="380" t="s">
        <v>95</v>
      </c>
    </row>
    <row r="38" spans="1:19" s="380" customFormat="1">
      <c r="A38" s="380" t="s">
        <v>236</v>
      </c>
      <c r="B38" s="380" t="s">
        <v>75</v>
      </c>
    </row>
    <row r="39" spans="1:19" s="380" customFormat="1">
      <c r="A39" s="380" t="s">
        <v>680</v>
      </c>
      <c r="B39" s="380" t="s">
        <v>75</v>
      </c>
      <c r="R39" s="380" t="s">
        <v>1157</v>
      </c>
      <c r="S39" s="380" t="s">
        <v>61</v>
      </c>
    </row>
    <row r="40" spans="1:19" s="380" customFormat="1">
      <c r="A40" s="380" t="s">
        <v>237</v>
      </c>
      <c r="B40" s="380" t="s">
        <v>75</v>
      </c>
      <c r="C40" s="380" t="s">
        <v>95</v>
      </c>
    </row>
    <row r="41" spans="1:19" s="380" customFormat="1">
      <c r="A41" s="380" t="s">
        <v>239</v>
      </c>
      <c r="B41" s="380" t="s">
        <v>75</v>
      </c>
      <c r="C41" s="380" t="s">
        <v>95</v>
      </c>
    </row>
    <row r="42" spans="1:19" s="380" customFormat="1">
      <c r="A42" s="380" t="s">
        <v>861</v>
      </c>
      <c r="B42" s="380" t="s">
        <v>690</v>
      </c>
      <c r="C42" s="380" t="s">
        <v>95</v>
      </c>
    </row>
    <row r="43" spans="1:19" s="380" customFormat="1">
      <c r="A43" s="380" t="s">
        <v>313</v>
      </c>
      <c r="B43" s="380" t="s">
        <v>79</v>
      </c>
      <c r="C43" s="380" t="s">
        <v>95</v>
      </c>
    </row>
    <row r="44" spans="1:19" s="380" customFormat="1">
      <c r="A44" s="380" t="s">
        <v>316</v>
      </c>
      <c r="B44" s="380" t="s">
        <v>79</v>
      </c>
    </row>
    <row r="45" spans="1:19" s="380" customFormat="1">
      <c r="A45" s="380" t="s">
        <v>691</v>
      </c>
      <c r="B45" s="380" t="s">
        <v>79</v>
      </c>
    </row>
    <row r="46" spans="1:19" s="380" customFormat="1">
      <c r="A46" s="380" t="s">
        <v>784</v>
      </c>
      <c r="B46" s="380" t="s">
        <v>79</v>
      </c>
      <c r="C46" s="380" t="s">
        <v>95</v>
      </c>
    </row>
    <row r="47" spans="1:19" s="380" customFormat="1">
      <c r="A47" s="380" t="s">
        <v>448</v>
      </c>
      <c r="B47" s="380" t="s">
        <v>690</v>
      </c>
      <c r="C47" s="380" t="s">
        <v>96</v>
      </c>
    </row>
    <row r="48" spans="1:19" s="380" customFormat="1">
      <c r="A48" s="380" t="s">
        <v>317</v>
      </c>
      <c r="B48" s="380" t="s">
        <v>690</v>
      </c>
    </row>
    <row r="49" spans="1:3" s="380" customFormat="1">
      <c r="A49" s="380" t="s">
        <v>1107</v>
      </c>
      <c r="C49" s="380" t="s">
        <v>95</v>
      </c>
    </row>
    <row r="50" spans="1:3" s="380" customFormat="1">
      <c r="A50" s="380" t="s">
        <v>450</v>
      </c>
      <c r="B50" s="380" t="s">
        <v>80</v>
      </c>
      <c r="C50" s="380" t="s">
        <v>95</v>
      </c>
    </row>
    <row r="51" spans="1:3" s="380" customFormat="1">
      <c r="A51" s="380" t="s">
        <v>319</v>
      </c>
      <c r="B51" s="380" t="s">
        <v>78</v>
      </c>
      <c r="C51" s="380" t="s">
        <v>96</v>
      </c>
    </row>
    <row r="52" spans="1:3" s="380" customFormat="1">
      <c r="A52" s="380" t="s">
        <v>452</v>
      </c>
      <c r="B52" s="380" t="s">
        <v>81</v>
      </c>
      <c r="C52" s="380" t="s">
        <v>95</v>
      </c>
    </row>
    <row r="53" spans="1:3" s="380" customFormat="1">
      <c r="A53" s="380" t="s">
        <v>410</v>
      </c>
      <c r="B53" s="380" t="s">
        <v>862</v>
      </c>
      <c r="C53" s="380" t="s">
        <v>95</v>
      </c>
    </row>
    <row r="54" spans="1:3" s="380" customFormat="1">
      <c r="A54" s="380" t="s">
        <v>241</v>
      </c>
      <c r="B54" s="380" t="s">
        <v>690</v>
      </c>
      <c r="C54" s="380" t="s">
        <v>95</v>
      </c>
    </row>
    <row r="55" spans="1:3" s="380" customFormat="1">
      <c r="A55" s="380" t="s">
        <v>855</v>
      </c>
      <c r="B55" s="380" t="s">
        <v>13</v>
      </c>
      <c r="C55" s="380" t="s">
        <v>95</v>
      </c>
    </row>
    <row r="56" spans="1:3" s="380" customFormat="1">
      <c r="A56" s="380" t="s">
        <v>276</v>
      </c>
      <c r="B56" s="380" t="s">
        <v>862</v>
      </c>
      <c r="C56" s="380" t="s">
        <v>95</v>
      </c>
    </row>
    <row r="57" spans="1:3" s="380" customFormat="1">
      <c r="A57" s="380" t="s">
        <v>783</v>
      </c>
      <c r="B57" s="380" t="s">
        <v>690</v>
      </c>
      <c r="C57" s="380" t="s">
        <v>94</v>
      </c>
    </row>
    <row r="58" spans="1:3" s="380" customFormat="1">
      <c r="A58" s="380" t="s">
        <v>602</v>
      </c>
      <c r="B58" s="380" t="s">
        <v>75</v>
      </c>
      <c r="C58" s="380" t="s">
        <v>95</v>
      </c>
    </row>
    <row r="59" spans="1:3" s="380" customFormat="1">
      <c r="A59" s="380" t="s">
        <v>279</v>
      </c>
      <c r="B59" s="380" t="s">
        <v>86</v>
      </c>
      <c r="C59" s="380" t="s">
        <v>95</v>
      </c>
    </row>
    <row r="60" spans="1:3" s="380" customFormat="1">
      <c r="A60" s="380" t="s">
        <v>1162</v>
      </c>
    </row>
    <row r="61" spans="1:3" s="380" customFormat="1">
      <c r="A61" s="380" t="s">
        <v>456</v>
      </c>
      <c r="B61" s="380" t="s">
        <v>80</v>
      </c>
      <c r="C61" s="380" t="s">
        <v>95</v>
      </c>
    </row>
    <row r="62" spans="1:3" s="380" customFormat="1">
      <c r="A62" s="380" t="s">
        <v>340</v>
      </c>
      <c r="B62" s="380" t="s">
        <v>81</v>
      </c>
      <c r="C62" s="380" t="s">
        <v>95</v>
      </c>
    </row>
    <row r="63" spans="1:3" s="380" customFormat="1">
      <c r="A63" s="380" t="s">
        <v>424</v>
      </c>
      <c r="B63" s="380" t="s">
        <v>81</v>
      </c>
    </row>
    <row r="64" spans="1:3" s="380" customFormat="1">
      <c r="A64" s="380" t="s">
        <v>425</v>
      </c>
      <c r="B64" s="380" t="s">
        <v>81</v>
      </c>
    </row>
    <row r="65" spans="1:3" s="380" customFormat="1">
      <c r="A65" s="380" t="s">
        <v>459</v>
      </c>
      <c r="B65" s="380" t="s">
        <v>86</v>
      </c>
      <c r="C65" s="380" t="s">
        <v>95</v>
      </c>
    </row>
    <row r="66" spans="1:3" s="380" customFormat="1">
      <c r="A66" s="380" t="s">
        <v>845</v>
      </c>
      <c r="B66" s="380" t="s">
        <v>10</v>
      </c>
      <c r="C66" s="380" t="s">
        <v>95</v>
      </c>
    </row>
    <row r="67" spans="1:3" s="380" customFormat="1">
      <c r="A67" s="380" t="s">
        <v>282</v>
      </c>
      <c r="B67" s="380" t="s">
        <v>860</v>
      </c>
      <c r="C67" s="380" t="s">
        <v>95</v>
      </c>
    </row>
    <row r="68" spans="1:3" s="380" customFormat="1">
      <c r="A68" s="380" t="s">
        <v>461</v>
      </c>
      <c r="B68" s="380" t="s">
        <v>86</v>
      </c>
      <c r="C68" s="380" t="s">
        <v>95</v>
      </c>
    </row>
    <row r="69" spans="1:3" s="380" customFormat="1">
      <c r="A69" s="380" t="s">
        <v>463</v>
      </c>
      <c r="B69" s="380" t="s">
        <v>75</v>
      </c>
      <c r="C69" s="380" t="s">
        <v>94</v>
      </c>
    </row>
    <row r="70" spans="1:3" s="380" customFormat="1">
      <c r="A70" s="380" t="s">
        <v>465</v>
      </c>
      <c r="B70" s="380" t="s">
        <v>81</v>
      </c>
      <c r="C70" s="380" t="s">
        <v>95</v>
      </c>
    </row>
    <row r="71" spans="1:3" s="380" customFormat="1">
      <c r="A71" s="380" t="s">
        <v>1158</v>
      </c>
    </row>
    <row r="72" spans="1:3" s="380" customFormat="1">
      <c r="A72" s="380" t="s">
        <v>285</v>
      </c>
      <c r="B72" s="380" t="s">
        <v>78</v>
      </c>
      <c r="C72" s="380" t="s">
        <v>95</v>
      </c>
    </row>
    <row r="73" spans="1:3" s="380" customFormat="1">
      <c r="A73" s="380" t="s">
        <v>843</v>
      </c>
      <c r="B73" s="380" t="s">
        <v>618</v>
      </c>
      <c r="C73" s="380" t="s">
        <v>94</v>
      </c>
    </row>
    <row r="74" spans="1:3" s="380" customFormat="1">
      <c r="A74" s="380" t="s">
        <v>467</v>
      </c>
      <c r="B74" s="380" t="s">
        <v>690</v>
      </c>
    </row>
    <row r="75" spans="1:3" s="380" customFormat="1">
      <c r="A75" s="380" t="s">
        <v>412</v>
      </c>
      <c r="B75" s="380" t="s">
        <v>78</v>
      </c>
      <c r="C75" s="380" t="s">
        <v>95</v>
      </c>
    </row>
    <row r="76" spans="1:3" s="380" customFormat="1">
      <c r="A76" s="380" t="s">
        <v>124</v>
      </c>
      <c r="B76" s="380" t="s">
        <v>78</v>
      </c>
    </row>
    <row r="77" spans="1:3" s="380" customFormat="1">
      <c r="A77" s="380" t="s">
        <v>127</v>
      </c>
      <c r="B77" s="380" t="s">
        <v>690</v>
      </c>
    </row>
    <row r="78" spans="1:3" s="380" customFormat="1">
      <c r="A78" s="380" t="s">
        <v>201</v>
      </c>
      <c r="B78" s="380" t="s">
        <v>690</v>
      </c>
    </row>
    <row r="79" spans="1:3" s="380" customFormat="1">
      <c r="A79" s="380" t="s">
        <v>130</v>
      </c>
      <c r="B79" s="380" t="s">
        <v>690</v>
      </c>
    </row>
    <row r="80" spans="1:3" s="380" customFormat="1">
      <c r="A80" s="380" t="s">
        <v>203</v>
      </c>
      <c r="B80" s="380" t="s">
        <v>690</v>
      </c>
    </row>
    <row r="81" spans="1:3" s="380" customFormat="1">
      <c r="A81" s="380" t="s">
        <v>133</v>
      </c>
      <c r="B81" s="380" t="s">
        <v>690</v>
      </c>
    </row>
    <row r="82" spans="1:3" s="380" customFormat="1">
      <c r="A82" s="380" t="s">
        <v>205</v>
      </c>
      <c r="B82" s="380" t="s">
        <v>690</v>
      </c>
    </row>
    <row r="83" spans="1:3" s="380" customFormat="1">
      <c r="A83" s="380" t="s">
        <v>178</v>
      </c>
      <c r="B83" s="380" t="s">
        <v>10</v>
      </c>
      <c r="C83" s="380" t="s">
        <v>95</v>
      </c>
    </row>
    <row r="84" spans="1:3" s="380" customFormat="1">
      <c r="A84" s="380" t="s">
        <v>136</v>
      </c>
      <c r="B84" s="380" t="s">
        <v>690</v>
      </c>
    </row>
    <row r="85" spans="1:3" s="380" customFormat="1">
      <c r="A85" s="380" t="s">
        <v>180</v>
      </c>
      <c r="B85" s="380" t="s">
        <v>690</v>
      </c>
    </row>
    <row r="86" spans="1:3" s="380" customFormat="1">
      <c r="A86" s="380" t="s">
        <v>393</v>
      </c>
      <c r="B86" s="380" t="s">
        <v>78</v>
      </c>
      <c r="C86" s="380" t="s">
        <v>95</v>
      </c>
    </row>
    <row r="87" spans="1:3" s="380" customFormat="1">
      <c r="A87" s="380" t="s">
        <v>396</v>
      </c>
      <c r="B87" s="380" t="s">
        <v>78</v>
      </c>
    </row>
    <row r="88" spans="1:3" s="380" customFormat="1">
      <c r="A88" s="380" t="s">
        <v>397</v>
      </c>
      <c r="B88" s="380" t="s">
        <v>78</v>
      </c>
    </row>
    <row r="89" spans="1:3" s="380" customFormat="1">
      <c r="A89" s="380" t="s">
        <v>785</v>
      </c>
      <c r="B89" s="380" t="s">
        <v>690</v>
      </c>
      <c r="C89" s="380" t="s">
        <v>96</v>
      </c>
    </row>
    <row r="90" spans="1:3" s="380" customFormat="1">
      <c r="A90" s="380" t="s">
        <v>1096</v>
      </c>
    </row>
    <row r="91" spans="1:3" s="380" customFormat="1">
      <c r="A91" s="380" t="s">
        <v>415</v>
      </c>
      <c r="B91" s="380" t="s">
        <v>690</v>
      </c>
      <c r="C91" s="380" t="s">
        <v>96</v>
      </c>
    </row>
    <row r="92" spans="1:3" s="380" customFormat="1">
      <c r="A92" s="380" t="s">
        <v>693</v>
      </c>
      <c r="B92" s="380" t="s">
        <v>75</v>
      </c>
    </row>
    <row r="93" spans="1:3" s="380" customFormat="1">
      <c r="A93" s="380" t="s">
        <v>418</v>
      </c>
      <c r="B93" s="380" t="s">
        <v>75</v>
      </c>
    </row>
    <row r="94" spans="1:3" s="380" customFormat="1">
      <c r="A94" s="380" t="s">
        <v>470</v>
      </c>
      <c r="B94" s="380" t="s">
        <v>78</v>
      </c>
      <c r="C94" s="380" t="s">
        <v>95</v>
      </c>
    </row>
    <row r="95" spans="1:3" s="380" customFormat="1">
      <c r="A95" s="380" t="s">
        <v>1161</v>
      </c>
    </row>
    <row r="96" spans="1:3" s="380" customFormat="1">
      <c r="A96" s="380" t="s">
        <v>1082</v>
      </c>
      <c r="B96" s="380" t="s">
        <v>82</v>
      </c>
      <c r="C96" s="380" t="s">
        <v>95</v>
      </c>
    </row>
    <row r="97" spans="1:3" s="380" customFormat="1">
      <c r="A97" s="380" t="s">
        <v>832</v>
      </c>
      <c r="B97" s="380" t="s">
        <v>690</v>
      </c>
      <c r="C97" s="380" t="s">
        <v>96</v>
      </c>
    </row>
    <row r="98" spans="1:3" s="380" customFormat="1">
      <c r="A98" s="380" t="s">
        <v>244</v>
      </c>
      <c r="B98" s="380" t="s">
        <v>79</v>
      </c>
      <c r="C98" s="380" t="s">
        <v>95</v>
      </c>
    </row>
    <row r="99" spans="1:3" s="380" customFormat="1">
      <c r="A99" s="380" t="s">
        <v>865</v>
      </c>
      <c r="B99" s="380" t="s">
        <v>13</v>
      </c>
      <c r="C99" s="380" t="s">
        <v>95</v>
      </c>
    </row>
    <row r="100" spans="1:3" s="380" customFormat="1">
      <c r="A100" s="380" t="s">
        <v>249</v>
      </c>
      <c r="B100" s="380" t="s">
        <v>690</v>
      </c>
      <c r="C100" s="380" t="s">
        <v>96</v>
      </c>
    </row>
    <row r="101" spans="1:3" s="380" customFormat="1">
      <c r="A101" s="380" t="s">
        <v>196</v>
      </c>
      <c r="B101" s="380" t="s">
        <v>10</v>
      </c>
      <c r="C101" s="380" t="s">
        <v>95</v>
      </c>
    </row>
    <row r="102" spans="1:3" s="380" customFormat="1">
      <c r="A102" s="380" t="s">
        <v>473</v>
      </c>
      <c r="B102" s="380" t="s">
        <v>82</v>
      </c>
      <c r="C102" s="380" t="s">
        <v>95</v>
      </c>
    </row>
    <row r="103" spans="1:3" s="380" customFormat="1">
      <c r="A103" s="380" t="s">
        <v>866</v>
      </c>
      <c r="B103" s="380" t="s">
        <v>78</v>
      </c>
    </row>
    <row r="104" spans="1:3" s="380" customFormat="1">
      <c r="A104" s="380" t="s">
        <v>867</v>
      </c>
      <c r="B104" s="380" t="s">
        <v>78</v>
      </c>
      <c r="C104" s="380" t="s">
        <v>95</v>
      </c>
    </row>
    <row r="105" spans="1:3" s="380" customFormat="1">
      <c r="A105" s="380" t="s">
        <v>844</v>
      </c>
      <c r="B105" s="380" t="s">
        <v>75</v>
      </c>
      <c r="C105" s="380" t="s">
        <v>95</v>
      </c>
    </row>
    <row r="106" spans="1:3" s="380" customFormat="1">
      <c r="A106" s="380" t="s">
        <v>475</v>
      </c>
      <c r="B106" s="380" t="s">
        <v>860</v>
      </c>
      <c r="C106" s="380" t="s">
        <v>94</v>
      </c>
    </row>
    <row r="107" spans="1:3" s="380" customFormat="1">
      <c r="A107" s="380" t="s">
        <v>477</v>
      </c>
      <c r="B107" s="380" t="s">
        <v>80</v>
      </c>
      <c r="C107" s="380" t="s">
        <v>95</v>
      </c>
    </row>
    <row r="108" spans="1:3" s="380" customFormat="1">
      <c r="A108" s="380" t="s">
        <v>121</v>
      </c>
      <c r="B108" s="380" t="s">
        <v>690</v>
      </c>
      <c r="C108" s="380" t="s">
        <v>96</v>
      </c>
    </row>
    <row r="109" spans="1:3" s="380" customFormat="1">
      <c r="A109" s="380" t="s">
        <v>142</v>
      </c>
      <c r="B109" s="380" t="s">
        <v>80</v>
      </c>
      <c r="C109" s="380" t="s">
        <v>95</v>
      </c>
    </row>
    <row r="110" spans="1:3" s="380" customFormat="1">
      <c r="A110" s="380" t="s">
        <v>479</v>
      </c>
      <c r="B110" s="380" t="s">
        <v>86</v>
      </c>
      <c r="C110" s="380" t="s">
        <v>95</v>
      </c>
    </row>
    <row r="111" spans="1:3" s="380" customFormat="1">
      <c r="A111" s="380" t="s">
        <v>288</v>
      </c>
      <c r="B111" s="380" t="s">
        <v>80</v>
      </c>
      <c r="C111" s="380" t="s">
        <v>95</v>
      </c>
    </row>
    <row r="112" spans="1:3" s="380" customFormat="1">
      <c r="A112" s="380" t="s">
        <v>591</v>
      </c>
      <c r="B112" s="380" t="s">
        <v>690</v>
      </c>
      <c r="C112" s="380" t="s">
        <v>96</v>
      </c>
    </row>
    <row r="113" spans="1:3" s="380" customFormat="1">
      <c r="A113" s="380" t="s">
        <v>593</v>
      </c>
      <c r="B113" s="380" t="s">
        <v>690</v>
      </c>
      <c r="C113" s="380" t="s">
        <v>96</v>
      </c>
    </row>
    <row r="114" spans="1:3" s="380" customFormat="1">
      <c r="A114" s="380" t="s">
        <v>595</v>
      </c>
      <c r="B114" s="380" t="s">
        <v>690</v>
      </c>
      <c r="C114" s="380" t="s">
        <v>96</v>
      </c>
    </row>
    <row r="115" spans="1:3" s="380" customFormat="1">
      <c r="A115" s="380" t="s">
        <v>597</v>
      </c>
      <c r="B115" s="380" t="s">
        <v>690</v>
      </c>
      <c r="C115" s="380" t="s">
        <v>96</v>
      </c>
    </row>
    <row r="116" spans="1:3" s="380" customFormat="1">
      <c r="A116" s="380" t="s">
        <v>910</v>
      </c>
      <c r="B116" s="380" t="s">
        <v>86</v>
      </c>
      <c r="C116" s="380" t="s">
        <v>95</v>
      </c>
    </row>
    <row r="117" spans="1:3" s="380" customFormat="1">
      <c r="A117" s="380" t="s">
        <v>481</v>
      </c>
      <c r="B117" s="380" t="s">
        <v>86</v>
      </c>
      <c r="C117" s="380" t="s">
        <v>95</v>
      </c>
    </row>
    <row r="118" spans="1:3" s="380" customFormat="1">
      <c r="A118" s="380" t="s">
        <v>484</v>
      </c>
      <c r="B118" s="380" t="s">
        <v>86</v>
      </c>
      <c r="C118" s="380" t="s">
        <v>95</v>
      </c>
    </row>
    <row r="119" spans="1:3" s="380" customFormat="1">
      <c r="A119" s="380" t="s">
        <v>291</v>
      </c>
      <c r="B119" s="380" t="s">
        <v>86</v>
      </c>
      <c r="C119" s="380" t="s">
        <v>96</v>
      </c>
    </row>
    <row r="120" spans="1:3" s="380" customFormat="1">
      <c r="A120" s="380" t="s">
        <v>487</v>
      </c>
      <c r="B120" s="380" t="s">
        <v>86</v>
      </c>
      <c r="C120" s="380" t="s">
        <v>95</v>
      </c>
    </row>
    <row r="121" spans="1:3" s="380" customFormat="1">
      <c r="A121" s="380" t="s">
        <v>489</v>
      </c>
      <c r="B121" s="380" t="s">
        <v>86</v>
      </c>
      <c r="C121" s="380" t="s">
        <v>94</v>
      </c>
    </row>
    <row r="122" spans="1:3" s="380" customFormat="1">
      <c r="A122" s="380" t="s">
        <v>491</v>
      </c>
      <c r="B122" s="380" t="s">
        <v>86</v>
      </c>
      <c r="C122" s="380" t="s">
        <v>94</v>
      </c>
    </row>
    <row r="123" spans="1:3" s="380" customFormat="1">
      <c r="A123" s="380" t="s">
        <v>398</v>
      </c>
      <c r="B123" s="380" t="s">
        <v>86</v>
      </c>
      <c r="C123" s="380" t="s">
        <v>95</v>
      </c>
    </row>
    <row r="124" spans="1:3" s="380" customFormat="1">
      <c r="A124" s="380" t="s">
        <v>343</v>
      </c>
      <c r="B124" s="380" t="s">
        <v>83</v>
      </c>
      <c r="C124" s="380" t="s">
        <v>95</v>
      </c>
    </row>
    <row r="125" spans="1:3" s="380" customFormat="1">
      <c r="A125" s="380" t="s">
        <v>346</v>
      </c>
      <c r="B125" s="380" t="s">
        <v>83</v>
      </c>
    </row>
    <row r="126" spans="1:3" s="380" customFormat="1">
      <c r="A126" s="380" t="s">
        <v>681</v>
      </c>
      <c r="B126" s="380" t="s">
        <v>83</v>
      </c>
    </row>
    <row r="127" spans="1:3" s="380" customFormat="1">
      <c r="A127" s="380" t="s">
        <v>818</v>
      </c>
      <c r="B127" s="380" t="s">
        <v>9</v>
      </c>
      <c r="C127" s="380" t="s">
        <v>94</v>
      </c>
    </row>
    <row r="128" spans="1:3" s="380" customFormat="1">
      <c r="A128" s="380" t="s">
        <v>493</v>
      </c>
      <c r="B128" s="380" t="s">
        <v>9</v>
      </c>
      <c r="C128" s="380" t="s">
        <v>94</v>
      </c>
    </row>
    <row r="129" spans="1:13" s="380" customFormat="1">
      <c r="A129" s="380" t="s">
        <v>495</v>
      </c>
      <c r="B129" s="380" t="s">
        <v>75</v>
      </c>
      <c r="C129" s="380" t="s">
        <v>95</v>
      </c>
    </row>
    <row r="130" spans="1:13" s="380" customFormat="1">
      <c r="A130" s="380" t="s">
        <v>347</v>
      </c>
      <c r="B130" s="380" t="s">
        <v>81</v>
      </c>
      <c r="C130" s="380" t="s">
        <v>95</v>
      </c>
    </row>
    <row r="131" spans="1:13" s="380" customFormat="1">
      <c r="A131" s="380" t="s">
        <v>350</v>
      </c>
      <c r="B131" s="380" t="s">
        <v>81</v>
      </c>
      <c r="C131" s="380" t="s">
        <v>95</v>
      </c>
      <c r="M131" s="380" t="s">
        <v>63</v>
      </c>
    </row>
    <row r="132" spans="1:13" s="380" customFormat="1">
      <c r="A132" s="380" t="s">
        <v>497</v>
      </c>
      <c r="B132" s="380" t="s">
        <v>862</v>
      </c>
      <c r="C132" s="380" t="s">
        <v>95</v>
      </c>
    </row>
    <row r="133" spans="1:13" s="380" customFormat="1">
      <c r="A133" s="380" t="s">
        <v>353</v>
      </c>
      <c r="B133" s="380" t="s">
        <v>81</v>
      </c>
      <c r="C133" s="380" t="s">
        <v>95</v>
      </c>
    </row>
    <row r="134" spans="1:13" s="380" customFormat="1">
      <c r="A134" s="380" t="s">
        <v>356</v>
      </c>
      <c r="B134" s="380" t="s">
        <v>81</v>
      </c>
    </row>
    <row r="135" spans="1:13" s="380" customFormat="1">
      <c r="A135" s="380" t="s">
        <v>682</v>
      </c>
      <c r="B135" s="380" t="s">
        <v>81</v>
      </c>
    </row>
    <row r="136" spans="1:13" s="380" customFormat="1">
      <c r="A136" s="380" t="s">
        <v>147</v>
      </c>
      <c r="B136" s="380" t="s">
        <v>75</v>
      </c>
    </row>
    <row r="137" spans="1:13" s="380" customFormat="1">
      <c r="A137" s="380" t="s">
        <v>1084</v>
      </c>
      <c r="B137" s="380" t="s">
        <v>84</v>
      </c>
      <c r="C137" s="380" t="s">
        <v>95</v>
      </c>
    </row>
    <row r="138" spans="1:13" s="380" customFormat="1">
      <c r="A138" s="380" t="s">
        <v>149</v>
      </c>
      <c r="B138" s="380" t="s">
        <v>9</v>
      </c>
    </row>
    <row r="139" spans="1:13" s="380" customFormat="1">
      <c r="A139" s="380" t="s">
        <v>499</v>
      </c>
      <c r="B139" s="380" t="s">
        <v>80</v>
      </c>
      <c r="C139" s="380" t="s">
        <v>95</v>
      </c>
    </row>
    <row r="140" spans="1:13" s="380" customFormat="1">
      <c r="A140" s="380" t="s">
        <v>151</v>
      </c>
      <c r="B140" s="380" t="s">
        <v>81</v>
      </c>
      <c r="C140" s="380" t="s">
        <v>94</v>
      </c>
    </row>
    <row r="141" spans="1:13" s="380" customFormat="1">
      <c r="A141" s="380" t="s">
        <v>357</v>
      </c>
      <c r="B141" s="380" t="s">
        <v>83</v>
      </c>
      <c r="C141" s="380" t="s">
        <v>95</v>
      </c>
    </row>
    <row r="142" spans="1:13" s="380" customFormat="1">
      <c r="A142" s="380" t="s">
        <v>360</v>
      </c>
      <c r="B142" s="380" t="s">
        <v>83</v>
      </c>
    </row>
    <row r="143" spans="1:13" s="380" customFormat="1">
      <c r="A143" s="380" t="s">
        <v>683</v>
      </c>
      <c r="B143" s="380" t="s">
        <v>83</v>
      </c>
    </row>
    <row r="144" spans="1:13" s="380" customFormat="1">
      <c r="A144" s="380" t="s">
        <v>502</v>
      </c>
      <c r="B144" s="380" t="s">
        <v>633</v>
      </c>
      <c r="C144" s="380" t="s">
        <v>95</v>
      </c>
    </row>
    <row r="145" spans="1:3" s="380" customFormat="1">
      <c r="A145" s="380" t="s">
        <v>504</v>
      </c>
      <c r="B145" s="380" t="s">
        <v>633</v>
      </c>
    </row>
    <row r="146" spans="1:3" s="380" customFormat="1">
      <c r="A146" s="380" t="s">
        <v>401</v>
      </c>
      <c r="B146" s="380" t="s">
        <v>83</v>
      </c>
      <c r="C146" s="380" t="s">
        <v>95</v>
      </c>
    </row>
    <row r="147" spans="1:3" s="380" customFormat="1">
      <c r="A147" s="380" t="s">
        <v>404</v>
      </c>
      <c r="B147" s="380" t="s">
        <v>83</v>
      </c>
    </row>
    <row r="148" spans="1:3" s="380" customFormat="1">
      <c r="A148" s="380" t="s">
        <v>405</v>
      </c>
      <c r="B148" s="380" t="s">
        <v>83</v>
      </c>
    </row>
    <row r="149" spans="1:3" s="380" customFormat="1">
      <c r="A149" s="380" t="s">
        <v>505</v>
      </c>
      <c r="B149" s="380" t="s">
        <v>80</v>
      </c>
      <c r="C149" s="380" t="s">
        <v>95</v>
      </c>
    </row>
    <row r="150" spans="1:3" s="380" customFormat="1">
      <c r="A150" s="380" t="s">
        <v>507</v>
      </c>
      <c r="B150" s="380" t="s">
        <v>86</v>
      </c>
      <c r="C150" s="380" t="s">
        <v>95</v>
      </c>
    </row>
    <row r="151" spans="1:3" s="380" customFormat="1">
      <c r="A151" s="380" t="s">
        <v>361</v>
      </c>
      <c r="B151" s="380" t="s">
        <v>81</v>
      </c>
      <c r="C151" s="380" t="s">
        <v>95</v>
      </c>
    </row>
    <row r="152" spans="1:3" s="380" customFormat="1">
      <c r="A152" s="380" t="s">
        <v>509</v>
      </c>
      <c r="B152" s="380" t="s">
        <v>81</v>
      </c>
      <c r="C152" s="380" t="s">
        <v>95</v>
      </c>
    </row>
    <row r="153" spans="1:3" s="380" customFormat="1">
      <c r="A153" s="380" t="s">
        <v>909</v>
      </c>
      <c r="B153" s="380" t="s">
        <v>9</v>
      </c>
      <c r="C153" s="380" t="s">
        <v>95</v>
      </c>
    </row>
    <row r="154" spans="1:3" s="380" customFormat="1">
      <c r="A154" s="380" t="s">
        <v>513</v>
      </c>
      <c r="B154" s="380" t="s">
        <v>86</v>
      </c>
      <c r="C154" s="380" t="s">
        <v>96</v>
      </c>
    </row>
    <row r="155" spans="1:3" s="380" customFormat="1">
      <c r="A155" s="380" t="s">
        <v>516</v>
      </c>
      <c r="B155" s="380" t="s">
        <v>862</v>
      </c>
      <c r="C155" s="380" t="s">
        <v>94</v>
      </c>
    </row>
    <row r="156" spans="1:3" s="380" customFormat="1">
      <c r="A156" s="380" t="s">
        <v>518</v>
      </c>
      <c r="B156" s="380" t="s">
        <v>9</v>
      </c>
      <c r="C156" s="380" t="s">
        <v>94</v>
      </c>
    </row>
    <row r="157" spans="1:3" s="380" customFormat="1">
      <c r="A157" s="380" t="s">
        <v>153</v>
      </c>
      <c r="B157" s="380" t="s">
        <v>75</v>
      </c>
    </row>
    <row r="158" spans="1:3" s="380" customFormat="1">
      <c r="A158" s="380" t="s">
        <v>321</v>
      </c>
      <c r="B158" s="380" t="s">
        <v>79</v>
      </c>
      <c r="C158" s="380" t="s">
        <v>95</v>
      </c>
    </row>
    <row r="159" spans="1:3" s="380" customFormat="1">
      <c r="A159" s="380" t="s">
        <v>324</v>
      </c>
      <c r="B159" s="380" t="s">
        <v>79</v>
      </c>
    </row>
    <row r="160" spans="1:3" s="380" customFormat="1">
      <c r="A160" s="380" t="s">
        <v>684</v>
      </c>
      <c r="B160" s="380" t="s">
        <v>79</v>
      </c>
    </row>
    <row r="161" spans="1:7" s="380" customFormat="1">
      <c r="A161" s="380" t="s">
        <v>294</v>
      </c>
      <c r="B161" s="380" t="s">
        <v>81</v>
      </c>
      <c r="C161" s="380" t="s">
        <v>95</v>
      </c>
    </row>
    <row r="162" spans="1:7" s="380" customFormat="1">
      <c r="A162" s="380" t="s">
        <v>520</v>
      </c>
      <c r="B162" s="380" t="s">
        <v>81</v>
      </c>
      <c r="C162" s="380" t="s">
        <v>95</v>
      </c>
    </row>
    <row r="163" spans="1:7" s="380" customFormat="1">
      <c r="A163" s="380" t="s">
        <v>1218</v>
      </c>
    </row>
    <row r="164" spans="1:7" s="380" customFormat="1">
      <c r="A164" s="380" t="s">
        <v>522</v>
      </c>
      <c r="B164" s="380" t="s">
        <v>81</v>
      </c>
      <c r="C164" s="380" t="s">
        <v>95</v>
      </c>
    </row>
    <row r="165" spans="1:7" s="380" customFormat="1">
      <c r="A165" s="380" t="s">
        <v>419</v>
      </c>
      <c r="B165" s="380" t="s">
        <v>78</v>
      </c>
      <c r="C165" s="380" t="s">
        <v>95</v>
      </c>
    </row>
    <row r="166" spans="1:7" s="380" customFormat="1">
      <c r="A166" s="380" t="s">
        <v>208</v>
      </c>
      <c r="B166" s="380" t="s">
        <v>10</v>
      </c>
      <c r="C166" s="380" t="s">
        <v>95</v>
      </c>
      <c r="G166" s="380" t="s">
        <v>62</v>
      </c>
    </row>
    <row r="167" spans="1:7" s="380" customFormat="1">
      <c r="A167" s="380" t="s">
        <v>851</v>
      </c>
      <c r="B167" s="380" t="s">
        <v>10</v>
      </c>
      <c r="C167" s="380" t="s">
        <v>95</v>
      </c>
    </row>
    <row r="168" spans="1:7" s="380" customFormat="1">
      <c r="A168" s="380" t="s">
        <v>211</v>
      </c>
      <c r="B168" s="380" t="s">
        <v>84</v>
      </c>
      <c r="C168" s="380" t="s">
        <v>95</v>
      </c>
    </row>
    <row r="169" spans="1:7" s="380" customFormat="1">
      <c r="A169" s="380" t="s">
        <v>213</v>
      </c>
      <c r="B169" s="380" t="s">
        <v>82</v>
      </c>
      <c r="C169" s="380" t="s">
        <v>95</v>
      </c>
    </row>
    <row r="170" spans="1:7" s="380" customFormat="1">
      <c r="A170" s="380" t="s">
        <v>182</v>
      </c>
      <c r="B170" s="380" t="s">
        <v>84</v>
      </c>
      <c r="C170" s="380" t="s">
        <v>95</v>
      </c>
    </row>
    <row r="171" spans="1:7" s="380" customFormat="1">
      <c r="A171" s="380" t="s">
        <v>185</v>
      </c>
      <c r="B171" s="380" t="s">
        <v>675</v>
      </c>
      <c r="C171" s="380" t="s">
        <v>95</v>
      </c>
    </row>
    <row r="172" spans="1:7" s="380" customFormat="1">
      <c r="A172" s="380" t="s">
        <v>187</v>
      </c>
      <c r="B172" s="380" t="s">
        <v>675</v>
      </c>
      <c r="C172" s="380" t="s">
        <v>95</v>
      </c>
    </row>
    <row r="173" spans="1:7" s="380" customFormat="1">
      <c r="A173" s="380" t="s">
        <v>847</v>
      </c>
      <c r="B173" s="380" t="s">
        <v>675</v>
      </c>
      <c r="C173" s="380" t="s">
        <v>95</v>
      </c>
    </row>
    <row r="174" spans="1:7" s="380" customFormat="1">
      <c r="A174" s="380" t="s">
        <v>524</v>
      </c>
      <c r="B174" s="380" t="s">
        <v>81</v>
      </c>
      <c r="C174" s="380" t="s">
        <v>96</v>
      </c>
    </row>
    <row r="175" spans="1:7" s="380" customFormat="1">
      <c r="A175" s="380" t="s">
        <v>1216</v>
      </c>
    </row>
    <row r="176" spans="1:7" s="380" customFormat="1">
      <c r="A176" s="380" t="s">
        <v>325</v>
      </c>
      <c r="B176" s="380" t="s">
        <v>80</v>
      </c>
      <c r="C176" s="380" t="s">
        <v>95</v>
      </c>
    </row>
    <row r="177" spans="1:3" s="380" customFormat="1">
      <c r="A177" s="380" t="s">
        <v>1217</v>
      </c>
    </row>
    <row r="178" spans="1:3" s="380" customFormat="1">
      <c r="A178" s="380" t="s">
        <v>587</v>
      </c>
      <c r="B178" s="380" t="s">
        <v>75</v>
      </c>
    </row>
    <row r="179" spans="1:3" s="380" customFormat="1">
      <c r="A179" s="380" t="s">
        <v>589</v>
      </c>
      <c r="B179" s="380" t="s">
        <v>75</v>
      </c>
    </row>
    <row r="180" spans="1:3" s="380" customFormat="1">
      <c r="A180" s="380" t="s">
        <v>216</v>
      </c>
      <c r="B180" s="380" t="s">
        <v>82</v>
      </c>
      <c r="C180" s="380" t="s">
        <v>95</v>
      </c>
    </row>
    <row r="181" spans="1:3" s="380" customFormat="1">
      <c r="A181" s="380" t="s">
        <v>527</v>
      </c>
      <c r="B181" s="380" t="s">
        <v>86</v>
      </c>
      <c r="C181" s="380" t="s">
        <v>95</v>
      </c>
    </row>
    <row r="182" spans="1:3" s="380" customFormat="1">
      <c r="A182" s="380" t="s">
        <v>1086</v>
      </c>
    </row>
    <row r="183" spans="1:3" s="380" customFormat="1">
      <c r="A183" s="380" t="s">
        <v>426</v>
      </c>
      <c r="B183" s="380" t="s">
        <v>675</v>
      </c>
      <c r="C183" s="380" t="s">
        <v>95</v>
      </c>
    </row>
    <row r="184" spans="1:3" s="380" customFormat="1">
      <c r="A184" s="380" t="s">
        <v>155</v>
      </c>
      <c r="B184" s="380" t="s">
        <v>13</v>
      </c>
    </row>
    <row r="185" spans="1:3" s="380" customFormat="1">
      <c r="A185" s="380" t="s">
        <v>870</v>
      </c>
      <c r="B185" s="380" t="s">
        <v>690</v>
      </c>
    </row>
    <row r="186" spans="1:3" s="380" customFormat="1">
      <c r="A186" s="380" t="s">
        <v>790</v>
      </c>
    </row>
    <row r="187" spans="1:3" s="380" customFormat="1">
      <c r="A187" s="380" t="s">
        <v>1081</v>
      </c>
      <c r="B187" s="380" t="s">
        <v>82</v>
      </c>
      <c r="C187" s="380" t="s">
        <v>95</v>
      </c>
    </row>
    <row r="188" spans="1:3" s="380" customFormat="1">
      <c r="A188" s="380" t="s">
        <v>189</v>
      </c>
      <c r="B188" s="380" t="s">
        <v>10</v>
      </c>
      <c r="C188" s="380" t="s">
        <v>95</v>
      </c>
    </row>
    <row r="189" spans="1:3" s="380" customFormat="1">
      <c r="A189" s="380" t="s">
        <v>848</v>
      </c>
      <c r="C189" s="380" t="s">
        <v>95</v>
      </c>
    </row>
    <row r="190" spans="1:3" s="380" customFormat="1">
      <c r="A190" s="380" t="s">
        <v>219</v>
      </c>
      <c r="B190" s="380" t="s">
        <v>10</v>
      </c>
      <c r="C190" s="380" t="s">
        <v>95</v>
      </c>
    </row>
    <row r="191" spans="1:3" s="380" customFormat="1">
      <c r="A191" s="380" t="s">
        <v>364</v>
      </c>
      <c r="B191" s="380" t="s">
        <v>78</v>
      </c>
      <c r="C191" s="380" t="s">
        <v>95</v>
      </c>
    </row>
    <row r="192" spans="1:3" s="380" customFormat="1">
      <c r="A192" s="380" t="s">
        <v>676</v>
      </c>
      <c r="B192" s="380" t="s">
        <v>78</v>
      </c>
    </row>
    <row r="193" spans="1:3" s="380" customFormat="1">
      <c r="A193" s="380" t="s">
        <v>367</v>
      </c>
      <c r="B193" s="380" t="s">
        <v>78</v>
      </c>
    </row>
    <row r="194" spans="1:3" s="380" customFormat="1">
      <c r="A194" s="380" t="s">
        <v>297</v>
      </c>
      <c r="B194" s="380" t="s">
        <v>862</v>
      </c>
      <c r="C194" s="380" t="s">
        <v>95</v>
      </c>
    </row>
    <row r="195" spans="1:3" s="380" customFormat="1">
      <c r="A195" s="380" t="s">
        <v>529</v>
      </c>
      <c r="B195" s="380" t="s">
        <v>690</v>
      </c>
    </row>
    <row r="196" spans="1:3" s="380" customFormat="1">
      <c r="A196" s="380" t="s">
        <v>531</v>
      </c>
      <c r="B196" s="380" t="s">
        <v>78</v>
      </c>
      <c r="C196" s="380" t="s">
        <v>95</v>
      </c>
    </row>
    <row r="197" spans="1:3" s="380" customFormat="1">
      <c r="A197" s="380" t="s">
        <v>251</v>
      </c>
      <c r="B197" s="380" t="s">
        <v>639</v>
      </c>
      <c r="C197" s="380" t="s">
        <v>95</v>
      </c>
    </row>
    <row r="198" spans="1:3" s="380" customFormat="1">
      <c r="A198" s="380" t="s">
        <v>255</v>
      </c>
      <c r="B198" s="380" t="s">
        <v>618</v>
      </c>
      <c r="C198" s="380" t="s">
        <v>95</v>
      </c>
    </row>
    <row r="199" spans="1:3" s="380" customFormat="1">
      <c r="A199" s="380" t="s">
        <v>688</v>
      </c>
      <c r="B199" s="380" t="s">
        <v>13</v>
      </c>
      <c r="C199" s="380" t="s">
        <v>95</v>
      </c>
    </row>
    <row r="200" spans="1:3" s="380" customFormat="1">
      <c r="A200" s="380" t="s">
        <v>689</v>
      </c>
      <c r="B200" s="380" t="s">
        <v>13</v>
      </c>
    </row>
    <row r="201" spans="1:3" s="380" customFormat="1">
      <c r="A201" s="380" t="s">
        <v>258</v>
      </c>
      <c r="B201" s="380" t="s">
        <v>13</v>
      </c>
    </row>
    <row r="202" spans="1:3" s="380" customFormat="1">
      <c r="A202" s="380" t="s">
        <v>261</v>
      </c>
      <c r="B202" s="380" t="s">
        <v>618</v>
      </c>
      <c r="C202" s="380" t="s">
        <v>95</v>
      </c>
    </row>
    <row r="203" spans="1:3" s="380" customFormat="1">
      <c r="A203" s="380" t="s">
        <v>1160</v>
      </c>
      <c r="B203" s="380" t="s">
        <v>75</v>
      </c>
      <c r="C203" s="380" t="s">
        <v>95</v>
      </c>
    </row>
    <row r="204" spans="1:3" s="380" customFormat="1">
      <c r="A204" s="380" t="s">
        <v>1113</v>
      </c>
      <c r="B204" s="380" t="s">
        <v>13</v>
      </c>
      <c r="C204" s="380" t="s">
        <v>95</v>
      </c>
    </row>
    <row r="205" spans="1:3" s="380" customFormat="1">
      <c r="A205" s="380" t="s">
        <v>853</v>
      </c>
      <c r="B205" s="380" t="s">
        <v>75</v>
      </c>
      <c r="C205" s="380" t="s">
        <v>95</v>
      </c>
    </row>
    <row r="206" spans="1:3" s="380" customFormat="1">
      <c r="A206" s="380" t="s">
        <v>1156</v>
      </c>
      <c r="B206" s="380" t="s">
        <v>13</v>
      </c>
      <c r="C206" s="380" t="s">
        <v>95</v>
      </c>
    </row>
    <row r="207" spans="1:3" s="380" customFormat="1">
      <c r="A207" s="380" t="s">
        <v>265</v>
      </c>
      <c r="B207" s="380" t="s">
        <v>13</v>
      </c>
      <c r="C207" s="380" t="s">
        <v>95</v>
      </c>
    </row>
    <row r="208" spans="1:3" s="380" customFormat="1">
      <c r="A208" s="380" t="s">
        <v>533</v>
      </c>
      <c r="B208" s="380" t="s">
        <v>75</v>
      </c>
    </row>
    <row r="209" spans="1:3" s="380" customFormat="1">
      <c r="A209" s="380" t="s">
        <v>1117</v>
      </c>
      <c r="B209" s="380" t="s">
        <v>78</v>
      </c>
      <c r="C209" s="380" t="s">
        <v>95</v>
      </c>
    </row>
    <row r="210" spans="1:3" s="380" customFormat="1">
      <c r="A210" s="380" t="s">
        <v>535</v>
      </c>
      <c r="B210" s="380" t="s">
        <v>86</v>
      </c>
      <c r="C210" s="380" t="s">
        <v>95</v>
      </c>
    </row>
    <row r="211" spans="1:3" s="380" customFormat="1">
      <c r="A211" s="380" t="s">
        <v>537</v>
      </c>
      <c r="B211" s="380" t="s">
        <v>81</v>
      </c>
      <c r="C211" s="380" t="s">
        <v>95</v>
      </c>
    </row>
    <row r="212" spans="1:3" s="380" customFormat="1">
      <c r="A212" s="380" t="s">
        <v>222</v>
      </c>
      <c r="B212" s="380" t="s">
        <v>82</v>
      </c>
      <c r="C212" s="380" t="s">
        <v>95</v>
      </c>
    </row>
    <row r="213" spans="1:3" s="380" customFormat="1">
      <c r="A213" s="380" t="s">
        <v>302</v>
      </c>
      <c r="B213" s="380" t="s">
        <v>80</v>
      </c>
      <c r="C213" s="380" t="s">
        <v>95</v>
      </c>
    </row>
    <row r="214" spans="1:3" s="380" customFormat="1">
      <c r="A214" s="380" t="s">
        <v>368</v>
      </c>
      <c r="B214" s="380" t="s">
        <v>80</v>
      </c>
      <c r="C214" s="380" t="s">
        <v>95</v>
      </c>
    </row>
    <row r="215" spans="1:3" s="380" customFormat="1">
      <c r="A215" s="380" t="s">
        <v>840</v>
      </c>
      <c r="B215" s="380" t="s">
        <v>80</v>
      </c>
      <c r="C215" s="380" t="s">
        <v>95</v>
      </c>
    </row>
    <row r="216" spans="1:3" s="380" customFormat="1">
      <c r="A216" s="380" t="s">
        <v>540</v>
      </c>
      <c r="B216" s="380" t="s">
        <v>80</v>
      </c>
      <c r="C216" s="380" t="s">
        <v>95</v>
      </c>
    </row>
    <row r="217" spans="1:3" s="380" customFormat="1">
      <c r="A217" s="380" t="s">
        <v>370</v>
      </c>
      <c r="B217" s="380" t="s">
        <v>83</v>
      </c>
      <c r="C217" s="380" t="s">
        <v>95</v>
      </c>
    </row>
    <row r="218" spans="1:3" s="380" customFormat="1">
      <c r="A218" s="380" t="s">
        <v>373</v>
      </c>
      <c r="B218" s="380" t="s">
        <v>83</v>
      </c>
    </row>
    <row r="219" spans="1:3" s="380" customFormat="1">
      <c r="A219" s="380" t="s">
        <v>685</v>
      </c>
      <c r="B219" s="380" t="s">
        <v>83</v>
      </c>
    </row>
    <row r="220" spans="1:3" s="380" customFormat="1">
      <c r="A220" s="380" t="s">
        <v>912</v>
      </c>
    </row>
    <row r="221" spans="1:3" s="380" customFormat="1">
      <c r="A221" s="380" t="s">
        <v>192</v>
      </c>
      <c r="B221" s="380" t="s">
        <v>84</v>
      </c>
      <c r="C221" s="380" t="s">
        <v>95</v>
      </c>
    </row>
    <row r="222" spans="1:3" s="380" customFormat="1">
      <c r="A222" s="380" t="s">
        <v>543</v>
      </c>
      <c r="B222" s="380" t="s">
        <v>75</v>
      </c>
    </row>
    <row r="223" spans="1:3" s="380" customFormat="1">
      <c r="A223" s="380" t="s">
        <v>546</v>
      </c>
      <c r="B223" s="380" t="s">
        <v>75</v>
      </c>
    </row>
    <row r="224" spans="1:3" s="380" customFormat="1">
      <c r="A224" s="380" t="s">
        <v>849</v>
      </c>
      <c r="C224" s="380" t="s">
        <v>95</v>
      </c>
    </row>
    <row r="225" spans="1:3" s="380" customFormat="1">
      <c r="A225" s="380" t="s">
        <v>548</v>
      </c>
      <c r="B225" s="380" t="s">
        <v>80</v>
      </c>
      <c r="C225" s="380" t="s">
        <v>95</v>
      </c>
    </row>
    <row r="226" spans="1:3" s="380" customFormat="1">
      <c r="A226" s="380" t="s">
        <v>550</v>
      </c>
      <c r="B226" s="380" t="s">
        <v>81</v>
      </c>
      <c r="C226" s="380" t="s">
        <v>95</v>
      </c>
    </row>
    <row r="227" spans="1:3" s="380" customFormat="1">
      <c r="A227" s="380" t="s">
        <v>933</v>
      </c>
      <c r="B227" s="380" t="s">
        <v>86</v>
      </c>
      <c r="C227" s="380" t="s">
        <v>95</v>
      </c>
    </row>
    <row r="228" spans="1:3" s="380" customFormat="1">
      <c r="A228" s="380" t="s">
        <v>422</v>
      </c>
      <c r="B228" s="380" t="s">
        <v>86</v>
      </c>
    </row>
    <row r="229" spans="1:3" s="380" customFormat="1">
      <c r="A229" s="380" t="s">
        <v>553</v>
      </c>
      <c r="B229" s="380" t="s">
        <v>75</v>
      </c>
    </row>
    <row r="230" spans="1:3" s="380" customFormat="1">
      <c r="A230" s="380" t="s">
        <v>797</v>
      </c>
    </row>
    <row r="231" spans="1:3" s="380" customFormat="1">
      <c r="A231" s="380" t="s">
        <v>556</v>
      </c>
      <c r="B231" s="380" t="s">
        <v>86</v>
      </c>
      <c r="C231" s="380" t="s">
        <v>95</v>
      </c>
    </row>
    <row r="232" spans="1:3" s="380" customFormat="1">
      <c r="A232" s="380" t="s">
        <v>374</v>
      </c>
      <c r="B232" s="380" t="s">
        <v>86</v>
      </c>
      <c r="C232" s="380" t="s">
        <v>95</v>
      </c>
    </row>
    <row r="233" spans="1:3" s="380" customFormat="1">
      <c r="A233" s="380" t="s">
        <v>558</v>
      </c>
      <c r="B233" s="380" t="s">
        <v>86</v>
      </c>
      <c r="C233" s="380" t="s">
        <v>96</v>
      </c>
    </row>
    <row r="234" spans="1:3" s="380" customFormat="1">
      <c r="A234" s="380" t="s">
        <v>377</v>
      </c>
      <c r="B234" s="380" t="s">
        <v>81</v>
      </c>
      <c r="C234" s="380" t="s">
        <v>95</v>
      </c>
    </row>
    <row r="235" spans="1:3" s="380" customFormat="1">
      <c r="A235" s="380" t="s">
        <v>380</v>
      </c>
      <c r="B235" s="380" t="s">
        <v>81</v>
      </c>
    </row>
    <row r="236" spans="1:3" s="380" customFormat="1">
      <c r="A236" s="380" t="s">
        <v>381</v>
      </c>
      <c r="B236" s="380" t="s">
        <v>81</v>
      </c>
    </row>
    <row r="237" spans="1:3" s="380" customFormat="1">
      <c r="A237" s="380" t="s">
        <v>157</v>
      </c>
      <c r="B237" s="380" t="s">
        <v>81</v>
      </c>
      <c r="C237" s="380" t="s">
        <v>95</v>
      </c>
    </row>
    <row r="238" spans="1:3" s="380" customFormat="1">
      <c r="A238" s="380" t="s">
        <v>561</v>
      </c>
      <c r="B238" s="380" t="s">
        <v>80</v>
      </c>
      <c r="C238" s="380" t="s">
        <v>95</v>
      </c>
    </row>
    <row r="239" spans="1:3" s="380" customFormat="1">
      <c r="A239" s="380" t="s">
        <v>564</v>
      </c>
      <c r="B239" s="380" t="s">
        <v>80</v>
      </c>
      <c r="C239" s="380" t="s">
        <v>95</v>
      </c>
    </row>
    <row r="240" spans="1:3" s="380" customFormat="1">
      <c r="A240" s="380" t="s">
        <v>566</v>
      </c>
      <c r="B240" s="380" t="s">
        <v>75</v>
      </c>
    </row>
    <row r="241" spans="1:3" s="380" customFormat="1">
      <c r="A241" s="380" t="s">
        <v>160</v>
      </c>
      <c r="B241" s="380" t="s">
        <v>75</v>
      </c>
    </row>
    <row r="242" spans="1:3" s="380" customFormat="1">
      <c r="A242" s="380" t="s">
        <v>911</v>
      </c>
      <c r="B242" s="380" t="s">
        <v>9</v>
      </c>
    </row>
    <row r="243" spans="1:3" s="380" customFormat="1">
      <c r="A243" s="380" t="s">
        <v>820</v>
      </c>
      <c r="B243" s="380" t="s">
        <v>10</v>
      </c>
      <c r="C243" s="380" t="s">
        <v>95</v>
      </c>
    </row>
    <row r="244" spans="1:3" s="380" customFormat="1">
      <c r="A244" s="380" t="s">
        <v>328</v>
      </c>
      <c r="B244" s="380" t="s">
        <v>81</v>
      </c>
      <c r="C244" s="380" t="s">
        <v>95</v>
      </c>
    </row>
    <row r="245" spans="1:3" s="380" customFormat="1">
      <c r="A245" s="380" t="s">
        <v>569</v>
      </c>
      <c r="B245" s="380" t="s">
        <v>80</v>
      </c>
      <c r="C245" s="380" t="s">
        <v>95</v>
      </c>
    </row>
    <row r="246" spans="1:3" s="380" customFormat="1">
      <c r="A246" s="380" t="s">
        <v>382</v>
      </c>
      <c r="B246" s="380" t="s">
        <v>81</v>
      </c>
      <c r="C246" s="380" t="s">
        <v>95</v>
      </c>
    </row>
    <row r="247" spans="1:3" s="380" customFormat="1">
      <c r="A247" s="380" t="s">
        <v>1214</v>
      </c>
    </row>
    <row r="248" spans="1:3" s="380" customFormat="1">
      <c r="A248" s="380" t="s">
        <v>1215</v>
      </c>
    </row>
    <row r="249" spans="1:3" s="380" customFormat="1">
      <c r="A249" s="380" t="s">
        <v>162</v>
      </c>
      <c r="B249" s="380" t="s">
        <v>81</v>
      </c>
    </row>
    <row r="250" spans="1:3" s="380" customFormat="1">
      <c r="A250" s="380" t="s">
        <v>852</v>
      </c>
      <c r="B250" s="380" t="s">
        <v>84</v>
      </c>
      <c r="C250" s="380" t="s">
        <v>95</v>
      </c>
    </row>
    <row r="251" spans="1:3" s="380" customFormat="1">
      <c r="A251" s="380" t="s">
        <v>571</v>
      </c>
      <c r="B251" s="380" t="s">
        <v>81</v>
      </c>
      <c r="C251" s="380" t="s">
        <v>94</v>
      </c>
    </row>
    <row r="252" spans="1:3" s="380" customFormat="1">
      <c r="A252" s="380" t="s">
        <v>573</v>
      </c>
      <c r="B252" s="380" t="s">
        <v>86</v>
      </c>
      <c r="C252" s="380" t="s">
        <v>94</v>
      </c>
    </row>
    <row r="253" spans="1:3" s="380" customFormat="1">
      <c r="A253" s="380" t="s">
        <v>575</v>
      </c>
      <c r="B253" s="380" t="s">
        <v>13</v>
      </c>
      <c r="C253" s="380" t="s">
        <v>95</v>
      </c>
    </row>
    <row r="254" spans="1:3" s="380" customFormat="1">
      <c r="A254" s="380" t="s">
        <v>577</v>
      </c>
      <c r="B254" s="380" t="s">
        <v>81</v>
      </c>
      <c r="C254" s="380" t="s">
        <v>95</v>
      </c>
    </row>
    <row r="255" spans="1:3" s="380" customFormat="1">
      <c r="A255" s="380" t="s">
        <v>579</v>
      </c>
      <c r="B255" s="380" t="s">
        <v>84</v>
      </c>
      <c r="C255" s="380" t="s">
        <v>95</v>
      </c>
    </row>
    <row r="256" spans="1:3" s="380" customFormat="1">
      <c r="A256" s="380" t="s">
        <v>305</v>
      </c>
      <c r="B256" s="380" t="s">
        <v>9</v>
      </c>
      <c r="C256" s="380" t="s">
        <v>95</v>
      </c>
    </row>
    <row r="257" spans="1:3" s="380" customFormat="1">
      <c r="A257" s="380" t="s">
        <v>165</v>
      </c>
      <c r="B257" s="380" t="s">
        <v>78</v>
      </c>
      <c r="C257" s="380" t="s">
        <v>95</v>
      </c>
    </row>
    <row r="258" spans="1:3" s="380" customFormat="1">
      <c r="A258" s="380" t="s">
        <v>581</v>
      </c>
      <c r="B258" s="380" t="s">
        <v>13</v>
      </c>
      <c r="C258" s="380" t="s">
        <v>96</v>
      </c>
    </row>
    <row r="259" spans="1:3" s="380" customFormat="1">
      <c r="A259" s="380" t="s">
        <v>854</v>
      </c>
    </row>
    <row r="260" spans="1:3" s="380" customFormat="1">
      <c r="A260" s="380" t="s">
        <v>167</v>
      </c>
      <c r="B260" s="380" t="s">
        <v>79</v>
      </c>
      <c r="C260" s="380" t="s">
        <v>95</v>
      </c>
    </row>
    <row r="261" spans="1:3" s="380" customFormat="1">
      <c r="A261" s="380" t="s">
        <v>268</v>
      </c>
      <c r="B261" s="380" t="s">
        <v>75</v>
      </c>
      <c r="C261" s="380" t="s">
        <v>95</v>
      </c>
    </row>
    <row r="262" spans="1:3" s="380" customFormat="1">
      <c r="A262" s="380" t="s">
        <v>271</v>
      </c>
      <c r="B262" s="380" t="s">
        <v>75</v>
      </c>
    </row>
    <row r="263" spans="1:3" s="380" customFormat="1">
      <c r="A263" s="380" t="s">
        <v>686</v>
      </c>
      <c r="B263" s="380" t="s">
        <v>75</v>
      </c>
    </row>
    <row r="264" spans="1:3" s="380" customFormat="1">
      <c r="A264" s="380" t="s">
        <v>599</v>
      </c>
      <c r="B264" s="380" t="s">
        <v>84</v>
      </c>
      <c r="C264" s="380" t="s">
        <v>24</v>
      </c>
    </row>
    <row r="265" spans="1:3" s="380" customFormat="1">
      <c r="A265" s="380" t="s">
        <v>227</v>
      </c>
      <c r="B265" s="380" t="s">
        <v>84</v>
      </c>
      <c r="C265" s="380" t="s">
        <v>24</v>
      </c>
    </row>
    <row r="266" spans="1:3" s="380" customFormat="1">
      <c r="A266" s="380" t="s">
        <v>406</v>
      </c>
      <c r="B266" s="380" t="s">
        <v>80</v>
      </c>
      <c r="C266" s="380" t="s">
        <v>95</v>
      </c>
    </row>
    <row r="267" spans="1:3" s="380" customFormat="1">
      <c r="A267" s="380" t="s">
        <v>409</v>
      </c>
      <c r="B267" s="380" t="s">
        <v>80</v>
      </c>
    </row>
    <row r="268" spans="1:3" s="380" customFormat="1">
      <c r="A268" s="380" t="s">
        <v>687</v>
      </c>
      <c r="B268" s="380" t="s">
        <v>80</v>
      </c>
    </row>
    <row r="269" spans="1:3" s="380" customFormat="1">
      <c r="A269" s="380" t="s">
        <v>169</v>
      </c>
      <c r="B269" s="380" t="s">
        <v>75</v>
      </c>
    </row>
    <row r="270" spans="1:3" s="380" customFormat="1">
      <c r="A270" s="380" t="s">
        <v>230</v>
      </c>
      <c r="B270" s="380" t="s">
        <v>84</v>
      </c>
      <c r="C270" s="380" t="s">
        <v>95</v>
      </c>
    </row>
    <row r="271" spans="1:3" s="380" customFormat="1">
      <c r="A271" s="380" t="s">
        <v>331</v>
      </c>
      <c r="B271" s="380" t="s">
        <v>86</v>
      </c>
      <c r="C271" s="380" t="s">
        <v>95</v>
      </c>
    </row>
    <row r="272" spans="1:3" s="380" customFormat="1">
      <c r="A272" s="380" t="s">
        <v>334</v>
      </c>
      <c r="B272" s="380" t="s">
        <v>86</v>
      </c>
      <c r="C272" s="380" t="s">
        <v>95</v>
      </c>
    </row>
    <row r="273" spans="1:3" s="380" customFormat="1">
      <c r="A273" s="380" t="s">
        <v>837</v>
      </c>
    </row>
    <row r="274" spans="1:3" s="380" customFormat="1">
      <c r="A274" s="380" t="s">
        <v>841</v>
      </c>
    </row>
    <row r="275" spans="1:3" s="380" customFormat="1">
      <c r="A275" s="380" t="s">
        <v>385</v>
      </c>
      <c r="B275" s="380" t="s">
        <v>80</v>
      </c>
      <c r="C275" s="380" t="s">
        <v>95</v>
      </c>
    </row>
    <row r="276" spans="1:3" s="380" customFormat="1">
      <c r="A276" s="380" t="s">
        <v>583</v>
      </c>
      <c r="B276" s="380" t="s">
        <v>75</v>
      </c>
      <c r="C276" s="380" t="s">
        <v>94</v>
      </c>
    </row>
    <row r="277" spans="1:3" s="380" customFormat="1">
      <c r="A277" s="380" t="s">
        <v>585</v>
      </c>
      <c r="B277" s="380" t="s">
        <v>860</v>
      </c>
      <c r="C277" s="380" t="s">
        <v>94</v>
      </c>
    </row>
    <row r="278" spans="1:3" s="380" customFormat="1">
      <c r="A278" s="380" t="s">
        <v>388</v>
      </c>
      <c r="B278" s="380" t="s">
        <v>82</v>
      </c>
      <c r="C278" s="380" t="s">
        <v>94</v>
      </c>
    </row>
    <row r="279" spans="1:3" s="380" customFormat="1">
      <c r="A279" s="380" t="s">
        <v>1085</v>
      </c>
    </row>
    <row r="280" spans="1:3" s="380" customFormat="1">
      <c r="A280" s="380" t="s">
        <v>1219</v>
      </c>
    </row>
    <row r="281" spans="1:3" s="380" customFormat="1">
      <c r="A281" s="380" t="s">
        <v>272</v>
      </c>
    </row>
    <row r="282" spans="1:3" s="380" customFormat="1">
      <c r="A282" s="380" t="s">
        <v>337</v>
      </c>
    </row>
    <row r="283" spans="1:3" s="380" customFormat="1">
      <c r="A283" s="380" t="s">
        <v>835</v>
      </c>
    </row>
    <row r="284" spans="1:3" s="380" customFormat="1">
      <c r="A284" s="380" t="s">
        <v>834</v>
      </c>
    </row>
    <row r="285" spans="1:3" s="380" customFormat="1">
      <c r="A285" s="380" t="s">
        <v>308</v>
      </c>
    </row>
    <row r="286" spans="1:3" s="380" customFormat="1">
      <c r="A286" s="380" t="s">
        <v>1229</v>
      </c>
    </row>
    <row r="287" spans="1:3" s="380" customFormat="1">
      <c r="A287" s="380" t="s">
        <v>838</v>
      </c>
    </row>
    <row r="288" spans="1:3" s="380" customFormat="1">
      <c r="A288" s="380" t="s">
        <v>1159</v>
      </c>
    </row>
    <row r="289" spans="1:1" s="380" customFormat="1">
      <c r="A289" s="380" t="s">
        <v>391</v>
      </c>
    </row>
    <row r="290" spans="1:1" s="380" customFormat="1">
      <c r="A290" s="380" t="s">
        <v>430</v>
      </c>
    </row>
    <row r="291" spans="1:1" s="380" customFormat="1">
      <c r="A291" s="380" t="s">
        <v>432</v>
      </c>
    </row>
    <row r="292" spans="1:1" s="380" customFormat="1">
      <c r="A292" s="380" t="s">
        <v>434</v>
      </c>
    </row>
    <row r="293" spans="1:1" s="380" customFormat="1">
      <c r="A293" s="380" t="s">
        <v>172</v>
      </c>
    </row>
    <row r="294" spans="1:1" s="380" customFormat="1">
      <c r="A294" s="380" t="s">
        <v>1163</v>
      </c>
    </row>
    <row r="295" spans="1:1" s="380" customFormat="1">
      <c r="A295" s="380" t="s">
        <v>174</v>
      </c>
    </row>
    <row r="296" spans="1:1" s="380" customFormat="1">
      <c r="A296" s="380" t="s">
        <v>436</v>
      </c>
    </row>
    <row r="297" spans="1:1" s="380" customFormat="1">
      <c r="A297" s="380" t="s">
        <v>863</v>
      </c>
    </row>
    <row r="298" spans="1:1" s="380" customFormat="1">
      <c r="A298" s="380" t="s">
        <v>1083</v>
      </c>
    </row>
    <row r="299" spans="1:1" s="380" customFormat="1">
      <c r="A299" s="380" t="s">
        <v>438</v>
      </c>
    </row>
    <row r="300" spans="1:1" s="380" customFormat="1">
      <c r="A300" s="380" t="s">
        <v>440</v>
      </c>
    </row>
    <row r="301" spans="1:1" s="380" customFormat="1">
      <c r="A301" s="380" t="s">
        <v>199</v>
      </c>
    </row>
    <row r="302" spans="1:1" s="380" customFormat="1">
      <c r="A302" s="380" t="s">
        <v>311</v>
      </c>
    </row>
    <row r="303" spans="1:1" s="380" customFormat="1">
      <c r="A303" s="380" t="s">
        <v>194</v>
      </c>
    </row>
    <row r="304" spans="1:1" s="380" customFormat="1">
      <c r="A304" s="380" t="s">
        <v>1213</v>
      </c>
    </row>
    <row r="305" spans="1:1" s="380" customFormat="1">
      <c r="A305" s="380" t="s">
        <v>442</v>
      </c>
    </row>
    <row r="306" spans="1:1" s="380" customFormat="1">
      <c r="A306" s="380" t="s">
        <v>444</v>
      </c>
    </row>
    <row r="307" spans="1:1" s="380" customFormat="1">
      <c r="A307" s="380" t="s">
        <v>446</v>
      </c>
    </row>
    <row r="308" spans="1:1" s="380" customFormat="1">
      <c r="A308" s="380" t="s">
        <v>232</v>
      </c>
    </row>
    <row r="309" spans="1:1" s="380" customFormat="1">
      <c r="A309" s="380" t="s">
        <v>234</v>
      </c>
    </row>
    <row r="310" spans="1:1" s="380" customFormat="1">
      <c r="A310" s="380" t="s">
        <v>237</v>
      </c>
    </row>
    <row r="311" spans="1:1" s="380" customFormat="1">
      <c r="A311" s="380" t="s">
        <v>239</v>
      </c>
    </row>
    <row r="312" spans="1:1" s="380" customFormat="1">
      <c r="A312" s="380" t="s">
        <v>861</v>
      </c>
    </row>
    <row r="313" spans="1:1" s="380" customFormat="1">
      <c r="A313" s="380" t="s">
        <v>313</v>
      </c>
    </row>
    <row r="314" spans="1:1" s="380" customFormat="1">
      <c r="A314" s="380" t="s">
        <v>784</v>
      </c>
    </row>
    <row r="315" spans="1:1" s="380" customFormat="1">
      <c r="A315" s="380" t="s">
        <v>448</v>
      </c>
    </row>
    <row r="316" spans="1:1" s="380" customFormat="1">
      <c r="A316" s="380" t="s">
        <v>317</v>
      </c>
    </row>
    <row r="317" spans="1:1" s="380" customFormat="1">
      <c r="A317" s="380" t="s">
        <v>1107</v>
      </c>
    </row>
    <row r="318" spans="1:1" s="380" customFormat="1">
      <c r="A318" s="380" t="s">
        <v>450</v>
      </c>
    </row>
    <row r="319" spans="1:1" s="380" customFormat="1">
      <c r="A319" s="380" t="s">
        <v>319</v>
      </c>
    </row>
    <row r="320" spans="1:1" s="380" customFormat="1">
      <c r="A320" s="380" t="s">
        <v>452</v>
      </c>
    </row>
    <row r="321" spans="1:1" s="380" customFormat="1">
      <c r="A321" s="380" t="s">
        <v>410</v>
      </c>
    </row>
    <row r="322" spans="1:1" s="380" customFormat="1">
      <c r="A322" s="380" t="s">
        <v>241</v>
      </c>
    </row>
    <row r="323" spans="1:1" s="380" customFormat="1">
      <c r="A323" s="380" t="s">
        <v>855</v>
      </c>
    </row>
    <row r="324" spans="1:1" s="380" customFormat="1">
      <c r="A324" s="380" t="s">
        <v>276</v>
      </c>
    </row>
    <row r="325" spans="1:1" s="380" customFormat="1">
      <c r="A325" s="380" t="s">
        <v>783</v>
      </c>
    </row>
    <row r="326" spans="1:1" s="380" customFormat="1">
      <c r="A326" s="380" t="s">
        <v>602</v>
      </c>
    </row>
    <row r="327" spans="1:1" s="380" customFormat="1">
      <c r="A327" s="380" t="s">
        <v>279</v>
      </c>
    </row>
    <row r="328" spans="1:1" s="380" customFormat="1">
      <c r="A328" s="380" t="s">
        <v>1162</v>
      </c>
    </row>
    <row r="329" spans="1:1" s="380" customFormat="1">
      <c r="A329" s="380" t="s">
        <v>456</v>
      </c>
    </row>
    <row r="330" spans="1:1" s="380" customFormat="1">
      <c r="A330" s="380" t="s">
        <v>340</v>
      </c>
    </row>
    <row r="331" spans="1:1" s="380" customFormat="1">
      <c r="A331" s="380" t="s">
        <v>459</v>
      </c>
    </row>
    <row r="332" spans="1:1" s="380" customFormat="1">
      <c r="A332" s="380" t="s">
        <v>845</v>
      </c>
    </row>
    <row r="333" spans="1:1" s="380" customFormat="1">
      <c r="A333" s="380" t="s">
        <v>282</v>
      </c>
    </row>
    <row r="334" spans="1:1" s="380" customFormat="1">
      <c r="A334" s="380" t="s">
        <v>461</v>
      </c>
    </row>
    <row r="335" spans="1:1" s="380" customFormat="1">
      <c r="A335" s="380" t="s">
        <v>463</v>
      </c>
    </row>
    <row r="336" spans="1:1" s="380" customFormat="1">
      <c r="A336" s="380" t="s">
        <v>465</v>
      </c>
    </row>
    <row r="337" spans="1:1" s="380" customFormat="1">
      <c r="A337" s="380" t="s">
        <v>1158</v>
      </c>
    </row>
    <row r="338" spans="1:1" s="380" customFormat="1">
      <c r="A338" s="380" t="s">
        <v>285</v>
      </c>
    </row>
    <row r="339" spans="1:1" s="380" customFormat="1">
      <c r="A339" s="380" t="s">
        <v>843</v>
      </c>
    </row>
    <row r="340" spans="1:1" s="380" customFormat="1">
      <c r="A340" s="380" t="s">
        <v>467</v>
      </c>
    </row>
    <row r="341" spans="1:1" s="380" customFormat="1">
      <c r="A341" s="380" t="s">
        <v>412</v>
      </c>
    </row>
    <row r="342" spans="1:1" s="380" customFormat="1">
      <c r="A342" s="380" t="s">
        <v>124</v>
      </c>
    </row>
    <row r="343" spans="1:1" s="380" customFormat="1">
      <c r="A343" s="380" t="s">
        <v>127</v>
      </c>
    </row>
    <row r="344" spans="1:1" s="380" customFormat="1">
      <c r="A344" s="380" t="s">
        <v>201</v>
      </c>
    </row>
    <row r="345" spans="1:1" s="380" customFormat="1">
      <c r="A345" s="380" t="s">
        <v>130</v>
      </c>
    </row>
    <row r="346" spans="1:1" s="380" customFormat="1">
      <c r="A346" s="380" t="s">
        <v>203</v>
      </c>
    </row>
    <row r="347" spans="1:1" s="380" customFormat="1">
      <c r="A347" s="380" t="s">
        <v>133</v>
      </c>
    </row>
    <row r="348" spans="1:1" s="380" customFormat="1">
      <c r="A348" s="380" t="s">
        <v>205</v>
      </c>
    </row>
    <row r="349" spans="1:1" s="380" customFormat="1">
      <c r="A349" s="380" t="s">
        <v>178</v>
      </c>
    </row>
    <row r="350" spans="1:1" s="380" customFormat="1">
      <c r="A350" s="380" t="s">
        <v>136</v>
      </c>
    </row>
    <row r="351" spans="1:1" s="380" customFormat="1">
      <c r="A351" s="380" t="s">
        <v>180</v>
      </c>
    </row>
    <row r="352" spans="1:1" s="380" customFormat="1">
      <c r="A352" s="380" t="s">
        <v>393</v>
      </c>
    </row>
    <row r="353" spans="1:1" s="380" customFormat="1">
      <c r="A353" s="380" t="s">
        <v>785</v>
      </c>
    </row>
    <row r="354" spans="1:1" s="380" customFormat="1">
      <c r="A354" s="380" t="s">
        <v>1096</v>
      </c>
    </row>
    <row r="355" spans="1:1" s="380" customFormat="1">
      <c r="A355" s="380" t="s">
        <v>415</v>
      </c>
    </row>
    <row r="356" spans="1:1" s="380" customFormat="1">
      <c r="A356" s="380" t="s">
        <v>470</v>
      </c>
    </row>
    <row r="357" spans="1:1" s="380" customFormat="1">
      <c r="A357" s="380" t="s">
        <v>1161</v>
      </c>
    </row>
    <row r="358" spans="1:1" s="380" customFormat="1">
      <c r="A358" s="380" t="s">
        <v>1082</v>
      </c>
    </row>
    <row r="359" spans="1:1" s="380" customFormat="1">
      <c r="A359" s="380" t="s">
        <v>832</v>
      </c>
    </row>
    <row r="360" spans="1:1" s="380" customFormat="1">
      <c r="A360" s="380" t="s">
        <v>244</v>
      </c>
    </row>
    <row r="361" spans="1:1" s="380" customFormat="1">
      <c r="A361" s="380" t="s">
        <v>865</v>
      </c>
    </row>
    <row r="362" spans="1:1" s="380" customFormat="1">
      <c r="A362" s="380" t="s">
        <v>249</v>
      </c>
    </row>
    <row r="363" spans="1:1" s="380" customFormat="1">
      <c r="A363" s="380" t="s">
        <v>196</v>
      </c>
    </row>
    <row r="364" spans="1:1" s="380" customFormat="1">
      <c r="A364" s="380" t="s">
        <v>473</v>
      </c>
    </row>
    <row r="365" spans="1:1" s="380" customFormat="1">
      <c r="A365" s="380" t="s">
        <v>866</v>
      </c>
    </row>
    <row r="366" spans="1:1" s="380" customFormat="1">
      <c r="A366" s="380" t="s">
        <v>867</v>
      </c>
    </row>
    <row r="367" spans="1:1" s="380" customFormat="1">
      <c r="A367" s="380" t="s">
        <v>844</v>
      </c>
    </row>
    <row r="368" spans="1:1" s="380" customFormat="1">
      <c r="A368" s="380" t="s">
        <v>475</v>
      </c>
    </row>
    <row r="369" spans="1:1" s="380" customFormat="1">
      <c r="A369" s="380" t="s">
        <v>477</v>
      </c>
    </row>
    <row r="370" spans="1:1" s="380" customFormat="1">
      <c r="A370" s="380" t="s">
        <v>121</v>
      </c>
    </row>
    <row r="371" spans="1:1" s="380" customFormat="1">
      <c r="A371" s="380" t="s">
        <v>142</v>
      </c>
    </row>
    <row r="372" spans="1:1" s="380" customFormat="1">
      <c r="A372" s="380" t="s">
        <v>479</v>
      </c>
    </row>
    <row r="373" spans="1:1" s="380" customFormat="1">
      <c r="A373" s="380" t="s">
        <v>288</v>
      </c>
    </row>
    <row r="374" spans="1:1" s="380" customFormat="1">
      <c r="A374" s="380" t="s">
        <v>591</v>
      </c>
    </row>
    <row r="375" spans="1:1" s="380" customFormat="1">
      <c r="A375" s="380" t="s">
        <v>593</v>
      </c>
    </row>
    <row r="376" spans="1:1" s="380" customFormat="1">
      <c r="A376" s="380" t="s">
        <v>595</v>
      </c>
    </row>
    <row r="377" spans="1:1" s="380" customFormat="1">
      <c r="A377" s="380" t="s">
        <v>597</v>
      </c>
    </row>
    <row r="378" spans="1:1" s="380" customFormat="1">
      <c r="A378" s="380" t="s">
        <v>910</v>
      </c>
    </row>
    <row r="379" spans="1:1" s="380" customFormat="1">
      <c r="A379" s="380" t="s">
        <v>481</v>
      </c>
    </row>
    <row r="380" spans="1:1" s="380" customFormat="1">
      <c r="A380" s="380" t="s">
        <v>484</v>
      </c>
    </row>
    <row r="381" spans="1:1" s="380" customFormat="1">
      <c r="A381" s="380" t="s">
        <v>291</v>
      </c>
    </row>
    <row r="382" spans="1:1" s="380" customFormat="1">
      <c r="A382" s="380" t="s">
        <v>487</v>
      </c>
    </row>
    <row r="383" spans="1:1" s="380" customFormat="1">
      <c r="A383" s="380" t="s">
        <v>489</v>
      </c>
    </row>
    <row r="384" spans="1:1" s="380" customFormat="1">
      <c r="A384" s="380" t="s">
        <v>491</v>
      </c>
    </row>
    <row r="385" spans="1:1" s="380" customFormat="1">
      <c r="A385" s="380" t="s">
        <v>398</v>
      </c>
    </row>
    <row r="386" spans="1:1" s="380" customFormat="1">
      <c r="A386" s="380" t="s">
        <v>343</v>
      </c>
    </row>
    <row r="387" spans="1:1" s="380" customFormat="1">
      <c r="A387" s="380" t="s">
        <v>818</v>
      </c>
    </row>
    <row r="388" spans="1:1" s="380" customFormat="1">
      <c r="A388" s="380" t="s">
        <v>493</v>
      </c>
    </row>
    <row r="389" spans="1:1" s="380" customFormat="1">
      <c r="A389" s="380" t="s">
        <v>495</v>
      </c>
    </row>
    <row r="390" spans="1:1" s="380" customFormat="1">
      <c r="A390" s="380" t="s">
        <v>347</v>
      </c>
    </row>
    <row r="391" spans="1:1" s="380" customFormat="1">
      <c r="A391" s="380" t="s">
        <v>350</v>
      </c>
    </row>
    <row r="392" spans="1:1" s="380" customFormat="1">
      <c r="A392" s="380" t="s">
        <v>497</v>
      </c>
    </row>
    <row r="393" spans="1:1" s="380" customFormat="1">
      <c r="A393" s="380" t="s">
        <v>353</v>
      </c>
    </row>
    <row r="394" spans="1:1" s="380" customFormat="1">
      <c r="A394" s="380" t="s">
        <v>147</v>
      </c>
    </row>
    <row r="395" spans="1:1" s="380" customFormat="1">
      <c r="A395" s="380" t="s">
        <v>1084</v>
      </c>
    </row>
    <row r="396" spans="1:1" s="380" customFormat="1">
      <c r="A396" s="380" t="s">
        <v>149</v>
      </c>
    </row>
    <row r="397" spans="1:1" s="380" customFormat="1">
      <c r="A397" s="380" t="s">
        <v>499</v>
      </c>
    </row>
    <row r="398" spans="1:1" s="380" customFormat="1">
      <c r="A398" s="380" t="s">
        <v>151</v>
      </c>
    </row>
    <row r="399" spans="1:1" s="380" customFormat="1">
      <c r="A399" s="380" t="s">
        <v>357</v>
      </c>
    </row>
    <row r="400" spans="1:1" s="380" customFormat="1">
      <c r="A400" s="380" t="s">
        <v>502</v>
      </c>
    </row>
    <row r="401" spans="1:1" s="380" customFormat="1">
      <c r="A401" s="380" t="s">
        <v>401</v>
      </c>
    </row>
    <row r="402" spans="1:1" s="380" customFormat="1">
      <c r="A402" s="380" t="s">
        <v>505</v>
      </c>
    </row>
    <row r="403" spans="1:1" s="380" customFormat="1">
      <c r="A403" s="380" t="s">
        <v>507</v>
      </c>
    </row>
    <row r="404" spans="1:1" s="380" customFormat="1">
      <c r="A404" s="380" t="s">
        <v>361</v>
      </c>
    </row>
    <row r="405" spans="1:1" s="380" customFormat="1">
      <c r="A405" s="380" t="s">
        <v>509</v>
      </c>
    </row>
    <row r="406" spans="1:1" s="380" customFormat="1">
      <c r="A406" s="380" t="s">
        <v>909</v>
      </c>
    </row>
    <row r="407" spans="1:1" s="380" customFormat="1">
      <c r="A407" s="380" t="s">
        <v>513</v>
      </c>
    </row>
    <row r="408" spans="1:1" s="380" customFormat="1">
      <c r="A408" s="380" t="s">
        <v>516</v>
      </c>
    </row>
    <row r="409" spans="1:1" s="380" customFormat="1">
      <c r="A409" s="380" t="s">
        <v>518</v>
      </c>
    </row>
    <row r="410" spans="1:1" s="380" customFormat="1">
      <c r="A410" s="380" t="s">
        <v>153</v>
      </c>
    </row>
    <row r="411" spans="1:1" s="380" customFormat="1">
      <c r="A411" s="380" t="s">
        <v>321</v>
      </c>
    </row>
    <row r="412" spans="1:1" s="380" customFormat="1">
      <c r="A412" s="380" t="s">
        <v>294</v>
      </c>
    </row>
    <row r="413" spans="1:1" s="380" customFormat="1">
      <c r="A413" s="380" t="s">
        <v>520</v>
      </c>
    </row>
    <row r="414" spans="1:1" s="380" customFormat="1">
      <c r="A414" s="380" t="s">
        <v>1218</v>
      </c>
    </row>
    <row r="415" spans="1:1" s="380" customFormat="1">
      <c r="A415" s="380" t="s">
        <v>522</v>
      </c>
    </row>
    <row r="416" spans="1:1" s="380" customFormat="1">
      <c r="A416" s="380" t="s">
        <v>419</v>
      </c>
    </row>
    <row r="417" spans="1:1" s="380" customFormat="1">
      <c r="A417" s="380" t="s">
        <v>208</v>
      </c>
    </row>
    <row r="418" spans="1:1" s="380" customFormat="1">
      <c r="A418" s="380" t="s">
        <v>851</v>
      </c>
    </row>
    <row r="419" spans="1:1" s="380" customFormat="1">
      <c r="A419" s="380" t="s">
        <v>211</v>
      </c>
    </row>
    <row r="420" spans="1:1" s="380" customFormat="1">
      <c r="A420" s="380" t="s">
        <v>213</v>
      </c>
    </row>
    <row r="421" spans="1:1" s="380" customFormat="1">
      <c r="A421" s="380" t="s">
        <v>182</v>
      </c>
    </row>
    <row r="422" spans="1:1" s="380" customFormat="1">
      <c r="A422" s="380" t="s">
        <v>185</v>
      </c>
    </row>
    <row r="423" spans="1:1" s="380" customFormat="1">
      <c r="A423" s="380" t="s">
        <v>187</v>
      </c>
    </row>
    <row r="424" spans="1:1" s="380" customFormat="1">
      <c r="A424" s="380" t="s">
        <v>847</v>
      </c>
    </row>
    <row r="425" spans="1:1" s="380" customFormat="1">
      <c r="A425" s="380" t="s">
        <v>524</v>
      </c>
    </row>
    <row r="426" spans="1:1" s="380" customFormat="1">
      <c r="A426" s="380" t="s">
        <v>1216</v>
      </c>
    </row>
    <row r="427" spans="1:1" s="380" customFormat="1">
      <c r="A427" s="380" t="s">
        <v>325</v>
      </c>
    </row>
    <row r="428" spans="1:1" s="380" customFormat="1">
      <c r="A428" s="380" t="s">
        <v>1217</v>
      </c>
    </row>
    <row r="429" spans="1:1" s="380" customFormat="1">
      <c r="A429" s="380" t="s">
        <v>587</v>
      </c>
    </row>
    <row r="430" spans="1:1" s="380" customFormat="1">
      <c r="A430" s="380" t="s">
        <v>589</v>
      </c>
    </row>
    <row r="431" spans="1:1" s="380" customFormat="1">
      <c r="A431" s="380" t="s">
        <v>216</v>
      </c>
    </row>
    <row r="432" spans="1:1" s="380" customFormat="1">
      <c r="A432" s="380" t="s">
        <v>527</v>
      </c>
    </row>
    <row r="433" spans="1:1" s="380" customFormat="1">
      <c r="A433" s="380" t="s">
        <v>1086</v>
      </c>
    </row>
    <row r="434" spans="1:1" s="380" customFormat="1">
      <c r="A434" s="380" t="s">
        <v>426</v>
      </c>
    </row>
    <row r="435" spans="1:1" s="380" customFormat="1">
      <c r="A435" s="380" t="s">
        <v>155</v>
      </c>
    </row>
    <row r="436" spans="1:1" s="380" customFormat="1">
      <c r="A436" s="380" t="s">
        <v>870</v>
      </c>
    </row>
    <row r="437" spans="1:1" s="380" customFormat="1">
      <c r="A437" s="380" t="s">
        <v>1081</v>
      </c>
    </row>
    <row r="438" spans="1:1" s="380" customFormat="1">
      <c r="A438" s="380" t="s">
        <v>189</v>
      </c>
    </row>
    <row r="439" spans="1:1" s="380" customFormat="1">
      <c r="A439" s="380" t="s">
        <v>848</v>
      </c>
    </row>
    <row r="440" spans="1:1" s="380" customFormat="1">
      <c r="A440" s="380" t="s">
        <v>219</v>
      </c>
    </row>
    <row r="441" spans="1:1" s="380" customFormat="1">
      <c r="A441" s="380" t="s">
        <v>364</v>
      </c>
    </row>
    <row r="442" spans="1:1" s="380" customFormat="1">
      <c r="A442" s="380" t="s">
        <v>297</v>
      </c>
    </row>
    <row r="443" spans="1:1" s="380" customFormat="1">
      <c r="A443" s="380" t="s">
        <v>529</v>
      </c>
    </row>
    <row r="444" spans="1:1" s="380" customFormat="1">
      <c r="A444" s="380" t="s">
        <v>531</v>
      </c>
    </row>
    <row r="445" spans="1:1" s="380" customFormat="1">
      <c r="A445" s="380" t="s">
        <v>251</v>
      </c>
    </row>
    <row r="446" spans="1:1" s="380" customFormat="1">
      <c r="A446" s="380" t="s">
        <v>255</v>
      </c>
    </row>
    <row r="447" spans="1:1" s="380" customFormat="1">
      <c r="A447" s="380" t="s">
        <v>688</v>
      </c>
    </row>
    <row r="448" spans="1:1" s="380" customFormat="1">
      <c r="A448" s="380" t="s">
        <v>261</v>
      </c>
    </row>
    <row r="449" spans="1:1" s="380" customFormat="1">
      <c r="A449" s="380" t="s">
        <v>1160</v>
      </c>
    </row>
    <row r="450" spans="1:1" s="380" customFormat="1">
      <c r="A450" s="380" t="s">
        <v>1113</v>
      </c>
    </row>
    <row r="451" spans="1:1" s="380" customFormat="1">
      <c r="A451" s="380" t="s">
        <v>853</v>
      </c>
    </row>
    <row r="452" spans="1:1" s="380" customFormat="1">
      <c r="A452" s="380" t="s">
        <v>1156</v>
      </c>
    </row>
    <row r="453" spans="1:1" s="380" customFormat="1">
      <c r="A453" s="380" t="s">
        <v>265</v>
      </c>
    </row>
    <row r="454" spans="1:1" s="380" customFormat="1">
      <c r="A454" s="380" t="s">
        <v>533</v>
      </c>
    </row>
    <row r="455" spans="1:1" s="380" customFormat="1">
      <c r="A455" s="380" t="s">
        <v>1117</v>
      </c>
    </row>
    <row r="456" spans="1:1" s="380" customFormat="1">
      <c r="A456" s="380" t="s">
        <v>535</v>
      </c>
    </row>
    <row r="457" spans="1:1" s="380" customFormat="1">
      <c r="A457" s="380" t="s">
        <v>537</v>
      </c>
    </row>
    <row r="458" spans="1:1" s="380" customFormat="1">
      <c r="A458" s="380" t="s">
        <v>222</v>
      </c>
    </row>
    <row r="459" spans="1:1" s="380" customFormat="1">
      <c r="A459" s="380" t="s">
        <v>302</v>
      </c>
    </row>
    <row r="460" spans="1:1" s="380" customFormat="1">
      <c r="A460" s="380" t="s">
        <v>368</v>
      </c>
    </row>
    <row r="461" spans="1:1" s="380" customFormat="1">
      <c r="A461" s="380" t="s">
        <v>840</v>
      </c>
    </row>
    <row r="462" spans="1:1" s="380" customFormat="1">
      <c r="A462" s="380" t="s">
        <v>540</v>
      </c>
    </row>
    <row r="463" spans="1:1" s="380" customFormat="1">
      <c r="A463" s="380" t="s">
        <v>370</v>
      </c>
    </row>
    <row r="464" spans="1:1" s="380" customFormat="1">
      <c r="A464" s="380" t="s">
        <v>192</v>
      </c>
    </row>
    <row r="465" spans="1:1" s="380" customFormat="1">
      <c r="A465" s="380" t="s">
        <v>543</v>
      </c>
    </row>
    <row r="466" spans="1:1" s="380" customFormat="1">
      <c r="A466" s="380" t="s">
        <v>546</v>
      </c>
    </row>
    <row r="467" spans="1:1" s="380" customFormat="1">
      <c r="A467" s="380" t="s">
        <v>849</v>
      </c>
    </row>
    <row r="468" spans="1:1" s="380" customFormat="1">
      <c r="A468" s="380" t="s">
        <v>849</v>
      </c>
    </row>
    <row r="469" spans="1:1" s="380" customFormat="1">
      <c r="A469" s="380" t="s">
        <v>548</v>
      </c>
    </row>
    <row r="470" spans="1:1" s="380" customFormat="1">
      <c r="A470" s="380" t="s">
        <v>550</v>
      </c>
    </row>
    <row r="471" spans="1:1" s="380" customFormat="1">
      <c r="A471" s="380" t="s">
        <v>933</v>
      </c>
    </row>
    <row r="472" spans="1:1" s="380" customFormat="1">
      <c r="A472" s="380" t="s">
        <v>553</v>
      </c>
    </row>
    <row r="473" spans="1:1" s="380" customFormat="1">
      <c r="A473" s="380" t="s">
        <v>556</v>
      </c>
    </row>
    <row r="474" spans="1:1" s="380" customFormat="1">
      <c r="A474" s="380" t="s">
        <v>374</v>
      </c>
    </row>
    <row r="475" spans="1:1" s="380" customFormat="1">
      <c r="A475" s="380" t="s">
        <v>558</v>
      </c>
    </row>
    <row r="476" spans="1:1" s="380" customFormat="1">
      <c r="A476" s="380" t="s">
        <v>377</v>
      </c>
    </row>
    <row r="477" spans="1:1" s="380" customFormat="1">
      <c r="A477" s="380" t="s">
        <v>157</v>
      </c>
    </row>
    <row r="478" spans="1:1" s="380" customFormat="1">
      <c r="A478" s="380" t="s">
        <v>561</v>
      </c>
    </row>
    <row r="479" spans="1:1" s="380" customFormat="1">
      <c r="A479" s="380" t="s">
        <v>564</v>
      </c>
    </row>
    <row r="480" spans="1:1" s="380" customFormat="1">
      <c r="A480" s="380" t="s">
        <v>566</v>
      </c>
    </row>
    <row r="481" spans="1:1" s="380" customFormat="1">
      <c r="A481" s="380" t="s">
        <v>160</v>
      </c>
    </row>
    <row r="482" spans="1:1" s="380" customFormat="1">
      <c r="A482" s="380" t="s">
        <v>911</v>
      </c>
    </row>
    <row r="483" spans="1:1" s="380" customFormat="1">
      <c r="A483" s="380" t="s">
        <v>820</v>
      </c>
    </row>
    <row r="484" spans="1:1" s="380" customFormat="1">
      <c r="A484" s="380" t="s">
        <v>328</v>
      </c>
    </row>
    <row r="485" spans="1:1" s="380" customFormat="1">
      <c r="A485" s="380" t="s">
        <v>569</v>
      </c>
    </row>
    <row r="486" spans="1:1" s="380" customFormat="1">
      <c r="A486" s="380" t="s">
        <v>382</v>
      </c>
    </row>
    <row r="487" spans="1:1" s="380" customFormat="1">
      <c r="A487" s="380" t="s">
        <v>1214</v>
      </c>
    </row>
    <row r="488" spans="1:1" s="380" customFormat="1">
      <c r="A488" s="380" t="s">
        <v>1215</v>
      </c>
    </row>
    <row r="489" spans="1:1" s="380" customFormat="1">
      <c r="A489" s="380" t="s">
        <v>162</v>
      </c>
    </row>
    <row r="490" spans="1:1" s="380" customFormat="1">
      <c r="A490" s="380" t="s">
        <v>852</v>
      </c>
    </row>
    <row r="491" spans="1:1" s="380" customFormat="1">
      <c r="A491" s="380" t="s">
        <v>571</v>
      </c>
    </row>
    <row r="492" spans="1:1" s="380" customFormat="1">
      <c r="A492" s="380" t="s">
        <v>573</v>
      </c>
    </row>
    <row r="493" spans="1:1" s="380" customFormat="1">
      <c r="A493" s="380" t="s">
        <v>575</v>
      </c>
    </row>
    <row r="494" spans="1:1" s="380" customFormat="1">
      <c r="A494" s="380" t="s">
        <v>577</v>
      </c>
    </row>
    <row r="495" spans="1:1" s="380" customFormat="1">
      <c r="A495" s="380" t="s">
        <v>579</v>
      </c>
    </row>
    <row r="496" spans="1:1" s="380" customFormat="1">
      <c r="A496" s="380" t="s">
        <v>305</v>
      </c>
    </row>
    <row r="497" spans="1:1" s="380" customFormat="1">
      <c r="A497" s="380" t="s">
        <v>165</v>
      </c>
    </row>
    <row r="498" spans="1:1" s="380" customFormat="1">
      <c r="A498" s="380" t="s">
        <v>581</v>
      </c>
    </row>
    <row r="499" spans="1:1" s="380" customFormat="1">
      <c r="A499" s="380" t="s">
        <v>854</v>
      </c>
    </row>
    <row r="500" spans="1:1" s="380" customFormat="1">
      <c r="A500" s="380" t="s">
        <v>167</v>
      </c>
    </row>
    <row r="501" spans="1:1" s="380" customFormat="1">
      <c r="A501" s="380" t="s">
        <v>268</v>
      </c>
    </row>
    <row r="502" spans="1:1" s="380" customFormat="1">
      <c r="A502" s="380" t="s">
        <v>599</v>
      </c>
    </row>
    <row r="503" spans="1:1" s="380" customFormat="1">
      <c r="A503" s="380" t="s">
        <v>227</v>
      </c>
    </row>
    <row r="504" spans="1:1" s="380" customFormat="1">
      <c r="A504" s="380" t="s">
        <v>406</v>
      </c>
    </row>
    <row r="505" spans="1:1" s="380" customFormat="1">
      <c r="A505" s="380" t="s">
        <v>169</v>
      </c>
    </row>
    <row r="506" spans="1:1" s="380" customFormat="1">
      <c r="A506" s="380" t="s">
        <v>230</v>
      </c>
    </row>
    <row r="507" spans="1:1" s="380" customFormat="1">
      <c r="A507" s="380" t="s">
        <v>331</v>
      </c>
    </row>
    <row r="508" spans="1:1" s="380" customFormat="1">
      <c r="A508" s="380" t="s">
        <v>334</v>
      </c>
    </row>
    <row r="509" spans="1:1" s="380" customFormat="1">
      <c r="A509" s="380" t="s">
        <v>837</v>
      </c>
    </row>
    <row r="510" spans="1:1" s="380" customFormat="1">
      <c r="A510" s="380" t="s">
        <v>841</v>
      </c>
    </row>
    <row r="511" spans="1:1" s="380" customFormat="1">
      <c r="A511" s="380" t="s">
        <v>385</v>
      </c>
    </row>
    <row r="512" spans="1:1" s="380" customFormat="1">
      <c r="A512" s="380" t="s">
        <v>583</v>
      </c>
    </row>
    <row r="513" spans="1:1" s="380" customFormat="1">
      <c r="A513" s="380" t="s">
        <v>585</v>
      </c>
    </row>
    <row r="514" spans="1:1" s="380" customFormat="1">
      <c r="A514" s="380" t="s">
        <v>388</v>
      </c>
    </row>
    <row r="515" spans="1:1" s="380" customFormat="1">
      <c r="A515" s="380" t="s">
        <v>1219</v>
      </c>
    </row>
    <row r="520" spans="1:1">
      <c r="A520" t="s">
        <v>797</v>
      </c>
    </row>
    <row r="522" spans="1:1">
      <c r="A522" t="s">
        <v>869</v>
      </c>
    </row>
    <row r="523" spans="1:1">
      <c r="A523" t="s">
        <v>912</v>
      </c>
    </row>
  </sheetData>
  <sheetProtection sort="0" autoFilter="0"/>
  <sortState ref="A3:GT500">
    <sortCondition ref="A1"/>
  </sortState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AO42"/>
  <sheetViews>
    <sheetView topLeftCell="K1" zoomScale="80" zoomScaleNormal="80" workbookViewId="0">
      <selection activeCell="A9" sqref="A9"/>
    </sheetView>
  </sheetViews>
  <sheetFormatPr defaultColWidth="11.42578125" defaultRowHeight="12"/>
  <cols>
    <col min="1" max="1" width="14.28515625" style="22" bestFit="1" customWidth="1"/>
    <col min="2" max="2" width="13.7109375" style="22" customWidth="1"/>
    <col min="3" max="3" width="19.42578125" style="22" bestFit="1" customWidth="1"/>
    <col min="4" max="4" width="24.85546875" style="22" bestFit="1" customWidth="1"/>
    <col min="5" max="6" width="30.42578125" style="22" customWidth="1"/>
    <col min="7" max="8" width="16.7109375" style="22" customWidth="1"/>
    <col min="9" max="9" width="11" style="22" customWidth="1"/>
    <col min="10" max="10" width="9.28515625" style="22" customWidth="1"/>
    <col min="11" max="11" width="6.140625" style="22" customWidth="1"/>
    <col min="12" max="12" width="10.140625" style="22" customWidth="1"/>
    <col min="13" max="13" width="5" style="22" customWidth="1"/>
    <col min="14" max="14" width="3.7109375" style="22" customWidth="1"/>
    <col min="15" max="15" width="34.7109375" style="22" bestFit="1" customWidth="1"/>
    <col min="16" max="16" width="6.28515625" style="22" customWidth="1"/>
    <col min="17" max="17" width="6.85546875" style="22" customWidth="1"/>
    <col min="18" max="18" width="5.85546875" style="22" customWidth="1"/>
    <col min="19" max="19" width="5" style="22" customWidth="1"/>
    <col min="20" max="20" width="6.28515625" style="22" customWidth="1"/>
    <col min="21" max="22" width="8.42578125" style="22" customWidth="1"/>
    <col min="23" max="23" width="8.140625" style="22" customWidth="1"/>
    <col min="24" max="24" width="4.85546875" style="22" customWidth="1"/>
    <col min="25" max="25" width="7.28515625" style="22" customWidth="1"/>
    <col min="26" max="26" width="7.85546875" style="22" customWidth="1"/>
    <col min="27" max="27" width="31.5703125" style="22" bestFit="1" customWidth="1"/>
    <col min="28" max="28" width="10.7109375" style="22" customWidth="1"/>
    <col min="29" max="29" width="10.5703125" style="22" customWidth="1"/>
    <col min="30" max="30" width="3.140625" style="22" customWidth="1"/>
    <col min="31" max="31" width="5.85546875" style="22" customWidth="1"/>
    <col min="32" max="32" width="38.85546875" style="22" bestFit="1" customWidth="1"/>
    <col min="33" max="33" width="3.140625" style="22" customWidth="1"/>
    <col min="34" max="35" width="11.42578125" style="22"/>
    <col min="36" max="36" width="3.140625" style="22" customWidth="1"/>
    <col min="37" max="37" width="12.42578125" style="37" customWidth="1"/>
    <col min="38" max="38" width="15.28515625" style="22" bestFit="1" customWidth="1"/>
    <col min="39" max="16384" width="11.42578125" style="22"/>
  </cols>
  <sheetData>
    <row r="1" spans="1:41">
      <c r="A1" s="35" t="s">
        <v>15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34" t="s">
        <v>627</v>
      </c>
      <c r="R1" s="23"/>
      <c r="S1" s="23"/>
      <c r="T1" s="23"/>
      <c r="U1" s="23"/>
      <c r="V1" s="23"/>
      <c r="W1" s="23"/>
      <c r="X1" s="23"/>
      <c r="Y1" s="23"/>
      <c r="Z1" s="23"/>
      <c r="AA1" s="36" t="s">
        <v>637</v>
      </c>
      <c r="AB1" s="36"/>
      <c r="AC1" s="36"/>
      <c r="AD1" s="41"/>
      <c r="AE1" s="64"/>
      <c r="AF1" s="64"/>
      <c r="AG1" s="39"/>
      <c r="AJ1" s="39"/>
      <c r="AL1" s="37"/>
      <c r="AM1" s="37"/>
      <c r="AN1" s="37"/>
      <c r="AO1" s="37"/>
    </row>
    <row r="2" spans="1:41" s="24" customFormat="1" ht="113.25">
      <c r="A2" s="32" t="s">
        <v>104</v>
      </c>
      <c r="B2" s="32" t="s">
        <v>65</v>
      </c>
      <c r="C2" s="32" t="s">
        <v>92</v>
      </c>
      <c r="D2" s="32" t="s">
        <v>93</v>
      </c>
      <c r="E2" s="32"/>
      <c r="F2" s="32" t="s">
        <v>1078</v>
      </c>
      <c r="G2" s="32" t="s">
        <v>59</v>
      </c>
      <c r="H2" s="32" t="s">
        <v>1142</v>
      </c>
      <c r="I2" s="32" t="s">
        <v>1</v>
      </c>
      <c r="J2" s="32" t="s">
        <v>88</v>
      </c>
      <c r="K2" s="32" t="s">
        <v>631</v>
      </c>
      <c r="L2" s="32" t="s">
        <v>108</v>
      </c>
      <c r="M2" s="32" t="s">
        <v>0</v>
      </c>
      <c r="N2" s="33" t="s">
        <v>636</v>
      </c>
      <c r="O2" s="32" t="s">
        <v>657</v>
      </c>
      <c r="P2" s="32" t="s">
        <v>632</v>
      </c>
      <c r="Q2" s="31" t="s">
        <v>626</v>
      </c>
      <c r="R2" s="31" t="s">
        <v>91</v>
      </c>
      <c r="S2" s="31" t="s">
        <v>653</v>
      </c>
      <c r="T2" s="31" t="s">
        <v>654</v>
      </c>
      <c r="U2" s="31" t="s">
        <v>640</v>
      </c>
      <c r="V2" s="31" t="s">
        <v>638</v>
      </c>
      <c r="W2" s="31" t="s">
        <v>864</v>
      </c>
      <c r="X2" s="31" t="s">
        <v>99</v>
      </c>
      <c r="Y2" s="31" t="s">
        <v>603</v>
      </c>
      <c r="Z2" s="31" t="s">
        <v>617</v>
      </c>
      <c r="AA2" s="37" t="s">
        <v>803</v>
      </c>
      <c r="AB2" s="37" t="s">
        <v>72</v>
      </c>
      <c r="AC2" s="37" t="s">
        <v>619</v>
      </c>
      <c r="AD2" s="38"/>
      <c r="AE2" s="65" t="s">
        <v>14</v>
      </c>
      <c r="AF2" s="66" t="s">
        <v>5</v>
      </c>
      <c r="AG2" s="42"/>
      <c r="AH2" s="24" t="s">
        <v>52</v>
      </c>
      <c r="AI2" s="24" t="s">
        <v>58</v>
      </c>
      <c r="AJ2" s="42"/>
      <c r="AK2" s="37" t="s">
        <v>916</v>
      </c>
      <c r="AL2" s="37" t="s">
        <v>917</v>
      </c>
      <c r="AM2" s="37" t="s">
        <v>931</v>
      </c>
      <c r="AN2" s="37" t="s">
        <v>28</v>
      </c>
      <c r="AO2" s="37"/>
    </row>
    <row r="3" spans="1:41">
      <c r="A3" s="22" t="s">
        <v>75</v>
      </c>
      <c r="B3" s="22" t="s">
        <v>75</v>
      </c>
      <c r="C3" s="22" t="s">
        <v>75</v>
      </c>
      <c r="D3" s="22" t="s">
        <v>75</v>
      </c>
      <c r="E3" s="22" t="s">
        <v>75</v>
      </c>
      <c r="F3" s="22" t="s">
        <v>75</v>
      </c>
      <c r="G3" s="22" t="s">
        <v>75</v>
      </c>
      <c r="H3" s="22" t="s">
        <v>75</v>
      </c>
      <c r="I3" s="22" t="s">
        <v>75</v>
      </c>
      <c r="J3" s="22" t="s">
        <v>75</v>
      </c>
      <c r="K3" s="27"/>
      <c r="L3" s="22" t="s">
        <v>75</v>
      </c>
      <c r="M3" s="22" t="s">
        <v>75</v>
      </c>
      <c r="N3" s="27"/>
      <c r="O3" s="22" t="s">
        <v>75</v>
      </c>
      <c r="P3" s="27"/>
      <c r="Q3" s="22" t="s">
        <v>75</v>
      </c>
      <c r="R3" s="22" t="s">
        <v>75</v>
      </c>
      <c r="S3" s="22" t="s">
        <v>75</v>
      </c>
      <c r="T3" s="22" t="s">
        <v>75</v>
      </c>
      <c r="U3" s="22" t="s">
        <v>75</v>
      </c>
      <c r="V3" s="22" t="s">
        <v>75</v>
      </c>
      <c r="W3" s="22" t="s">
        <v>75</v>
      </c>
      <c r="X3" s="22" t="s">
        <v>75</v>
      </c>
      <c r="Y3" s="22" t="s">
        <v>75</v>
      </c>
      <c r="Z3" s="22" t="s">
        <v>75</v>
      </c>
      <c r="AA3" s="22" t="s">
        <v>75</v>
      </c>
      <c r="AB3" s="22" t="s">
        <v>75</v>
      </c>
      <c r="AC3" s="22" t="s">
        <v>75</v>
      </c>
      <c r="AD3" s="39"/>
      <c r="AE3" s="22" t="s">
        <v>75</v>
      </c>
      <c r="AF3" s="22" t="s">
        <v>670</v>
      </c>
      <c r="AG3" s="40"/>
      <c r="AH3" s="25" t="s">
        <v>63</v>
      </c>
      <c r="AI3" s="25" t="s">
        <v>63</v>
      </c>
      <c r="AJ3" s="40"/>
      <c r="AK3" s="25" t="s">
        <v>19</v>
      </c>
      <c r="AL3" s="22" t="s">
        <v>918</v>
      </c>
      <c r="AM3" s="22">
        <v>2018</v>
      </c>
      <c r="AN3" s="22" t="s">
        <v>670</v>
      </c>
    </row>
    <row r="4" spans="1:41">
      <c r="A4" s="22" t="s">
        <v>690</v>
      </c>
      <c r="B4" s="22" t="s">
        <v>690</v>
      </c>
      <c r="C4" s="25" t="s">
        <v>913</v>
      </c>
      <c r="D4" s="25" t="s">
        <v>913</v>
      </c>
      <c r="E4" s="26" t="s">
        <v>97</v>
      </c>
      <c r="F4" s="26" t="s">
        <v>1140</v>
      </c>
      <c r="G4" s="25" t="s">
        <v>24</v>
      </c>
      <c r="H4" s="25" t="s">
        <v>1143</v>
      </c>
      <c r="I4" s="25" t="s">
        <v>25</v>
      </c>
      <c r="J4" s="22" t="s">
        <v>690</v>
      </c>
      <c r="L4" s="22" t="s">
        <v>690</v>
      </c>
      <c r="M4" s="25" t="s">
        <v>3</v>
      </c>
      <c r="N4" s="27"/>
      <c r="O4" s="22" t="s">
        <v>106</v>
      </c>
      <c r="P4" s="27"/>
      <c r="Q4" s="22" t="s">
        <v>690</v>
      </c>
      <c r="R4" s="22" t="s">
        <v>690</v>
      </c>
      <c r="S4" s="22" t="s">
        <v>690</v>
      </c>
      <c r="T4" s="22" t="s">
        <v>690</v>
      </c>
      <c r="U4" s="22" t="s">
        <v>690</v>
      </c>
      <c r="V4" s="22" t="s">
        <v>690</v>
      </c>
      <c r="W4" s="22" t="s">
        <v>690</v>
      </c>
      <c r="X4" s="22" t="s">
        <v>690</v>
      </c>
      <c r="Y4" s="22" t="s">
        <v>690</v>
      </c>
      <c r="Z4" s="22" t="s">
        <v>690</v>
      </c>
      <c r="AA4" s="22" t="s">
        <v>690</v>
      </c>
      <c r="AB4" s="22" t="s">
        <v>690</v>
      </c>
      <c r="AC4" s="22" t="s">
        <v>690</v>
      </c>
      <c r="AD4" s="39"/>
      <c r="AE4" s="22">
        <v>0</v>
      </c>
      <c r="AF4" s="25" t="s">
        <v>4</v>
      </c>
      <c r="AG4" s="40"/>
      <c r="AH4" s="25" t="s">
        <v>61</v>
      </c>
      <c r="AI4" s="25" t="s">
        <v>61</v>
      </c>
      <c r="AJ4" s="40"/>
      <c r="AK4" s="25" t="s">
        <v>871</v>
      </c>
      <c r="AL4" s="22" t="s">
        <v>919</v>
      </c>
      <c r="AM4" s="22">
        <v>2019</v>
      </c>
      <c r="AN4" s="25" t="s">
        <v>4</v>
      </c>
    </row>
    <row r="5" spans="1:41">
      <c r="A5" s="22" t="s">
        <v>1331</v>
      </c>
      <c r="B5" s="25" t="s">
        <v>66</v>
      </c>
      <c r="C5" s="25" t="s">
        <v>914</v>
      </c>
      <c r="D5" s="25"/>
      <c r="E5" s="26" t="s">
        <v>695</v>
      </c>
      <c r="F5" s="26" t="s">
        <v>1141</v>
      </c>
      <c r="G5" s="25" t="s">
        <v>94</v>
      </c>
      <c r="H5" s="25" t="s">
        <v>1144</v>
      </c>
      <c r="I5" s="25" t="s">
        <v>26</v>
      </c>
      <c r="J5" s="25" t="s">
        <v>630</v>
      </c>
      <c r="K5" s="27"/>
      <c r="L5" s="25" t="s">
        <v>616</v>
      </c>
      <c r="M5" s="25" t="s">
        <v>2</v>
      </c>
      <c r="N5" s="27"/>
      <c r="O5" s="22" t="s">
        <v>658</v>
      </c>
      <c r="P5" s="27"/>
      <c r="Q5" s="22" t="s">
        <v>12</v>
      </c>
      <c r="R5" s="22" t="s">
        <v>656</v>
      </c>
      <c r="S5" s="25" t="s">
        <v>22</v>
      </c>
      <c r="T5" s="25" t="s">
        <v>22</v>
      </c>
      <c r="U5" s="22" t="s">
        <v>639</v>
      </c>
      <c r="V5" s="22" t="s">
        <v>639</v>
      </c>
      <c r="W5" s="22" t="s">
        <v>639</v>
      </c>
      <c r="X5" s="22" t="s">
        <v>639</v>
      </c>
      <c r="Y5" s="22" t="s">
        <v>639</v>
      </c>
      <c r="Z5" s="25" t="s">
        <v>85</v>
      </c>
      <c r="AA5" s="25" t="s">
        <v>21</v>
      </c>
      <c r="AB5" s="22" t="s">
        <v>73</v>
      </c>
      <c r="AC5" s="25" t="s">
        <v>74</v>
      </c>
      <c r="AD5" s="40"/>
      <c r="AE5" s="28">
        <v>8</v>
      </c>
      <c r="AF5" s="25" t="s">
        <v>659</v>
      </c>
      <c r="AG5" s="40"/>
      <c r="AH5" s="25" t="s">
        <v>62</v>
      </c>
      <c r="AI5" s="25" t="s">
        <v>62</v>
      </c>
      <c r="AJ5" s="40"/>
      <c r="AK5" s="25" t="s">
        <v>872</v>
      </c>
      <c r="AL5" s="22" t="s">
        <v>920</v>
      </c>
      <c r="AM5" s="22">
        <v>2020</v>
      </c>
      <c r="AN5" s="25" t="s">
        <v>659</v>
      </c>
    </row>
    <row r="6" spans="1:41">
      <c r="A6" s="22" t="s">
        <v>103</v>
      </c>
      <c r="B6" s="25" t="s">
        <v>67</v>
      </c>
      <c r="C6" s="25" t="s">
        <v>915</v>
      </c>
      <c r="D6" s="25"/>
      <c r="E6" s="26" t="s">
        <v>98</v>
      </c>
      <c r="F6" s="26"/>
      <c r="G6" s="25" t="s">
        <v>95</v>
      </c>
      <c r="H6" s="25" t="s">
        <v>1145</v>
      </c>
      <c r="I6" s="25" t="s">
        <v>27</v>
      </c>
      <c r="J6" s="25" t="s">
        <v>89</v>
      </c>
      <c r="K6" s="27"/>
      <c r="L6" s="25" t="s">
        <v>643</v>
      </c>
      <c r="M6" s="25"/>
      <c r="N6" s="27"/>
      <c r="O6" s="22" t="s">
        <v>673</v>
      </c>
      <c r="P6" s="27"/>
      <c r="Q6" s="22" t="s">
        <v>607</v>
      </c>
      <c r="R6" s="25" t="s">
        <v>6</v>
      </c>
      <c r="S6" s="25" t="s">
        <v>86</v>
      </c>
      <c r="T6" s="25" t="s">
        <v>86</v>
      </c>
      <c r="U6" s="25" t="s">
        <v>85</v>
      </c>
      <c r="V6" s="25" t="s">
        <v>85</v>
      </c>
      <c r="W6" s="25" t="s">
        <v>618</v>
      </c>
      <c r="X6" s="25" t="s">
        <v>85</v>
      </c>
      <c r="Y6" s="25" t="s">
        <v>12</v>
      </c>
      <c r="Z6" s="25" t="s">
        <v>87</v>
      </c>
      <c r="AA6" s="25" t="s">
        <v>798</v>
      </c>
      <c r="AB6" s="22" t="s">
        <v>641</v>
      </c>
      <c r="AC6" s="25" t="s">
        <v>620</v>
      </c>
      <c r="AD6" s="40"/>
      <c r="AE6" s="28">
        <v>20</v>
      </c>
      <c r="AF6" s="25" t="s">
        <v>660</v>
      </c>
      <c r="AG6" s="40"/>
      <c r="AH6" s="25"/>
      <c r="AI6" s="25"/>
      <c r="AJ6" s="40"/>
      <c r="AK6" s="25" t="s">
        <v>873</v>
      </c>
      <c r="AL6" s="22" t="s">
        <v>921</v>
      </c>
      <c r="AM6" s="22">
        <v>2021</v>
      </c>
      <c r="AN6" s="25" t="s">
        <v>660</v>
      </c>
    </row>
    <row r="7" spans="1:41">
      <c r="A7" s="22" t="s">
        <v>105</v>
      </c>
      <c r="B7" s="25" t="s">
        <v>68</v>
      </c>
      <c r="C7" s="25" t="s">
        <v>782</v>
      </c>
      <c r="D7" s="25"/>
      <c r="E7" s="26" t="s">
        <v>696</v>
      </c>
      <c r="F7" s="26"/>
      <c r="G7" s="25" t="s">
        <v>96</v>
      </c>
      <c r="H7" s="25" t="s">
        <v>1146</v>
      </c>
      <c r="I7" s="25"/>
      <c r="J7" s="25" t="s">
        <v>629</v>
      </c>
      <c r="K7" s="27"/>
      <c r="L7" s="25" t="s">
        <v>644</v>
      </c>
      <c r="M7" s="25"/>
      <c r="N7" s="27"/>
      <c r="O7" s="22" t="s">
        <v>670</v>
      </c>
      <c r="P7" s="27"/>
      <c r="Q7" s="22" t="s">
        <v>608</v>
      </c>
      <c r="R7" s="25" t="s">
        <v>7</v>
      </c>
      <c r="S7" s="25" t="s">
        <v>9</v>
      </c>
      <c r="T7" s="25" t="s">
        <v>9</v>
      </c>
      <c r="U7" s="25" t="s">
        <v>862</v>
      </c>
      <c r="V7" s="25" t="s">
        <v>87</v>
      </c>
      <c r="W7" s="25" t="s">
        <v>633</v>
      </c>
      <c r="X7" s="25" t="s">
        <v>83</v>
      </c>
      <c r="Y7" s="25"/>
      <c r="Z7" s="25" t="s">
        <v>618</v>
      </c>
      <c r="AA7" s="25" t="s">
        <v>858</v>
      </c>
      <c r="AB7" s="22" t="s">
        <v>74</v>
      </c>
      <c r="AD7" s="39"/>
      <c r="AE7" s="28">
        <v>40</v>
      </c>
      <c r="AF7" s="22" t="s">
        <v>692</v>
      </c>
      <c r="AG7" s="40"/>
      <c r="AH7" s="25"/>
      <c r="AI7" s="25"/>
      <c r="AJ7" s="40"/>
      <c r="AK7" s="25" t="s">
        <v>905</v>
      </c>
      <c r="AL7" s="22" t="s">
        <v>934</v>
      </c>
      <c r="AM7" s="22">
        <v>2022</v>
      </c>
      <c r="AN7" s="22" t="s">
        <v>692</v>
      </c>
    </row>
    <row r="8" spans="1:41">
      <c r="A8" s="22" t="s">
        <v>106</v>
      </c>
      <c r="B8" s="25"/>
      <c r="C8" s="25" t="s">
        <v>780</v>
      </c>
      <c r="E8" s="26" t="s">
        <v>635</v>
      </c>
      <c r="F8" s="26"/>
      <c r="I8" s="25"/>
      <c r="K8" s="27"/>
      <c r="M8" s="25"/>
      <c r="N8" s="27"/>
      <c r="O8" s="25" t="s">
        <v>4</v>
      </c>
      <c r="P8" s="27"/>
      <c r="Q8" s="22" t="s">
        <v>651</v>
      </c>
      <c r="R8" s="25" t="s">
        <v>8</v>
      </c>
      <c r="S8" s="25" t="s">
        <v>10</v>
      </c>
      <c r="T8" s="25" t="s">
        <v>10</v>
      </c>
      <c r="U8" s="25" t="s">
        <v>618</v>
      </c>
      <c r="V8" s="25" t="s">
        <v>618</v>
      </c>
      <c r="W8" s="25" t="s">
        <v>13</v>
      </c>
      <c r="X8" s="25" t="s">
        <v>634</v>
      </c>
      <c r="Y8" s="25"/>
      <c r="Z8" s="25" t="s">
        <v>86</v>
      </c>
      <c r="AA8" s="25" t="s">
        <v>802</v>
      </c>
      <c r="AC8" s="25"/>
      <c r="AD8" s="40"/>
      <c r="AE8" s="28">
        <v>60</v>
      </c>
      <c r="AF8" s="25" t="s">
        <v>661</v>
      </c>
      <c r="AG8" s="40"/>
      <c r="AH8" s="25"/>
      <c r="AI8" s="25"/>
      <c r="AJ8" s="40"/>
      <c r="AK8" s="25" t="s">
        <v>906</v>
      </c>
      <c r="AM8" s="22">
        <v>2023</v>
      </c>
      <c r="AN8" s="25" t="s">
        <v>661</v>
      </c>
    </row>
    <row r="9" spans="1:41">
      <c r="A9" s="22" t="s">
        <v>694</v>
      </c>
      <c r="B9" s="25"/>
      <c r="E9" s="26" t="s">
        <v>859</v>
      </c>
      <c r="F9" s="26"/>
      <c r="I9" s="25"/>
      <c r="K9" s="27"/>
      <c r="M9" s="25"/>
      <c r="N9" s="27"/>
      <c r="O9" s="25" t="s">
        <v>659</v>
      </c>
      <c r="P9" s="27"/>
      <c r="Q9" s="22" t="s">
        <v>652</v>
      </c>
      <c r="R9" s="25"/>
      <c r="S9" s="25" t="s">
        <v>860</v>
      </c>
      <c r="T9" s="25" t="s">
        <v>860</v>
      </c>
      <c r="U9" s="25" t="s">
        <v>86</v>
      </c>
      <c r="V9" s="25" t="s">
        <v>86</v>
      </c>
      <c r="W9" s="25"/>
      <c r="X9" s="25"/>
      <c r="Y9" s="25"/>
      <c r="Z9" s="25" t="s">
        <v>11</v>
      </c>
      <c r="AA9" s="25" t="s">
        <v>801</v>
      </c>
      <c r="AC9" s="25"/>
      <c r="AD9" s="40"/>
      <c r="AE9" s="28">
        <v>80</v>
      </c>
      <c r="AF9" s="25" t="s">
        <v>662</v>
      </c>
      <c r="AG9" s="40"/>
      <c r="AH9" s="25"/>
      <c r="AI9" s="25"/>
      <c r="AJ9" s="40"/>
      <c r="AK9" s="25" t="s">
        <v>821</v>
      </c>
      <c r="AM9" s="22">
        <v>2024</v>
      </c>
      <c r="AN9" s="25" t="s">
        <v>662</v>
      </c>
    </row>
    <row r="10" spans="1:41">
      <c r="B10" s="25"/>
      <c r="E10" s="26" t="s">
        <v>111</v>
      </c>
      <c r="F10" s="26"/>
      <c r="I10" s="25"/>
      <c r="K10" s="27"/>
      <c r="M10" s="25"/>
      <c r="N10" s="27"/>
      <c r="O10" s="25" t="s">
        <v>660</v>
      </c>
      <c r="P10" s="27"/>
      <c r="Q10" s="22" t="s">
        <v>609</v>
      </c>
      <c r="R10" s="25"/>
      <c r="S10" s="25" t="s">
        <v>11</v>
      </c>
      <c r="T10" s="25" t="s">
        <v>84</v>
      </c>
      <c r="U10" s="25" t="s">
        <v>80</v>
      </c>
      <c r="V10" s="25" t="s">
        <v>80</v>
      </c>
      <c r="W10" s="25"/>
      <c r="X10" s="25"/>
      <c r="Y10" s="25"/>
      <c r="Z10" s="25" t="s">
        <v>80</v>
      </c>
      <c r="AA10" s="25" t="s">
        <v>857</v>
      </c>
      <c r="AD10" s="39"/>
      <c r="AE10" s="28">
        <v>100</v>
      </c>
      <c r="AF10" s="25" t="s">
        <v>663</v>
      </c>
      <c r="AG10" s="40"/>
      <c r="AH10" s="25"/>
      <c r="AI10" s="25"/>
      <c r="AJ10" s="40"/>
      <c r="AK10" s="25" t="s">
        <v>823</v>
      </c>
      <c r="AM10" s="22">
        <v>2025</v>
      </c>
      <c r="AN10" s="25" t="s">
        <v>663</v>
      </c>
    </row>
    <row r="11" spans="1:41">
      <c r="B11" s="25"/>
      <c r="D11" s="25" t="s">
        <v>914</v>
      </c>
      <c r="E11" s="26" t="s">
        <v>112</v>
      </c>
      <c r="F11" s="26"/>
      <c r="I11" s="25"/>
      <c r="K11" s="27"/>
      <c r="M11" s="25"/>
      <c r="N11" s="27"/>
      <c r="O11" s="22" t="s">
        <v>692</v>
      </c>
      <c r="P11" s="27"/>
      <c r="Q11" s="22" t="s">
        <v>610</v>
      </c>
      <c r="R11" s="25"/>
      <c r="T11" s="25" t="s">
        <v>11</v>
      </c>
      <c r="U11" s="25" t="s">
        <v>633</v>
      </c>
      <c r="V11" s="25" t="s">
        <v>633</v>
      </c>
      <c r="W11" s="25"/>
      <c r="X11" s="25"/>
      <c r="Y11" s="25"/>
      <c r="Z11" s="25" t="s">
        <v>633</v>
      </c>
      <c r="AA11" s="25" t="s">
        <v>809</v>
      </c>
      <c r="AC11" s="25"/>
      <c r="AD11" s="40"/>
      <c r="AE11" s="28">
        <v>125</v>
      </c>
      <c r="AF11" s="25" t="s">
        <v>664</v>
      </c>
      <c r="AG11" s="40"/>
      <c r="AH11" s="25"/>
      <c r="AI11" s="25"/>
      <c r="AJ11" s="40"/>
      <c r="AK11" s="25" t="s">
        <v>824</v>
      </c>
      <c r="AM11" s="22">
        <v>2026</v>
      </c>
      <c r="AN11" s="25" t="s">
        <v>664</v>
      </c>
    </row>
    <row r="12" spans="1:41">
      <c r="B12" s="25"/>
      <c r="E12" s="26" t="s">
        <v>113</v>
      </c>
      <c r="F12" s="26"/>
      <c r="I12" s="25"/>
      <c r="K12" s="27"/>
      <c r="M12" s="25"/>
      <c r="N12" s="27"/>
      <c r="O12" s="25" t="s">
        <v>661</v>
      </c>
      <c r="P12" s="27"/>
      <c r="Q12" s="22" t="s">
        <v>611</v>
      </c>
      <c r="R12" s="25"/>
      <c r="S12" s="25"/>
      <c r="U12" s="25" t="s">
        <v>83</v>
      </c>
      <c r="V12" s="25" t="s">
        <v>83</v>
      </c>
      <c r="W12" s="25"/>
      <c r="X12" s="25"/>
      <c r="Y12" s="25"/>
      <c r="Z12" s="25" t="s">
        <v>83</v>
      </c>
      <c r="AA12" s="25" t="s">
        <v>799</v>
      </c>
      <c r="AC12" s="25"/>
      <c r="AD12" s="40"/>
      <c r="AE12" s="28">
        <v>150</v>
      </c>
      <c r="AF12" s="25" t="s">
        <v>665</v>
      </c>
      <c r="AG12" s="40"/>
      <c r="AH12" s="25"/>
      <c r="AI12" s="25"/>
      <c r="AJ12" s="40"/>
      <c r="AK12" s="25" t="s">
        <v>825</v>
      </c>
      <c r="AN12" s="25" t="s">
        <v>665</v>
      </c>
    </row>
    <row r="13" spans="1:41">
      <c r="B13" s="25"/>
      <c r="E13" s="26" t="s">
        <v>776</v>
      </c>
      <c r="F13" s="26"/>
      <c r="I13" s="25"/>
      <c r="K13" s="27"/>
      <c r="M13" s="25"/>
      <c r="N13" s="27"/>
      <c r="O13" s="25" t="s">
        <v>662</v>
      </c>
      <c r="P13" s="27"/>
      <c r="Q13" s="22" t="s">
        <v>612</v>
      </c>
      <c r="R13" s="25"/>
      <c r="S13" s="25"/>
      <c r="T13" s="25"/>
      <c r="U13" s="25" t="s">
        <v>82</v>
      </c>
      <c r="V13" s="25" t="s">
        <v>82</v>
      </c>
      <c r="W13" s="25"/>
      <c r="X13" s="25"/>
      <c r="Y13" s="25"/>
      <c r="Z13" s="25" t="s">
        <v>82</v>
      </c>
      <c r="AA13" s="25" t="s">
        <v>800</v>
      </c>
      <c r="AC13" s="25"/>
      <c r="AD13" s="40"/>
      <c r="AE13" s="28">
        <v>175</v>
      </c>
      <c r="AF13" s="25" t="s">
        <v>672</v>
      </c>
      <c r="AG13" s="40"/>
      <c r="AH13" s="25"/>
      <c r="AI13" s="25"/>
      <c r="AJ13" s="40"/>
      <c r="AN13" s="25" t="s">
        <v>672</v>
      </c>
    </row>
    <row r="14" spans="1:41">
      <c r="B14" s="25"/>
      <c r="E14" s="26" t="s">
        <v>114</v>
      </c>
      <c r="F14" s="26"/>
      <c r="I14" s="25"/>
      <c r="K14" s="27"/>
      <c r="M14" s="25"/>
      <c r="N14" s="27"/>
      <c r="O14" s="25" t="s">
        <v>663</v>
      </c>
      <c r="P14" s="27"/>
      <c r="Q14" s="22" t="s">
        <v>613</v>
      </c>
      <c r="R14" s="25"/>
      <c r="S14" s="25"/>
      <c r="T14" s="25"/>
      <c r="U14" s="25" t="s">
        <v>79</v>
      </c>
      <c r="V14" s="25" t="s">
        <v>79</v>
      </c>
      <c r="W14" s="25"/>
      <c r="X14" s="25"/>
      <c r="Y14" s="25"/>
      <c r="Z14" s="25" t="s">
        <v>79</v>
      </c>
      <c r="AA14" s="25" t="s">
        <v>856</v>
      </c>
      <c r="AC14" s="25"/>
      <c r="AD14" s="40"/>
      <c r="AE14" s="28">
        <v>200</v>
      </c>
      <c r="AF14" s="25" t="s">
        <v>666</v>
      </c>
      <c r="AG14" s="40"/>
      <c r="AH14" s="25"/>
      <c r="AI14" s="25"/>
      <c r="AJ14" s="40"/>
      <c r="AN14" s="25" t="s">
        <v>666</v>
      </c>
    </row>
    <row r="15" spans="1:41">
      <c r="B15" s="25"/>
      <c r="E15" s="26" t="s">
        <v>115</v>
      </c>
      <c r="F15" s="26"/>
      <c r="I15" s="25"/>
      <c r="K15" s="27"/>
      <c r="M15" s="25"/>
      <c r="N15" s="27"/>
      <c r="O15" s="25" t="s">
        <v>664</v>
      </c>
      <c r="P15" s="27"/>
      <c r="Q15" s="22" t="s">
        <v>614</v>
      </c>
      <c r="R15" s="25"/>
      <c r="S15" s="25"/>
      <c r="T15" s="25"/>
      <c r="U15" s="25" t="s">
        <v>78</v>
      </c>
      <c r="V15" s="25" t="s">
        <v>78</v>
      </c>
      <c r="W15" s="25"/>
      <c r="X15" s="25"/>
      <c r="Y15" s="25"/>
      <c r="Z15" s="25" t="s">
        <v>78</v>
      </c>
      <c r="AA15" s="25" t="s">
        <v>622</v>
      </c>
      <c r="AC15" s="25"/>
      <c r="AD15" s="40"/>
      <c r="AE15" s="28">
        <v>225</v>
      </c>
      <c r="AF15" s="25" t="s">
        <v>667</v>
      </c>
      <c r="AG15" s="40"/>
      <c r="AH15" s="25"/>
      <c r="AI15" s="25"/>
      <c r="AJ15" s="40"/>
      <c r="AN15" s="25" t="s">
        <v>1245</v>
      </c>
    </row>
    <row r="16" spans="1:41">
      <c r="B16" s="25"/>
      <c r="E16" s="26" t="s">
        <v>97</v>
      </c>
      <c r="F16" s="26"/>
      <c r="I16" s="25"/>
      <c r="K16" s="27"/>
      <c r="M16" s="25"/>
      <c r="N16" s="27"/>
      <c r="O16" s="25" t="s">
        <v>665</v>
      </c>
      <c r="P16" s="27"/>
      <c r="Q16" s="22" t="s">
        <v>615</v>
      </c>
      <c r="R16" s="25"/>
      <c r="S16" s="25"/>
      <c r="T16" s="25"/>
      <c r="U16" s="25" t="s">
        <v>81</v>
      </c>
      <c r="V16" s="25" t="s">
        <v>81</v>
      </c>
      <c r="W16" s="25"/>
      <c r="X16" s="25"/>
      <c r="Y16" s="25"/>
      <c r="Z16" s="25" t="s">
        <v>81</v>
      </c>
      <c r="AA16" s="25" t="s">
        <v>1087</v>
      </c>
      <c r="AC16" s="25"/>
      <c r="AD16" s="40"/>
      <c r="AE16" s="28">
        <v>250</v>
      </c>
      <c r="AF16" s="25" t="s">
        <v>668</v>
      </c>
      <c r="AG16" s="40"/>
      <c r="AH16" s="25"/>
      <c r="AI16" s="25"/>
      <c r="AJ16" s="40"/>
      <c r="AN16" s="25" t="s">
        <v>667</v>
      </c>
    </row>
    <row r="17" spans="2:40">
      <c r="B17" s="25"/>
      <c r="E17" s="26" t="s">
        <v>116</v>
      </c>
      <c r="F17" s="26"/>
      <c r="I17" s="25"/>
      <c r="K17" s="27"/>
      <c r="M17" s="25"/>
      <c r="N17" s="27"/>
      <c r="O17" s="25" t="s">
        <v>672</v>
      </c>
      <c r="P17" s="27"/>
      <c r="R17" s="25"/>
      <c r="S17" s="25"/>
      <c r="T17" s="25"/>
      <c r="U17" s="25" t="s">
        <v>9</v>
      </c>
      <c r="V17" s="25" t="s">
        <v>9</v>
      </c>
      <c r="W17" s="25"/>
      <c r="X17" s="25"/>
      <c r="Y17" s="25"/>
      <c r="Z17" s="25" t="s">
        <v>9</v>
      </c>
      <c r="AA17" s="25" t="s">
        <v>1088</v>
      </c>
      <c r="AC17" s="25"/>
      <c r="AD17" s="40"/>
      <c r="AE17" s="28">
        <v>275</v>
      </c>
      <c r="AF17" s="25" t="s">
        <v>669</v>
      </c>
      <c r="AG17" s="40"/>
      <c r="AH17" s="25"/>
      <c r="AI17" s="25"/>
      <c r="AJ17" s="40"/>
      <c r="AN17" s="25" t="s">
        <v>668</v>
      </c>
    </row>
    <row r="18" spans="2:40">
      <c r="B18" s="25"/>
      <c r="E18" s="26" t="s">
        <v>859</v>
      </c>
      <c r="F18" s="26"/>
      <c r="I18" s="25"/>
      <c r="K18" s="27"/>
      <c r="M18" s="25"/>
      <c r="N18" s="27"/>
      <c r="O18" s="25" t="s">
        <v>666</v>
      </c>
      <c r="P18" s="27"/>
      <c r="R18" s="25"/>
      <c r="S18" s="25"/>
      <c r="T18" s="25"/>
      <c r="U18" s="25" t="s">
        <v>84</v>
      </c>
      <c r="V18" s="25" t="s">
        <v>84</v>
      </c>
      <c r="W18" s="25"/>
      <c r="X18" s="25"/>
      <c r="Y18" s="25"/>
      <c r="Z18" s="25" t="s">
        <v>84</v>
      </c>
      <c r="AA18" s="25" t="s">
        <v>1089</v>
      </c>
      <c r="AC18" s="25"/>
      <c r="AD18" s="40"/>
      <c r="AE18" s="28">
        <v>300</v>
      </c>
      <c r="AF18" s="22" t="s">
        <v>699</v>
      </c>
      <c r="AG18" s="40"/>
      <c r="AH18" s="25"/>
      <c r="AI18" s="25"/>
      <c r="AJ18" s="40"/>
      <c r="AN18" s="25" t="s">
        <v>669</v>
      </c>
    </row>
    <row r="19" spans="2:40">
      <c r="B19" s="25"/>
      <c r="E19" s="26" t="s">
        <v>111</v>
      </c>
      <c r="F19" s="26"/>
      <c r="I19" s="25"/>
      <c r="K19" s="27"/>
      <c r="M19" s="25"/>
      <c r="N19" s="29"/>
      <c r="O19" s="22" t="s">
        <v>674</v>
      </c>
      <c r="P19" s="29"/>
      <c r="R19" s="25"/>
      <c r="S19" s="25"/>
      <c r="T19" s="25"/>
      <c r="U19" s="22" t="s">
        <v>675</v>
      </c>
      <c r="V19" s="25" t="s">
        <v>13</v>
      </c>
      <c r="W19" s="25"/>
      <c r="X19" s="25"/>
      <c r="Y19" s="25"/>
      <c r="Z19" s="25" t="s">
        <v>13</v>
      </c>
      <c r="AA19" s="25" t="s">
        <v>1090</v>
      </c>
      <c r="AC19" s="25"/>
      <c r="AD19" s="40"/>
      <c r="AE19" s="28">
        <v>400</v>
      </c>
      <c r="AF19" s="25"/>
      <c r="AG19" s="40"/>
      <c r="AH19" s="25"/>
      <c r="AI19" s="25"/>
      <c r="AJ19" s="40"/>
      <c r="AN19" s="25" t="s">
        <v>1191</v>
      </c>
    </row>
    <row r="20" spans="2:40">
      <c r="B20" s="25"/>
      <c r="D20" s="25" t="s">
        <v>915</v>
      </c>
      <c r="E20" s="26" t="s">
        <v>117</v>
      </c>
      <c r="F20" s="26"/>
      <c r="I20" s="25"/>
      <c r="K20" s="27"/>
      <c r="M20" s="25"/>
      <c r="N20" s="29"/>
      <c r="O20" s="25" t="s">
        <v>667</v>
      </c>
      <c r="P20" s="29"/>
      <c r="R20" s="25"/>
      <c r="S20" s="25"/>
      <c r="T20" s="25"/>
      <c r="U20" s="25" t="s">
        <v>13</v>
      </c>
      <c r="V20" s="25" t="s">
        <v>860</v>
      </c>
      <c r="W20" s="25"/>
      <c r="X20" s="25"/>
      <c r="Y20" s="25"/>
      <c r="Z20" s="25" t="s">
        <v>10</v>
      </c>
      <c r="AA20" s="25" t="s">
        <v>1091</v>
      </c>
      <c r="AC20" s="25"/>
      <c r="AD20" s="40"/>
      <c r="AE20" s="28">
        <v>500</v>
      </c>
      <c r="AG20" s="40"/>
      <c r="AH20" s="25"/>
      <c r="AI20" s="25"/>
      <c r="AJ20" s="40"/>
      <c r="AN20" s="25" t="s">
        <v>1192</v>
      </c>
    </row>
    <row r="21" spans="2:40">
      <c r="B21" s="25"/>
      <c r="E21" s="26" t="s">
        <v>118</v>
      </c>
      <c r="F21" s="26"/>
      <c r="I21" s="25"/>
      <c r="K21" s="27"/>
      <c r="M21" s="25"/>
      <c r="N21" s="29"/>
      <c r="O21" s="25" t="s">
        <v>668</v>
      </c>
      <c r="P21" s="29"/>
      <c r="S21" s="25"/>
      <c r="T21" s="25"/>
      <c r="U21" s="25" t="s">
        <v>860</v>
      </c>
      <c r="V21" s="25" t="s">
        <v>10</v>
      </c>
      <c r="W21" s="25"/>
      <c r="X21" s="25"/>
      <c r="Y21" s="25"/>
      <c r="Z21" s="25" t="s">
        <v>22</v>
      </c>
      <c r="AA21" s="25" t="s">
        <v>1092</v>
      </c>
      <c r="AC21" s="25"/>
      <c r="AD21" s="40"/>
      <c r="AE21" s="28"/>
      <c r="AG21" s="40"/>
      <c r="AH21" s="25"/>
      <c r="AI21" s="25"/>
      <c r="AJ21" s="40"/>
      <c r="AN21" s="25" t="s">
        <v>1193</v>
      </c>
    </row>
    <row r="22" spans="2:40">
      <c r="B22" s="25"/>
      <c r="D22" s="25" t="s">
        <v>782</v>
      </c>
      <c r="E22" s="26" t="s">
        <v>779</v>
      </c>
      <c r="F22" s="26"/>
      <c r="I22" s="25"/>
      <c r="K22" s="27"/>
      <c r="M22" s="25"/>
      <c r="N22" s="29"/>
      <c r="O22" s="25" t="s">
        <v>669</v>
      </c>
      <c r="P22" s="29"/>
      <c r="R22" s="25"/>
      <c r="T22" s="25"/>
      <c r="U22" s="25" t="s">
        <v>10</v>
      </c>
      <c r="V22" s="25" t="s">
        <v>22</v>
      </c>
      <c r="AA22" s="25" t="s">
        <v>1093</v>
      </c>
      <c r="AC22" s="25"/>
      <c r="AD22" s="40"/>
      <c r="AE22" s="28"/>
      <c r="AG22" s="40"/>
      <c r="AH22" s="25"/>
      <c r="AI22" s="25"/>
      <c r="AJ22" s="40"/>
      <c r="AN22" s="25" t="s">
        <v>1194</v>
      </c>
    </row>
    <row r="23" spans="2:40">
      <c r="E23" s="26" t="s">
        <v>778</v>
      </c>
      <c r="F23" s="26"/>
      <c r="I23" s="25"/>
      <c r="K23" s="27"/>
      <c r="M23" s="25"/>
      <c r="N23" s="29"/>
      <c r="O23" s="22" t="s">
        <v>671</v>
      </c>
      <c r="P23" s="29"/>
      <c r="R23" s="25"/>
      <c r="S23" s="25"/>
      <c r="U23" s="25" t="s">
        <v>22</v>
      </c>
      <c r="W23" s="25"/>
      <c r="X23" s="25"/>
      <c r="Y23" s="25"/>
      <c r="Z23" s="25"/>
      <c r="AA23" s="25" t="s">
        <v>1094</v>
      </c>
      <c r="AC23" s="25"/>
      <c r="AD23" s="40"/>
      <c r="AE23" s="25"/>
      <c r="AF23" s="25"/>
      <c r="AG23" s="40"/>
      <c r="AH23" s="25"/>
      <c r="AI23" s="25"/>
      <c r="AJ23" s="40"/>
      <c r="AN23" s="25" t="s">
        <v>1195</v>
      </c>
    </row>
    <row r="24" spans="2:40">
      <c r="E24" s="26" t="s">
        <v>777</v>
      </c>
      <c r="F24" s="26"/>
      <c r="K24" s="27"/>
      <c r="N24" s="29"/>
      <c r="P24" s="29"/>
      <c r="S24" s="25"/>
      <c r="T24" s="25"/>
      <c r="U24" s="25" t="s">
        <v>69</v>
      </c>
      <c r="V24" s="25"/>
      <c r="W24" s="25"/>
      <c r="X24" s="25"/>
      <c r="Y24" s="25"/>
      <c r="Z24" s="25"/>
      <c r="AA24" s="25" t="s">
        <v>623</v>
      </c>
      <c r="AC24" s="25"/>
      <c r="AD24" s="40"/>
      <c r="AG24" s="39"/>
      <c r="AJ24" s="39"/>
      <c r="AN24" s="25" t="s">
        <v>1196</v>
      </c>
    </row>
    <row r="25" spans="2:40">
      <c r="E25" s="26" t="s">
        <v>114</v>
      </c>
      <c r="F25" s="26"/>
      <c r="K25" s="27"/>
      <c r="N25" s="29"/>
      <c r="P25" s="29"/>
      <c r="T25" s="25"/>
      <c r="U25" s="25"/>
      <c r="V25" s="25"/>
      <c r="W25" s="25"/>
      <c r="X25" s="25"/>
      <c r="Y25" s="25"/>
      <c r="AA25" s="25" t="s">
        <v>621</v>
      </c>
      <c r="AD25" s="39"/>
      <c r="AG25" s="39"/>
      <c r="AJ25" s="39"/>
      <c r="AN25" s="25" t="s">
        <v>1197</v>
      </c>
    </row>
    <row r="26" spans="2:40">
      <c r="E26" s="26" t="s">
        <v>115</v>
      </c>
      <c r="F26" s="26"/>
      <c r="K26" s="27"/>
      <c r="N26" s="29"/>
      <c r="P26" s="29"/>
      <c r="U26" s="25"/>
      <c r="V26" s="25"/>
      <c r="W26" s="25"/>
      <c r="X26" s="25"/>
      <c r="Y26" s="25"/>
      <c r="AD26" s="39"/>
      <c r="AG26" s="39"/>
      <c r="AJ26" s="39"/>
      <c r="AN26" s="25" t="s">
        <v>1198</v>
      </c>
    </row>
    <row r="27" spans="2:40">
      <c r="E27" s="26" t="s">
        <v>97</v>
      </c>
      <c r="F27" s="26"/>
      <c r="K27" s="27"/>
      <c r="N27" s="29"/>
      <c r="P27" s="29"/>
      <c r="U27" s="25"/>
      <c r="V27" s="25"/>
      <c r="W27" s="25"/>
      <c r="X27" s="25"/>
      <c r="Y27" s="25"/>
      <c r="AA27" s="25"/>
      <c r="AD27" s="39"/>
      <c r="AG27" s="39"/>
      <c r="AJ27" s="39"/>
      <c r="AN27" s="25" t="s">
        <v>1199</v>
      </c>
    </row>
    <row r="28" spans="2:40">
      <c r="E28" s="26" t="s">
        <v>781</v>
      </c>
      <c r="F28" s="26"/>
      <c r="K28" s="27"/>
      <c r="N28" s="29"/>
      <c r="P28" s="29"/>
      <c r="V28" s="25"/>
      <c r="W28" s="25"/>
      <c r="X28" s="25"/>
      <c r="Y28" s="25"/>
      <c r="AD28" s="39"/>
      <c r="AG28" s="39"/>
      <c r="AJ28" s="39"/>
      <c r="AN28" s="25" t="s">
        <v>1200</v>
      </c>
    </row>
    <row r="29" spans="2:40">
      <c r="D29" s="25" t="s">
        <v>780</v>
      </c>
      <c r="E29" s="26" t="s">
        <v>779</v>
      </c>
      <c r="F29" s="26"/>
      <c r="K29" s="27"/>
      <c r="N29" s="29"/>
      <c r="P29" s="29"/>
      <c r="V29" s="25"/>
      <c r="AA29" s="25"/>
      <c r="AD29" s="39"/>
      <c r="AG29" s="39"/>
      <c r="AJ29" s="39"/>
      <c r="AN29" s="25" t="s">
        <v>1201</v>
      </c>
    </row>
    <row r="30" spans="2:40">
      <c r="E30" s="26" t="s">
        <v>778</v>
      </c>
      <c r="F30" s="26"/>
      <c r="AA30" s="25"/>
      <c r="AN30" s="25" t="s">
        <v>1202</v>
      </c>
    </row>
    <row r="31" spans="2:40">
      <c r="E31" s="26" t="s">
        <v>777</v>
      </c>
      <c r="F31" s="26"/>
      <c r="W31" s="30"/>
      <c r="X31" s="30"/>
      <c r="Y31" s="30"/>
      <c r="AA31" s="25"/>
      <c r="AN31" s="25" t="s">
        <v>1203</v>
      </c>
    </row>
    <row r="32" spans="2:40">
      <c r="E32" s="26" t="s">
        <v>114</v>
      </c>
      <c r="F32" s="26"/>
      <c r="AA32" s="25"/>
      <c r="AN32" s="25" t="s">
        <v>1204</v>
      </c>
    </row>
    <row r="33" spans="5:40">
      <c r="E33" s="26" t="s">
        <v>115</v>
      </c>
      <c r="F33" s="26"/>
      <c r="AA33" s="25"/>
      <c r="AN33" s="25" t="s">
        <v>1205</v>
      </c>
    </row>
    <row r="34" spans="5:40">
      <c r="E34" s="26" t="s">
        <v>97</v>
      </c>
      <c r="F34" s="26"/>
      <c r="AA34" s="25"/>
    </row>
    <row r="35" spans="5:40">
      <c r="E35" s="26" t="s">
        <v>781</v>
      </c>
      <c r="F35" s="26"/>
      <c r="AA35" s="25"/>
    </row>
    <row r="36" spans="5:40">
      <c r="E36" s="26"/>
      <c r="F36" s="26"/>
      <c r="AA36" s="25"/>
    </row>
    <row r="37" spans="5:40">
      <c r="E37" s="26"/>
      <c r="F37" s="26"/>
      <c r="AA37" s="25"/>
    </row>
    <row r="38" spans="5:40">
      <c r="AA38" s="25"/>
    </row>
    <row r="39" spans="5:40">
      <c r="AA39" s="25"/>
    </row>
    <row r="40" spans="5:40">
      <c r="AA40" s="25"/>
    </row>
    <row r="41" spans="5:40">
      <c r="AA41" s="25"/>
    </row>
    <row r="42" spans="5:40">
      <c r="AA42" s="25"/>
    </row>
  </sheetData>
  <sheetProtection sort="0" autoFilter="0"/>
  <sortState ref="V20:V22">
    <sortCondition ref="V20"/>
  </sortState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3:AV671"/>
  <sheetViews>
    <sheetView topLeftCell="Z100" zoomScaleNormal="100" workbookViewId="0">
      <selection activeCell="B43" sqref="B43"/>
    </sheetView>
  </sheetViews>
  <sheetFormatPr defaultColWidth="9.140625" defaultRowHeight="12.75"/>
  <cols>
    <col min="1" max="1" width="66" customWidth="1"/>
    <col min="2" max="2" width="31.140625" customWidth="1"/>
    <col min="3" max="4" width="8.140625" customWidth="1"/>
    <col min="5" max="5" width="9.5703125" customWidth="1"/>
    <col min="6" max="6" width="8" customWidth="1"/>
    <col min="7" max="7" width="8.42578125" customWidth="1"/>
    <col min="8" max="8" width="4.5703125" customWidth="1"/>
    <col min="9" max="9" width="10.140625" customWidth="1"/>
    <col min="10" max="10" width="20.42578125" customWidth="1"/>
    <col min="11" max="11" width="8.5703125" customWidth="1"/>
    <col min="12" max="12" width="7.28515625" customWidth="1"/>
    <col min="13" max="13" width="8.140625" customWidth="1"/>
    <col min="14" max="14" width="7.28515625" customWidth="1"/>
    <col min="15" max="15" width="9.5703125" customWidth="1"/>
    <col min="16" max="16" width="7.28515625" customWidth="1"/>
    <col min="17" max="17" width="7.7109375" customWidth="1"/>
    <col min="18" max="18" width="8.140625" customWidth="1"/>
    <col min="19" max="19" width="8" customWidth="1"/>
    <col min="20" max="20" width="4.5703125" customWidth="1"/>
    <col min="21" max="21" width="10.140625" customWidth="1"/>
    <col min="22" max="22" width="20.42578125" customWidth="1"/>
    <col min="23" max="23" width="8.140625" customWidth="1"/>
    <col min="24" max="24" width="17.28515625" customWidth="1"/>
    <col min="25" max="25" width="14.7109375" customWidth="1"/>
    <col min="26" max="26" width="7.7109375" customWidth="1"/>
    <col min="27" max="27" width="56.85546875" customWidth="1"/>
    <col min="28" max="28" width="31.140625" customWidth="1"/>
    <col min="29" max="29" width="28.7109375" customWidth="1"/>
    <col min="30" max="30" width="35.5703125" customWidth="1"/>
    <col min="31" max="31" width="8" customWidth="1"/>
    <col min="32" max="32" width="24.42578125" customWidth="1"/>
    <col min="33" max="33" width="27.140625" customWidth="1"/>
    <col min="34" max="34" width="8.5703125" customWidth="1"/>
    <col min="35" max="36" width="20.42578125" customWidth="1"/>
    <col min="37" max="37" width="8.5703125" customWidth="1"/>
    <col min="38" max="38" width="7.28515625" customWidth="1"/>
    <col min="39" max="39" width="8.140625" customWidth="1"/>
    <col min="40" max="40" width="7.28515625" customWidth="1"/>
    <col min="41" max="41" width="9.5703125" customWidth="1"/>
    <col min="42" max="42" width="7.28515625" customWidth="1"/>
    <col min="43" max="43" width="7.7109375" customWidth="1"/>
    <col min="44" max="44" width="8.140625" customWidth="1"/>
    <col min="45" max="45" width="8" customWidth="1"/>
    <col min="46" max="46" width="4.5703125" customWidth="1"/>
    <col min="47" max="47" width="10.140625" customWidth="1"/>
    <col min="48" max="48" width="20.42578125" customWidth="1"/>
    <col min="49" max="49" width="8" customWidth="1"/>
    <col min="50" max="50" width="10.140625" customWidth="1"/>
    <col min="51" max="51" width="19.28515625" customWidth="1"/>
    <col min="52" max="52" width="14.7109375" customWidth="1"/>
    <col min="53" max="53" width="16.85546875" customWidth="1"/>
    <col min="54" max="54" width="20.42578125" customWidth="1"/>
    <col min="55" max="55" width="9.5703125" customWidth="1"/>
    <col min="56" max="56" width="8.5703125" customWidth="1"/>
    <col min="57" max="58" width="18.7109375" customWidth="1"/>
    <col min="59" max="59" width="4.5703125" customWidth="1"/>
    <col min="60" max="61" width="13.5703125" bestFit="1" customWidth="1"/>
    <col min="62" max="62" width="16.7109375" bestFit="1" customWidth="1"/>
    <col min="63" max="63" width="9.5703125" customWidth="1"/>
    <col min="64" max="64" width="17.5703125" customWidth="1"/>
    <col min="65" max="65" width="18.7109375" customWidth="1"/>
    <col min="66" max="66" width="8" customWidth="1"/>
    <col min="67" max="67" width="8.5703125" customWidth="1"/>
    <col min="68" max="69" width="16.7109375" bestFit="1" customWidth="1"/>
    <col min="70" max="70" width="17.5703125" bestFit="1" customWidth="1"/>
    <col min="71" max="71" width="7.7109375" customWidth="1"/>
    <col min="72" max="72" width="16.7109375" bestFit="1" customWidth="1"/>
    <col min="73" max="73" width="8" bestFit="1" customWidth="1"/>
    <col min="74" max="74" width="7" customWidth="1"/>
    <col min="75" max="75" width="8.5703125" customWidth="1"/>
    <col min="76" max="76" width="16" bestFit="1" customWidth="1"/>
    <col min="77" max="77" width="16.7109375" bestFit="1" customWidth="1"/>
    <col min="78" max="78" width="16.28515625" customWidth="1"/>
    <col min="79" max="79" width="9.5703125" customWidth="1"/>
    <col min="80" max="80" width="18.7109375" bestFit="1" customWidth="1"/>
    <col min="81" max="81" width="16.7109375" bestFit="1" customWidth="1"/>
    <col min="82" max="82" width="17.140625" bestFit="1" customWidth="1"/>
    <col min="83" max="83" width="9.5703125" bestFit="1" customWidth="1"/>
    <col min="84" max="84" width="8" customWidth="1"/>
    <col min="85" max="85" width="7" customWidth="1"/>
    <col min="86" max="86" width="8.5703125" bestFit="1" customWidth="1"/>
    <col min="87" max="89" width="18.7109375" bestFit="1" customWidth="1"/>
    <col min="90" max="90" width="9.5703125" bestFit="1" customWidth="1"/>
    <col min="91" max="92" width="18.7109375" bestFit="1" customWidth="1"/>
    <col min="93" max="93" width="7.7109375" customWidth="1"/>
    <col min="94" max="94" width="7" customWidth="1"/>
    <col min="95" max="95" width="16" customWidth="1"/>
    <col min="96" max="96" width="8" customWidth="1"/>
    <col min="97" max="97" width="4.5703125" customWidth="1"/>
    <col min="98" max="98" width="13.5703125" customWidth="1"/>
    <col min="99" max="100" width="16.7109375" bestFit="1" customWidth="1"/>
    <col min="101" max="101" width="7.7109375" customWidth="1"/>
    <col min="102" max="102" width="16" bestFit="1" customWidth="1"/>
    <col min="103" max="103" width="8.5703125" bestFit="1" customWidth="1"/>
    <col min="104" max="104" width="13.5703125" bestFit="1" customWidth="1"/>
    <col min="105" max="105" width="16.7109375" bestFit="1" customWidth="1"/>
    <col min="106" max="106" width="7.7109375" customWidth="1"/>
    <col min="107" max="107" width="8.5703125" bestFit="1" customWidth="1"/>
    <col min="108" max="108" width="16.7109375" bestFit="1" customWidth="1"/>
    <col min="109" max="109" width="7.140625" customWidth="1"/>
    <col min="110" max="110" width="16" bestFit="1" customWidth="1"/>
    <col min="111" max="111" width="6.140625" customWidth="1"/>
    <col min="112" max="112" width="7" customWidth="1"/>
    <col min="113" max="113" width="6" customWidth="1"/>
    <col min="114" max="114" width="8.5703125" customWidth="1"/>
    <col min="115" max="115" width="13.5703125" customWidth="1"/>
    <col min="116" max="117" width="13.5703125" bestFit="1" customWidth="1"/>
    <col min="118" max="118" width="10.140625" bestFit="1" customWidth="1"/>
    <col min="119" max="120" width="13.5703125" bestFit="1" customWidth="1"/>
    <col min="121" max="121" width="10.140625" customWidth="1"/>
    <col min="122" max="122" width="16" bestFit="1" customWidth="1"/>
    <col min="123" max="123" width="10.140625" bestFit="1" customWidth="1"/>
    <col min="124" max="126" width="19.28515625" bestFit="1" customWidth="1"/>
    <col min="127" max="127" width="8" customWidth="1"/>
    <col min="128" max="129" width="16.7109375" bestFit="1" customWidth="1"/>
    <col min="130" max="130" width="16.85546875" bestFit="1" customWidth="1"/>
    <col min="131" max="131" width="20.42578125" bestFit="1" customWidth="1"/>
  </cols>
  <sheetData>
    <row r="3" spans="1:36">
      <c r="B3" s="206" t="s">
        <v>1230</v>
      </c>
    </row>
    <row r="4" spans="1:36">
      <c r="B4" t="s">
        <v>86</v>
      </c>
      <c r="C4" t="s">
        <v>11</v>
      </c>
      <c r="D4" t="s">
        <v>9</v>
      </c>
      <c r="E4" t="s">
        <v>75</v>
      </c>
      <c r="F4" t="s">
        <v>10</v>
      </c>
      <c r="G4" t="s">
        <v>22</v>
      </c>
      <c r="H4" t="s">
        <v>690</v>
      </c>
      <c r="I4" t="s">
        <v>1241</v>
      </c>
      <c r="J4" t="s">
        <v>1231</v>
      </c>
      <c r="AA4" s="206" t="s">
        <v>1222</v>
      </c>
      <c r="AB4" s="206" t="s">
        <v>1230</v>
      </c>
    </row>
    <row r="5" spans="1:36">
      <c r="A5" s="206" t="s">
        <v>1190</v>
      </c>
      <c r="AB5" t="s">
        <v>86</v>
      </c>
      <c r="AC5" t="s">
        <v>11</v>
      </c>
      <c r="AD5" t="s">
        <v>9</v>
      </c>
      <c r="AE5" t="s">
        <v>75</v>
      </c>
      <c r="AF5" t="s">
        <v>10</v>
      </c>
      <c r="AG5" t="s">
        <v>22</v>
      </c>
      <c r="AH5" t="s">
        <v>690</v>
      </c>
      <c r="AI5" t="s">
        <v>1241</v>
      </c>
      <c r="AJ5" t="s">
        <v>1231</v>
      </c>
    </row>
    <row r="6" spans="1:36">
      <c r="A6" s="212" t="s">
        <v>1206</v>
      </c>
      <c r="B6" s="213">
        <v>216</v>
      </c>
      <c r="C6" s="213">
        <v>100</v>
      </c>
      <c r="D6" s="213">
        <v>300</v>
      </c>
      <c r="E6" s="213">
        <v>0</v>
      </c>
      <c r="F6" s="213"/>
      <c r="G6" s="213">
        <v>28</v>
      </c>
      <c r="H6" s="213">
        <v>0</v>
      </c>
      <c r="I6" s="213"/>
      <c r="J6" s="205">
        <v>644</v>
      </c>
    </row>
    <row r="7" spans="1:36">
      <c r="A7" s="212" t="s">
        <v>1224</v>
      </c>
      <c r="B7" s="213">
        <v>16</v>
      </c>
      <c r="C7" s="213">
        <v>268</v>
      </c>
      <c r="D7" s="213">
        <v>24</v>
      </c>
      <c r="E7" s="213">
        <v>0</v>
      </c>
      <c r="F7" s="213"/>
      <c r="G7" s="213">
        <v>28</v>
      </c>
      <c r="H7" s="213">
        <v>0</v>
      </c>
      <c r="I7" s="213"/>
      <c r="J7" s="205">
        <v>336</v>
      </c>
    </row>
    <row r="8" spans="1:36">
      <c r="A8" s="211" t="s">
        <v>1189</v>
      </c>
      <c r="B8" s="214">
        <v>836</v>
      </c>
      <c r="C8" s="213">
        <v>868</v>
      </c>
      <c r="D8" s="213">
        <v>512</v>
      </c>
      <c r="E8" s="213">
        <v>80</v>
      </c>
      <c r="F8" s="213"/>
      <c r="G8" s="213">
        <v>28</v>
      </c>
      <c r="H8" s="213">
        <v>20</v>
      </c>
      <c r="I8" s="213"/>
      <c r="J8" s="205">
        <v>2344</v>
      </c>
    </row>
    <row r="9" spans="1:36">
      <c r="A9" s="211" t="s">
        <v>1188</v>
      </c>
      <c r="B9" s="214">
        <v>100</v>
      </c>
      <c r="C9" s="213">
        <v>0</v>
      </c>
      <c r="D9" s="213">
        <v>140</v>
      </c>
      <c r="E9" s="213">
        <v>0</v>
      </c>
      <c r="F9" s="213">
        <v>8</v>
      </c>
      <c r="G9" s="213"/>
      <c r="H9" s="213">
        <v>0</v>
      </c>
      <c r="I9" s="213"/>
      <c r="J9" s="205">
        <v>248</v>
      </c>
    </row>
    <row r="10" spans="1:36">
      <c r="A10" s="211" t="s">
        <v>1187</v>
      </c>
      <c r="B10" s="214">
        <v>156</v>
      </c>
      <c r="C10" s="213">
        <v>0</v>
      </c>
      <c r="D10" s="213">
        <v>148</v>
      </c>
      <c r="E10" s="213">
        <v>0</v>
      </c>
      <c r="F10" s="213"/>
      <c r="G10" s="213"/>
      <c r="H10" s="213">
        <v>0</v>
      </c>
      <c r="I10" s="213"/>
      <c r="J10" s="205">
        <v>304</v>
      </c>
    </row>
    <row r="11" spans="1:36">
      <c r="A11" s="211" t="s">
        <v>1186</v>
      </c>
      <c r="B11" s="214">
        <v>148</v>
      </c>
      <c r="C11" s="213">
        <v>80</v>
      </c>
      <c r="D11" s="213">
        <v>140</v>
      </c>
      <c r="E11" s="213">
        <v>20</v>
      </c>
      <c r="F11" s="213"/>
      <c r="G11" s="213"/>
      <c r="H11" s="213">
        <v>0</v>
      </c>
      <c r="I11" s="213"/>
      <c r="J11" s="205">
        <v>388</v>
      </c>
      <c r="AA11" s="206" t="s">
        <v>1242</v>
      </c>
    </row>
    <row r="12" spans="1:36">
      <c r="A12" s="211" t="s">
        <v>1185</v>
      </c>
      <c r="B12" s="214">
        <v>0</v>
      </c>
      <c r="C12" s="213">
        <v>0</v>
      </c>
      <c r="D12" s="213"/>
      <c r="E12" s="213">
        <v>0</v>
      </c>
      <c r="F12" s="213"/>
      <c r="G12" s="213"/>
      <c r="H12" s="213">
        <v>0</v>
      </c>
      <c r="I12" s="213"/>
      <c r="J12" s="205">
        <v>0</v>
      </c>
      <c r="AA12" s="233" t="s">
        <v>913</v>
      </c>
      <c r="AB12" s="213">
        <v>1584</v>
      </c>
      <c r="AC12" s="213">
        <v>2533</v>
      </c>
      <c r="AD12" s="213">
        <v>132</v>
      </c>
      <c r="AE12" s="213">
        <v>20</v>
      </c>
      <c r="AF12" s="213">
        <v>8</v>
      </c>
      <c r="AG12" s="213">
        <v>96</v>
      </c>
      <c r="AH12" s="213">
        <v>0</v>
      </c>
      <c r="AI12" s="213"/>
      <c r="AJ12" s="205">
        <v>4373</v>
      </c>
    </row>
    <row r="13" spans="1:36">
      <c r="A13" s="210" t="s">
        <v>1184</v>
      </c>
      <c r="B13" s="215">
        <v>1472</v>
      </c>
      <c r="C13" s="235">
        <v>1316</v>
      </c>
      <c r="D13" s="235">
        <v>1264</v>
      </c>
      <c r="E13" s="235">
        <v>100</v>
      </c>
      <c r="F13" s="235">
        <v>8</v>
      </c>
      <c r="G13" s="235">
        <v>84</v>
      </c>
      <c r="H13" s="235">
        <v>20</v>
      </c>
      <c r="I13" s="235">
        <v>0</v>
      </c>
      <c r="J13" s="209">
        <v>4264</v>
      </c>
      <c r="AA13" s="233" t="s">
        <v>780</v>
      </c>
      <c r="AB13" s="213">
        <v>424</v>
      </c>
      <c r="AC13" s="213"/>
      <c r="AD13" s="213">
        <v>1692</v>
      </c>
      <c r="AE13" s="213">
        <v>0</v>
      </c>
      <c r="AF13" s="213">
        <v>0</v>
      </c>
      <c r="AG13" s="213"/>
      <c r="AH13" s="213">
        <v>0</v>
      </c>
      <c r="AI13" s="213">
        <v>0</v>
      </c>
      <c r="AJ13" s="205">
        <v>2116</v>
      </c>
    </row>
    <row r="14" spans="1:36">
      <c r="A14" s="212" t="s">
        <v>1207</v>
      </c>
      <c r="B14" s="213">
        <v>132</v>
      </c>
      <c r="C14" s="213">
        <v>0</v>
      </c>
      <c r="D14" s="213">
        <v>124</v>
      </c>
      <c r="E14" s="213">
        <v>0</v>
      </c>
      <c r="F14" s="213"/>
      <c r="G14" s="213">
        <v>28</v>
      </c>
      <c r="H14" s="213">
        <v>0</v>
      </c>
      <c r="I14" s="213"/>
      <c r="J14" s="205">
        <v>284</v>
      </c>
      <c r="AA14" s="233" t="s">
        <v>782</v>
      </c>
      <c r="AB14" s="213">
        <v>0</v>
      </c>
      <c r="AC14" s="213"/>
      <c r="AD14" s="213">
        <v>96</v>
      </c>
      <c r="AE14" s="213">
        <v>40</v>
      </c>
      <c r="AF14" s="213"/>
      <c r="AG14" s="213">
        <v>0</v>
      </c>
      <c r="AH14" s="213"/>
      <c r="AI14" s="213"/>
      <c r="AJ14" s="205">
        <v>136</v>
      </c>
    </row>
    <row r="15" spans="1:36">
      <c r="A15" s="212" t="s">
        <v>1208</v>
      </c>
      <c r="B15" s="213">
        <v>8</v>
      </c>
      <c r="C15" s="213">
        <v>188</v>
      </c>
      <c r="D15" s="213">
        <v>8</v>
      </c>
      <c r="E15" s="213">
        <v>0</v>
      </c>
      <c r="F15" s="213"/>
      <c r="G15" s="213">
        <v>28</v>
      </c>
      <c r="H15" s="213">
        <v>0</v>
      </c>
      <c r="I15" s="213"/>
      <c r="J15" s="205">
        <v>232</v>
      </c>
      <c r="AA15" s="233" t="s">
        <v>75</v>
      </c>
      <c r="AB15" s="213">
        <v>300</v>
      </c>
      <c r="AC15" s="213">
        <v>640</v>
      </c>
      <c r="AD15" s="213">
        <v>240</v>
      </c>
      <c r="AE15" s="213"/>
      <c r="AF15" s="213">
        <v>0</v>
      </c>
      <c r="AG15" s="213"/>
      <c r="AH15" s="213">
        <v>0</v>
      </c>
      <c r="AI15" s="213"/>
      <c r="AJ15" s="205">
        <v>1180</v>
      </c>
    </row>
    <row r="16" spans="1:36">
      <c r="A16" s="211" t="s">
        <v>1183</v>
      </c>
      <c r="B16" s="213">
        <v>672</v>
      </c>
      <c r="C16" s="213">
        <v>648</v>
      </c>
      <c r="D16" s="213">
        <v>384</v>
      </c>
      <c r="E16" s="213">
        <v>20</v>
      </c>
      <c r="F16" s="213"/>
      <c r="G16" s="213">
        <v>28</v>
      </c>
      <c r="H16" s="213">
        <v>0</v>
      </c>
      <c r="I16" s="213"/>
      <c r="J16" s="205">
        <v>1752</v>
      </c>
      <c r="AA16" s="233" t="s">
        <v>915</v>
      </c>
      <c r="AB16" s="213">
        <v>60</v>
      </c>
      <c r="AC16" s="213">
        <v>0</v>
      </c>
      <c r="AD16" s="213"/>
      <c r="AE16" s="213"/>
      <c r="AF16" s="213"/>
      <c r="AG16" s="213"/>
      <c r="AH16" s="213"/>
      <c r="AI16" s="213"/>
      <c r="AJ16" s="205">
        <v>60</v>
      </c>
    </row>
    <row r="17" spans="1:36">
      <c r="A17" s="211" t="s">
        <v>1182</v>
      </c>
      <c r="B17" s="214">
        <v>0</v>
      </c>
      <c r="C17" s="213">
        <v>0</v>
      </c>
      <c r="D17" s="213">
        <v>200</v>
      </c>
      <c r="E17" s="213">
        <v>0</v>
      </c>
      <c r="F17" s="213"/>
      <c r="G17" s="213"/>
      <c r="H17" s="213">
        <v>0</v>
      </c>
      <c r="I17" s="213"/>
      <c r="J17" s="205">
        <v>200</v>
      </c>
      <c r="AA17" s="233" t="s">
        <v>914</v>
      </c>
      <c r="AB17" s="213">
        <v>1812</v>
      </c>
      <c r="AC17" s="213">
        <v>420</v>
      </c>
      <c r="AD17" s="213">
        <v>1710</v>
      </c>
      <c r="AE17" s="213">
        <v>160</v>
      </c>
      <c r="AF17" s="213">
        <v>0</v>
      </c>
      <c r="AG17" s="213">
        <v>0</v>
      </c>
      <c r="AH17" s="213">
        <v>0</v>
      </c>
      <c r="AI17" s="213">
        <v>0</v>
      </c>
      <c r="AJ17" s="205">
        <v>4102</v>
      </c>
    </row>
    <row r="18" spans="1:36">
      <c r="A18" s="211" t="s">
        <v>1181</v>
      </c>
      <c r="B18" s="214">
        <v>420</v>
      </c>
      <c r="C18" s="213">
        <v>0</v>
      </c>
      <c r="D18" s="213">
        <v>180</v>
      </c>
      <c r="E18" s="213">
        <v>0</v>
      </c>
      <c r="F18" s="213"/>
      <c r="G18" s="213"/>
      <c r="H18" s="213">
        <v>0</v>
      </c>
      <c r="I18" s="213"/>
      <c r="J18" s="205">
        <v>600</v>
      </c>
      <c r="AA18" s="233" t="s">
        <v>1241</v>
      </c>
      <c r="AB18" s="213">
        <v>188</v>
      </c>
      <c r="AC18" s="213">
        <v>280</v>
      </c>
      <c r="AD18" s="213">
        <v>112</v>
      </c>
      <c r="AE18" s="213">
        <v>0</v>
      </c>
      <c r="AF18" s="213"/>
      <c r="AG18" s="213">
        <v>240</v>
      </c>
      <c r="AH18" s="213">
        <v>20</v>
      </c>
      <c r="AI18" s="213">
        <v>0</v>
      </c>
      <c r="AJ18" s="205">
        <v>840</v>
      </c>
    </row>
    <row r="19" spans="1:36" ht="13.5" thickBot="1">
      <c r="A19" s="211" t="s">
        <v>1180</v>
      </c>
      <c r="B19" s="214">
        <v>48</v>
      </c>
      <c r="C19" s="213">
        <v>20</v>
      </c>
      <c r="D19" s="213">
        <v>140</v>
      </c>
      <c r="E19" s="213">
        <v>20</v>
      </c>
      <c r="F19" s="213"/>
      <c r="G19" s="213"/>
      <c r="H19" s="213">
        <v>0</v>
      </c>
      <c r="I19" s="213"/>
      <c r="J19" s="205">
        <v>228</v>
      </c>
      <c r="AA19" s="234" t="s">
        <v>1231</v>
      </c>
      <c r="AB19" s="228">
        <v>4368</v>
      </c>
      <c r="AC19" s="228">
        <v>3873</v>
      </c>
      <c r="AD19" s="228">
        <v>3982</v>
      </c>
      <c r="AE19" s="228">
        <v>220</v>
      </c>
      <c r="AF19" s="228">
        <v>8</v>
      </c>
      <c r="AG19" s="228">
        <v>336</v>
      </c>
      <c r="AH19" s="228">
        <v>20</v>
      </c>
      <c r="AI19" s="228">
        <v>0</v>
      </c>
      <c r="AJ19" s="229">
        <v>12807</v>
      </c>
    </row>
    <row r="20" spans="1:36" ht="13.5" thickTop="1">
      <c r="A20" s="211" t="s">
        <v>1179</v>
      </c>
      <c r="B20" s="214">
        <v>0</v>
      </c>
      <c r="C20" s="213">
        <v>0</v>
      </c>
      <c r="D20" s="213"/>
      <c r="E20" s="213">
        <v>0</v>
      </c>
      <c r="F20" s="213"/>
      <c r="G20" s="213"/>
      <c r="H20" s="213">
        <v>0</v>
      </c>
      <c r="I20" s="213"/>
      <c r="J20" s="205">
        <v>0</v>
      </c>
    </row>
    <row r="21" spans="1:36">
      <c r="A21" s="210" t="s">
        <v>1178</v>
      </c>
      <c r="B21" s="215">
        <v>1280</v>
      </c>
      <c r="C21" s="235">
        <v>856</v>
      </c>
      <c r="D21" s="235">
        <v>1036</v>
      </c>
      <c r="E21" s="235">
        <v>40</v>
      </c>
      <c r="F21" s="235">
        <v>0</v>
      </c>
      <c r="G21" s="235">
        <v>84</v>
      </c>
      <c r="H21" s="235">
        <v>0</v>
      </c>
      <c r="I21" s="235">
        <v>0</v>
      </c>
      <c r="J21" s="209">
        <v>3296</v>
      </c>
    </row>
    <row r="22" spans="1:36">
      <c r="A22" s="212" t="s">
        <v>1225</v>
      </c>
      <c r="B22" s="213">
        <v>112</v>
      </c>
      <c r="C22" s="213">
        <v>0</v>
      </c>
      <c r="D22" s="213">
        <v>108</v>
      </c>
      <c r="E22" s="213">
        <v>0</v>
      </c>
      <c r="F22" s="213"/>
      <c r="G22" s="213">
        <v>28</v>
      </c>
      <c r="H22" s="213">
        <v>0</v>
      </c>
      <c r="I22" s="213"/>
      <c r="J22" s="205">
        <v>248</v>
      </c>
    </row>
    <row r="23" spans="1:36">
      <c r="A23" s="212" t="s">
        <v>1226</v>
      </c>
      <c r="B23" s="213">
        <v>16</v>
      </c>
      <c r="C23" s="213">
        <v>176</v>
      </c>
      <c r="D23" s="213">
        <v>16</v>
      </c>
      <c r="E23" s="213">
        <v>0</v>
      </c>
      <c r="F23" s="213"/>
      <c r="G23" s="213">
        <v>28</v>
      </c>
      <c r="H23" s="213">
        <v>0</v>
      </c>
      <c r="I23" s="213"/>
      <c r="J23" s="205">
        <v>236</v>
      </c>
    </row>
    <row r="24" spans="1:36">
      <c r="A24" s="211" t="s">
        <v>1174</v>
      </c>
      <c r="B24" s="214">
        <v>48</v>
      </c>
      <c r="C24" s="213">
        <v>0</v>
      </c>
      <c r="D24" s="213">
        <v>20</v>
      </c>
      <c r="E24" s="213">
        <v>20</v>
      </c>
      <c r="F24" s="213"/>
      <c r="G24" s="213"/>
      <c r="H24" s="213">
        <v>0</v>
      </c>
      <c r="I24" s="213"/>
      <c r="J24" s="205">
        <v>88</v>
      </c>
    </row>
    <row r="25" spans="1:36">
      <c r="A25" s="211" t="s">
        <v>1177</v>
      </c>
      <c r="B25" s="214">
        <v>488</v>
      </c>
      <c r="C25" s="213">
        <v>636</v>
      </c>
      <c r="D25" s="213">
        <v>316</v>
      </c>
      <c r="E25" s="213">
        <v>20</v>
      </c>
      <c r="F25" s="213"/>
      <c r="G25" s="213">
        <v>28</v>
      </c>
      <c r="H25" s="213">
        <v>0</v>
      </c>
      <c r="I25" s="213"/>
      <c r="J25" s="205">
        <v>1488</v>
      </c>
    </row>
    <row r="26" spans="1:36">
      <c r="A26" s="211" t="s">
        <v>1176</v>
      </c>
      <c r="B26" s="214">
        <v>0</v>
      </c>
      <c r="C26" s="213">
        <v>0</v>
      </c>
      <c r="D26" s="213">
        <v>208</v>
      </c>
      <c r="E26" s="213">
        <v>0</v>
      </c>
      <c r="F26" s="213"/>
      <c r="G26" s="213"/>
      <c r="H26" s="213">
        <v>0</v>
      </c>
      <c r="I26" s="213"/>
      <c r="J26" s="205">
        <v>208</v>
      </c>
    </row>
    <row r="27" spans="1:36">
      <c r="A27" s="211" t="s">
        <v>1175</v>
      </c>
      <c r="B27" s="214">
        <v>168</v>
      </c>
      <c r="C27" s="213">
        <v>0</v>
      </c>
      <c r="D27" s="213">
        <v>200</v>
      </c>
      <c r="E27" s="213">
        <v>0</v>
      </c>
      <c r="F27" s="213"/>
      <c r="G27" s="213"/>
      <c r="H27" s="213">
        <v>0</v>
      </c>
      <c r="I27" s="213"/>
      <c r="J27" s="205">
        <v>368</v>
      </c>
    </row>
    <row r="28" spans="1:36">
      <c r="A28" s="211" t="s">
        <v>1173</v>
      </c>
      <c r="B28" s="214">
        <v>0</v>
      </c>
      <c r="C28" s="213">
        <v>0</v>
      </c>
      <c r="D28" s="213"/>
      <c r="E28" s="213">
        <v>0</v>
      </c>
      <c r="F28" s="213"/>
      <c r="G28" s="213"/>
      <c r="H28" s="213">
        <v>0</v>
      </c>
      <c r="I28" s="213"/>
      <c r="J28" s="205">
        <v>0</v>
      </c>
    </row>
    <row r="29" spans="1:36">
      <c r="A29" s="210" t="s">
        <v>1172</v>
      </c>
      <c r="B29" s="215">
        <v>832</v>
      </c>
      <c r="C29" s="235">
        <v>812</v>
      </c>
      <c r="D29" s="235">
        <v>868</v>
      </c>
      <c r="E29" s="235">
        <v>40</v>
      </c>
      <c r="F29" s="235">
        <v>0</v>
      </c>
      <c r="G29" s="235">
        <v>84</v>
      </c>
      <c r="H29" s="235">
        <v>0</v>
      </c>
      <c r="I29" s="235">
        <v>0</v>
      </c>
      <c r="J29" s="209">
        <v>2636</v>
      </c>
    </row>
    <row r="30" spans="1:36">
      <c r="A30" s="212" t="s">
        <v>1209</v>
      </c>
      <c r="B30" s="213">
        <v>124</v>
      </c>
      <c r="C30" s="213">
        <v>0</v>
      </c>
      <c r="D30" s="213">
        <v>92</v>
      </c>
      <c r="E30" s="213">
        <v>0</v>
      </c>
      <c r="F30" s="213"/>
      <c r="G30" s="213">
        <v>28</v>
      </c>
      <c r="H30" s="213">
        <v>0</v>
      </c>
      <c r="I30" s="213"/>
      <c r="J30" s="205">
        <v>244</v>
      </c>
    </row>
    <row r="31" spans="1:36">
      <c r="A31" s="212" t="s">
        <v>1210</v>
      </c>
      <c r="B31" s="213">
        <v>8</v>
      </c>
      <c r="C31" s="213">
        <v>208</v>
      </c>
      <c r="D31" s="213">
        <v>8</v>
      </c>
      <c r="E31" s="213">
        <v>0</v>
      </c>
      <c r="F31" s="213"/>
      <c r="G31" s="213">
        <v>28</v>
      </c>
      <c r="H31" s="213">
        <v>0</v>
      </c>
      <c r="I31" s="213"/>
      <c r="J31" s="205">
        <v>252</v>
      </c>
    </row>
    <row r="32" spans="1:36">
      <c r="A32" s="211" t="s">
        <v>1171</v>
      </c>
      <c r="B32" s="214">
        <v>484</v>
      </c>
      <c r="C32" s="213">
        <v>681</v>
      </c>
      <c r="D32" s="213">
        <v>374</v>
      </c>
      <c r="E32" s="213">
        <v>20</v>
      </c>
      <c r="F32" s="213"/>
      <c r="G32" s="213">
        <v>28</v>
      </c>
      <c r="H32" s="213">
        <v>0</v>
      </c>
      <c r="I32" s="213"/>
      <c r="J32" s="205">
        <v>1587</v>
      </c>
    </row>
    <row r="33" spans="1:48">
      <c r="A33" s="211" t="s">
        <v>1170</v>
      </c>
      <c r="B33" s="214">
        <v>0</v>
      </c>
      <c r="C33" s="213">
        <v>0</v>
      </c>
      <c r="D33" s="213">
        <v>180</v>
      </c>
      <c r="E33" s="213">
        <v>0</v>
      </c>
      <c r="F33" s="213"/>
      <c r="G33" s="213"/>
      <c r="H33" s="213">
        <v>0</v>
      </c>
      <c r="I33" s="213"/>
      <c r="J33" s="205">
        <v>180</v>
      </c>
    </row>
    <row r="34" spans="1:48">
      <c r="A34" s="211" t="s">
        <v>1169</v>
      </c>
      <c r="B34" s="214">
        <v>160</v>
      </c>
      <c r="C34" s="213">
        <v>0</v>
      </c>
      <c r="D34" s="213">
        <v>120</v>
      </c>
      <c r="E34" s="213">
        <v>0</v>
      </c>
      <c r="F34" s="213"/>
      <c r="G34" s="213"/>
      <c r="H34" s="213">
        <v>0</v>
      </c>
      <c r="I34" s="213"/>
      <c r="J34" s="205">
        <v>280</v>
      </c>
    </row>
    <row r="35" spans="1:48">
      <c r="A35" s="211" t="s">
        <v>1168</v>
      </c>
      <c r="B35" s="214">
        <v>8</v>
      </c>
      <c r="C35" s="213">
        <v>0</v>
      </c>
      <c r="D35" s="213">
        <v>40</v>
      </c>
      <c r="E35" s="213">
        <v>20</v>
      </c>
      <c r="F35" s="213"/>
      <c r="G35" s="213"/>
      <c r="H35" s="213">
        <v>0</v>
      </c>
      <c r="I35" s="213"/>
      <c r="J35" s="205">
        <v>68</v>
      </c>
      <c r="AA35" s="206" t="s">
        <v>1223</v>
      </c>
      <c r="AB35" s="206" t="s">
        <v>1230</v>
      </c>
    </row>
    <row r="36" spans="1:48">
      <c r="A36" s="211" t="s">
        <v>1167</v>
      </c>
      <c r="B36" s="214">
        <v>0</v>
      </c>
      <c r="C36" s="213">
        <v>0</v>
      </c>
      <c r="D36" s="213"/>
      <c r="E36" s="213">
        <v>0</v>
      </c>
      <c r="F36" s="213"/>
      <c r="G36" s="213"/>
      <c r="H36" s="213">
        <v>0</v>
      </c>
      <c r="I36" s="213"/>
      <c r="J36" s="205">
        <v>0</v>
      </c>
      <c r="AB36" t="s">
        <v>862</v>
      </c>
      <c r="AC36" t="s">
        <v>618</v>
      </c>
      <c r="AD36" t="s">
        <v>86</v>
      </c>
      <c r="AE36" t="s">
        <v>80</v>
      </c>
      <c r="AF36" t="s">
        <v>639</v>
      </c>
      <c r="AG36" t="s">
        <v>633</v>
      </c>
      <c r="AH36" t="s">
        <v>83</v>
      </c>
      <c r="AI36" t="s">
        <v>82</v>
      </c>
      <c r="AJ36" t="s">
        <v>79</v>
      </c>
      <c r="AK36" t="s">
        <v>78</v>
      </c>
      <c r="AL36" t="s">
        <v>81</v>
      </c>
      <c r="AM36" t="s">
        <v>9</v>
      </c>
      <c r="AN36" t="s">
        <v>84</v>
      </c>
      <c r="AO36" t="s">
        <v>75</v>
      </c>
      <c r="AP36" t="s">
        <v>675</v>
      </c>
      <c r="AQ36" t="s">
        <v>13</v>
      </c>
      <c r="AR36" t="s">
        <v>860</v>
      </c>
      <c r="AS36" t="s">
        <v>10</v>
      </c>
      <c r="AT36" t="s">
        <v>690</v>
      </c>
      <c r="AU36" t="s">
        <v>1241</v>
      </c>
      <c r="AV36" t="s">
        <v>1231</v>
      </c>
    </row>
    <row r="37" spans="1:48">
      <c r="A37" s="210" t="s">
        <v>1166</v>
      </c>
      <c r="B37" s="215">
        <v>784</v>
      </c>
      <c r="C37" s="235">
        <v>889</v>
      </c>
      <c r="D37" s="235">
        <v>814</v>
      </c>
      <c r="E37" s="235">
        <v>40</v>
      </c>
      <c r="F37" s="235">
        <v>0</v>
      </c>
      <c r="G37" s="235">
        <v>84</v>
      </c>
      <c r="H37" s="235">
        <v>0</v>
      </c>
      <c r="I37" s="235">
        <v>0</v>
      </c>
      <c r="J37" s="209">
        <v>2611</v>
      </c>
    </row>
    <row r="38" spans="1:48" ht="13.5" thickBot="1">
      <c r="A38" s="208" t="s">
        <v>1165</v>
      </c>
      <c r="B38" s="216">
        <v>4368</v>
      </c>
      <c r="C38" s="236">
        <v>3873</v>
      </c>
      <c r="D38" s="236">
        <v>3982</v>
      </c>
      <c r="E38" s="236">
        <v>220</v>
      </c>
      <c r="F38" s="236">
        <v>8</v>
      </c>
      <c r="G38" s="236">
        <v>336</v>
      </c>
      <c r="H38" s="236">
        <v>20</v>
      </c>
      <c r="I38" s="236">
        <v>0</v>
      </c>
      <c r="J38" s="207">
        <v>12807</v>
      </c>
    </row>
    <row r="39" spans="1:48" ht="13.5" thickTop="1"/>
    <row r="40" spans="1:48">
      <c r="AA40" s="206" t="s">
        <v>1242</v>
      </c>
    </row>
    <row r="41" spans="1:48">
      <c r="AA41" s="233" t="s">
        <v>670</v>
      </c>
      <c r="AB41" s="231"/>
      <c r="AC41" s="231"/>
      <c r="AD41" s="231">
        <v>0</v>
      </c>
      <c r="AE41" s="231"/>
      <c r="AF41" s="231"/>
      <c r="AG41" s="231"/>
      <c r="AH41" s="231"/>
      <c r="AI41" s="231"/>
      <c r="AJ41" s="231"/>
      <c r="AK41" s="231"/>
      <c r="AL41" s="231"/>
      <c r="AM41" s="231"/>
      <c r="AN41" s="231"/>
      <c r="AO41" s="231"/>
      <c r="AP41" s="231"/>
      <c r="AQ41" s="231">
        <v>420</v>
      </c>
      <c r="AR41" s="231"/>
      <c r="AS41" s="231"/>
      <c r="AT41" s="231">
        <v>28</v>
      </c>
      <c r="AU41" s="214"/>
      <c r="AV41" s="205">
        <v>448</v>
      </c>
    </row>
    <row r="42" spans="1:48">
      <c r="AA42" s="233" t="s">
        <v>4</v>
      </c>
      <c r="AB42" s="231"/>
      <c r="AC42" s="231"/>
      <c r="AD42" s="231">
        <v>0</v>
      </c>
      <c r="AE42" s="231">
        <v>216</v>
      </c>
      <c r="AF42" s="231"/>
      <c r="AG42" s="231"/>
      <c r="AH42" s="231"/>
      <c r="AI42" s="231"/>
      <c r="AJ42" s="231"/>
      <c r="AK42" s="231"/>
      <c r="AL42" s="231">
        <v>160</v>
      </c>
      <c r="AM42" s="231"/>
      <c r="AN42" s="231"/>
      <c r="AO42" s="231">
        <v>0</v>
      </c>
      <c r="AP42" s="231"/>
      <c r="AQ42" s="231"/>
      <c r="AR42" s="231"/>
      <c r="AS42" s="231"/>
      <c r="AT42" s="231"/>
      <c r="AU42" s="214"/>
      <c r="AV42" s="205">
        <v>376</v>
      </c>
    </row>
    <row r="43" spans="1:48">
      <c r="AA43" s="233" t="s">
        <v>659</v>
      </c>
      <c r="AB43" s="231">
        <v>0</v>
      </c>
      <c r="AC43" s="231"/>
      <c r="AD43" s="231">
        <v>0</v>
      </c>
      <c r="AE43" s="231">
        <v>340</v>
      </c>
      <c r="AF43" s="231"/>
      <c r="AG43" s="231"/>
      <c r="AH43" s="231"/>
      <c r="AI43" s="231"/>
      <c r="AJ43" s="231"/>
      <c r="AK43" s="231"/>
      <c r="AL43" s="231">
        <v>312</v>
      </c>
      <c r="AM43" s="231"/>
      <c r="AN43" s="231"/>
      <c r="AO43" s="231">
        <v>0</v>
      </c>
      <c r="AP43" s="231"/>
      <c r="AQ43" s="231">
        <v>544</v>
      </c>
      <c r="AR43" s="231"/>
      <c r="AS43" s="231"/>
      <c r="AT43" s="231"/>
      <c r="AU43" s="214">
        <v>0</v>
      </c>
      <c r="AV43" s="205">
        <v>1196</v>
      </c>
    </row>
    <row r="44" spans="1:48">
      <c r="AA44" s="233" t="s">
        <v>660</v>
      </c>
      <c r="AB44" s="231"/>
      <c r="AC44" s="231"/>
      <c r="AD44" s="231">
        <v>564</v>
      </c>
      <c r="AE44" s="231"/>
      <c r="AF44" s="231"/>
      <c r="AG44" s="231"/>
      <c r="AH44" s="231"/>
      <c r="AI44" s="231"/>
      <c r="AJ44" s="231"/>
      <c r="AK44" s="231"/>
      <c r="AL44" s="231">
        <v>20</v>
      </c>
      <c r="AM44" s="231">
        <v>0</v>
      </c>
      <c r="AN44" s="231"/>
      <c r="AO44" s="231">
        <v>20</v>
      </c>
      <c r="AP44" s="231"/>
      <c r="AQ44" s="231"/>
      <c r="AR44" s="231"/>
      <c r="AS44" s="231">
        <v>285</v>
      </c>
      <c r="AT44" s="231"/>
      <c r="AU44" s="214"/>
      <c r="AV44" s="205">
        <v>889</v>
      </c>
    </row>
    <row r="45" spans="1:48">
      <c r="AA45" s="233" t="s">
        <v>692</v>
      </c>
      <c r="AB45" s="231"/>
      <c r="AC45" s="231"/>
      <c r="AD45" s="231">
        <v>0</v>
      </c>
      <c r="AE45" s="231">
        <v>28</v>
      </c>
      <c r="AF45" s="231"/>
      <c r="AG45" s="231"/>
      <c r="AH45" s="231"/>
      <c r="AI45" s="231"/>
      <c r="AJ45" s="231"/>
      <c r="AK45" s="231"/>
      <c r="AL45" s="231"/>
      <c r="AM45" s="231"/>
      <c r="AN45" s="231"/>
      <c r="AO45" s="231"/>
      <c r="AP45" s="231"/>
      <c r="AQ45" s="231"/>
      <c r="AR45" s="231"/>
      <c r="AS45" s="231"/>
      <c r="AT45" s="231"/>
      <c r="AU45" s="214"/>
      <c r="AV45" s="205">
        <v>28</v>
      </c>
    </row>
    <row r="46" spans="1:48">
      <c r="AA46" s="233" t="s">
        <v>661</v>
      </c>
      <c r="AB46" s="231"/>
      <c r="AC46" s="231"/>
      <c r="AD46" s="231">
        <v>632</v>
      </c>
      <c r="AE46" s="231">
        <v>32</v>
      </c>
      <c r="AF46" s="231"/>
      <c r="AG46" s="231"/>
      <c r="AH46" s="231"/>
      <c r="AI46" s="231"/>
      <c r="AJ46" s="231">
        <v>260</v>
      </c>
      <c r="AK46" s="231"/>
      <c r="AL46" s="231">
        <v>412</v>
      </c>
      <c r="AM46" s="231"/>
      <c r="AN46" s="231"/>
      <c r="AO46" s="231"/>
      <c r="AP46" s="231"/>
      <c r="AQ46" s="231"/>
      <c r="AR46" s="231"/>
      <c r="AS46" s="231"/>
      <c r="AT46" s="231"/>
      <c r="AU46" s="214"/>
      <c r="AV46" s="205">
        <v>1336</v>
      </c>
    </row>
    <row r="47" spans="1:48">
      <c r="B47" s="206" t="s">
        <v>1230</v>
      </c>
      <c r="AA47" s="233" t="s">
        <v>662</v>
      </c>
      <c r="AB47" s="231"/>
      <c r="AC47" s="231"/>
      <c r="AD47" s="231">
        <v>120</v>
      </c>
      <c r="AE47" s="231">
        <v>468</v>
      </c>
      <c r="AF47" s="231"/>
      <c r="AG47" s="231"/>
      <c r="AH47" s="231"/>
      <c r="AI47" s="231"/>
      <c r="AJ47" s="231">
        <v>420</v>
      </c>
      <c r="AK47" s="231"/>
      <c r="AL47" s="231">
        <v>232</v>
      </c>
      <c r="AM47" s="231"/>
      <c r="AN47" s="231"/>
      <c r="AO47" s="231"/>
      <c r="AP47" s="231"/>
      <c r="AQ47" s="231"/>
      <c r="AR47" s="231"/>
      <c r="AS47" s="231"/>
      <c r="AT47" s="231"/>
      <c r="AU47" s="214"/>
      <c r="AV47" s="205">
        <v>1240</v>
      </c>
    </row>
    <row r="48" spans="1:48">
      <c r="B48" t="s">
        <v>862</v>
      </c>
      <c r="C48" t="s">
        <v>618</v>
      </c>
      <c r="D48" t="s">
        <v>86</v>
      </c>
      <c r="E48" t="s">
        <v>80</v>
      </c>
      <c r="F48" t="s">
        <v>639</v>
      </c>
      <c r="G48" t="s">
        <v>633</v>
      </c>
      <c r="H48" t="s">
        <v>83</v>
      </c>
      <c r="I48" t="s">
        <v>82</v>
      </c>
      <c r="J48" t="s">
        <v>79</v>
      </c>
      <c r="K48" t="s">
        <v>78</v>
      </c>
      <c r="L48" t="s">
        <v>81</v>
      </c>
      <c r="M48" t="s">
        <v>9</v>
      </c>
      <c r="N48" t="s">
        <v>84</v>
      </c>
      <c r="O48" t="s">
        <v>75</v>
      </c>
      <c r="P48" t="s">
        <v>675</v>
      </c>
      <c r="Q48" t="s">
        <v>13</v>
      </c>
      <c r="R48" t="s">
        <v>860</v>
      </c>
      <c r="S48" t="s">
        <v>10</v>
      </c>
      <c r="T48" t="s">
        <v>690</v>
      </c>
      <c r="U48" t="s">
        <v>1241</v>
      </c>
      <c r="V48" t="s">
        <v>1231</v>
      </c>
      <c r="AA48" s="233" t="s">
        <v>663</v>
      </c>
      <c r="AB48" s="231"/>
      <c r="AC48" s="231"/>
      <c r="AD48" s="231">
        <v>32</v>
      </c>
      <c r="AE48" s="231"/>
      <c r="AF48" s="231"/>
      <c r="AG48" s="231"/>
      <c r="AH48" s="231">
        <v>216</v>
      </c>
      <c r="AI48" s="231"/>
      <c r="AJ48" s="231"/>
      <c r="AK48" s="231">
        <v>68</v>
      </c>
      <c r="AL48" s="231">
        <v>120</v>
      </c>
      <c r="AM48" s="231"/>
      <c r="AN48" s="231"/>
      <c r="AO48" s="231"/>
      <c r="AP48" s="231"/>
      <c r="AQ48" s="231"/>
      <c r="AR48" s="231"/>
      <c r="AS48" s="231"/>
      <c r="AT48" s="231"/>
      <c r="AU48" s="214"/>
      <c r="AV48" s="205">
        <v>436</v>
      </c>
    </row>
    <row r="49" spans="1:48">
      <c r="AA49" s="233" t="s">
        <v>664</v>
      </c>
      <c r="AB49" s="231"/>
      <c r="AC49" s="231"/>
      <c r="AD49" s="231">
        <v>44</v>
      </c>
      <c r="AE49" s="231"/>
      <c r="AF49" s="231"/>
      <c r="AG49" s="231"/>
      <c r="AH49" s="231">
        <v>216</v>
      </c>
      <c r="AI49" s="231"/>
      <c r="AJ49" s="231"/>
      <c r="AK49" s="231">
        <v>60</v>
      </c>
      <c r="AL49" s="231">
        <v>224</v>
      </c>
      <c r="AM49" s="231"/>
      <c r="AN49" s="231"/>
      <c r="AO49" s="231"/>
      <c r="AP49" s="231"/>
      <c r="AQ49" s="231"/>
      <c r="AR49" s="231"/>
      <c r="AS49" s="231"/>
      <c r="AT49" s="231"/>
      <c r="AU49" s="214"/>
      <c r="AV49" s="205">
        <v>544</v>
      </c>
    </row>
    <row r="50" spans="1:48">
      <c r="AA50" s="233" t="s">
        <v>665</v>
      </c>
      <c r="AB50" s="231"/>
      <c r="AC50" s="231"/>
      <c r="AD50" s="231"/>
      <c r="AE50" s="231"/>
      <c r="AF50" s="231"/>
      <c r="AG50" s="231"/>
      <c r="AH50" s="231"/>
      <c r="AI50" s="231"/>
      <c r="AJ50" s="231">
        <v>256</v>
      </c>
      <c r="AK50" s="231"/>
      <c r="AL50" s="231"/>
      <c r="AM50" s="231"/>
      <c r="AN50" s="231"/>
      <c r="AO50" s="231"/>
      <c r="AP50" s="231"/>
      <c r="AQ50" s="231">
        <v>176</v>
      </c>
      <c r="AR50" s="231"/>
      <c r="AS50" s="231"/>
      <c r="AT50" s="231"/>
      <c r="AU50" s="214">
        <v>0</v>
      </c>
      <c r="AV50" s="205">
        <v>432</v>
      </c>
    </row>
    <row r="51" spans="1:48">
      <c r="AA51" s="233" t="s">
        <v>672</v>
      </c>
      <c r="AB51" s="231"/>
      <c r="AC51" s="231"/>
      <c r="AD51" s="231">
        <v>20</v>
      </c>
      <c r="AE51" s="231">
        <v>232</v>
      </c>
      <c r="AF51" s="231"/>
      <c r="AG51" s="231">
        <v>124</v>
      </c>
      <c r="AH51" s="231">
        <v>60</v>
      </c>
      <c r="AI51" s="231"/>
      <c r="AJ51" s="231"/>
      <c r="AK51" s="231">
        <v>40</v>
      </c>
      <c r="AL51" s="231">
        <v>204</v>
      </c>
      <c r="AM51" s="231"/>
      <c r="AN51" s="231"/>
      <c r="AO51" s="231"/>
      <c r="AP51" s="231"/>
      <c r="AQ51" s="231">
        <v>32</v>
      </c>
      <c r="AR51" s="231"/>
      <c r="AS51" s="231"/>
      <c r="AT51" s="231"/>
      <c r="AU51" s="214"/>
      <c r="AV51" s="205">
        <v>712</v>
      </c>
    </row>
    <row r="52" spans="1:48">
      <c r="A52" s="206" t="s">
        <v>1190</v>
      </c>
      <c r="AA52" s="233" t="s">
        <v>666</v>
      </c>
      <c r="AB52" s="231"/>
      <c r="AC52" s="231"/>
      <c r="AD52" s="231">
        <v>60</v>
      </c>
      <c r="AE52" s="231"/>
      <c r="AF52" s="231"/>
      <c r="AG52" s="231"/>
      <c r="AH52" s="231"/>
      <c r="AI52" s="231"/>
      <c r="AJ52" s="231"/>
      <c r="AK52" s="231"/>
      <c r="AL52" s="231"/>
      <c r="AM52" s="231"/>
      <c r="AN52" s="231"/>
      <c r="AO52" s="231"/>
      <c r="AP52" s="231"/>
      <c r="AQ52" s="231"/>
      <c r="AR52" s="231"/>
      <c r="AS52" s="231"/>
      <c r="AT52" s="231"/>
      <c r="AU52" s="214"/>
      <c r="AV52" s="205">
        <v>60</v>
      </c>
    </row>
    <row r="53" spans="1:48">
      <c r="A53" s="212" t="s">
        <v>1206</v>
      </c>
      <c r="B53" s="213">
        <v>100</v>
      </c>
      <c r="C53" s="214">
        <v>20</v>
      </c>
      <c r="D53" s="214">
        <v>88</v>
      </c>
      <c r="E53" s="214">
        <v>48</v>
      </c>
      <c r="F53" s="214">
        <v>8</v>
      </c>
      <c r="G53" s="214">
        <v>8</v>
      </c>
      <c r="H53" s="214">
        <v>20</v>
      </c>
      <c r="I53" s="214"/>
      <c r="J53" s="214">
        <v>84</v>
      </c>
      <c r="K53" s="214">
        <v>28</v>
      </c>
      <c r="L53" s="214">
        <v>92</v>
      </c>
      <c r="M53" s="214">
        <v>0</v>
      </c>
      <c r="N53" s="214"/>
      <c r="O53" s="214">
        <v>20</v>
      </c>
      <c r="P53" s="214"/>
      <c r="Q53" s="214">
        <v>44</v>
      </c>
      <c r="R53" s="214">
        <v>20</v>
      </c>
      <c r="S53" s="214"/>
      <c r="T53" s="214">
        <v>44</v>
      </c>
      <c r="U53" s="214">
        <v>20</v>
      </c>
      <c r="V53" s="205">
        <v>644</v>
      </c>
      <c r="AA53" s="233" t="s">
        <v>667</v>
      </c>
      <c r="AB53" s="231"/>
      <c r="AC53" s="231"/>
      <c r="AD53" s="231"/>
      <c r="AE53" s="231"/>
      <c r="AF53" s="231"/>
      <c r="AG53" s="231"/>
      <c r="AH53" s="231"/>
      <c r="AI53" s="231">
        <v>0</v>
      </c>
      <c r="AJ53" s="231"/>
      <c r="AK53" s="231"/>
      <c r="AL53" s="231"/>
      <c r="AM53" s="231"/>
      <c r="AN53" s="231"/>
      <c r="AO53" s="231"/>
      <c r="AP53" s="231"/>
      <c r="AQ53" s="231"/>
      <c r="AR53" s="231"/>
      <c r="AS53" s="231"/>
      <c r="AT53" s="231"/>
      <c r="AU53" s="214"/>
      <c r="AV53" s="205">
        <v>0</v>
      </c>
    </row>
    <row r="54" spans="1:48">
      <c r="A54" s="212" t="s">
        <v>1224</v>
      </c>
      <c r="B54" s="213"/>
      <c r="C54" s="214">
        <v>8</v>
      </c>
      <c r="D54" s="214">
        <v>100</v>
      </c>
      <c r="E54" s="214">
        <v>100</v>
      </c>
      <c r="F54" s="214"/>
      <c r="G54" s="214"/>
      <c r="H54" s="214"/>
      <c r="I54" s="214"/>
      <c r="J54" s="214">
        <v>8</v>
      </c>
      <c r="K54" s="214"/>
      <c r="L54" s="214">
        <v>16</v>
      </c>
      <c r="M54" s="214"/>
      <c r="N54" s="214"/>
      <c r="O54" s="214"/>
      <c r="P54" s="214"/>
      <c r="Q54" s="214">
        <v>36</v>
      </c>
      <c r="R54" s="214">
        <v>68</v>
      </c>
      <c r="S54" s="214"/>
      <c r="T54" s="214">
        <v>0</v>
      </c>
      <c r="U54" s="214">
        <v>0</v>
      </c>
      <c r="V54" s="205">
        <v>336</v>
      </c>
      <c r="AA54" s="233" t="s">
        <v>668</v>
      </c>
      <c r="AB54" s="231"/>
      <c r="AC54" s="231"/>
      <c r="AD54" s="231"/>
      <c r="AE54" s="231"/>
      <c r="AF54" s="231"/>
      <c r="AG54" s="231"/>
      <c r="AH54" s="231"/>
      <c r="AI54" s="231"/>
      <c r="AJ54" s="231"/>
      <c r="AK54" s="231"/>
      <c r="AL54" s="231"/>
      <c r="AM54" s="231"/>
      <c r="AN54" s="231"/>
      <c r="AO54" s="231"/>
      <c r="AP54" s="231"/>
      <c r="AQ54" s="231"/>
      <c r="AR54" s="231"/>
      <c r="AS54" s="231">
        <v>0</v>
      </c>
      <c r="AT54" s="231"/>
      <c r="AU54" s="214"/>
      <c r="AV54" s="205">
        <v>0</v>
      </c>
    </row>
    <row r="55" spans="1:48">
      <c r="A55" s="211" t="s">
        <v>1189</v>
      </c>
      <c r="B55" s="213">
        <v>100</v>
      </c>
      <c r="C55" s="214">
        <v>88</v>
      </c>
      <c r="D55" s="214">
        <v>528</v>
      </c>
      <c r="E55" s="214">
        <v>308</v>
      </c>
      <c r="F55" s="214"/>
      <c r="G55" s="214">
        <v>40</v>
      </c>
      <c r="H55" s="214">
        <v>88</v>
      </c>
      <c r="I55" s="214"/>
      <c r="J55" s="214">
        <v>148</v>
      </c>
      <c r="K55" s="214">
        <v>220</v>
      </c>
      <c r="L55" s="214">
        <v>348</v>
      </c>
      <c r="M55" s="214">
        <v>128</v>
      </c>
      <c r="N55" s="214"/>
      <c r="O55" s="214"/>
      <c r="P55" s="214"/>
      <c r="Q55" s="214">
        <v>108</v>
      </c>
      <c r="R55" s="214">
        <v>180</v>
      </c>
      <c r="S55" s="214">
        <v>40</v>
      </c>
      <c r="T55" s="214">
        <v>0</v>
      </c>
      <c r="U55" s="214">
        <v>20</v>
      </c>
      <c r="V55" s="205">
        <v>2344</v>
      </c>
      <c r="AA55" s="233" t="s">
        <v>671</v>
      </c>
      <c r="AB55" s="231"/>
      <c r="AC55" s="231"/>
      <c r="AD55" s="231">
        <v>0</v>
      </c>
      <c r="AE55" s="231"/>
      <c r="AF55" s="231"/>
      <c r="AG55" s="231"/>
      <c r="AH55" s="231"/>
      <c r="AI55" s="231"/>
      <c r="AJ55" s="231"/>
      <c r="AK55" s="231"/>
      <c r="AL55" s="231"/>
      <c r="AM55" s="231"/>
      <c r="AN55" s="231"/>
      <c r="AO55" s="231"/>
      <c r="AP55" s="231"/>
      <c r="AQ55" s="231">
        <v>20</v>
      </c>
      <c r="AR55" s="231"/>
      <c r="AS55" s="231"/>
      <c r="AT55" s="231">
        <v>0</v>
      </c>
      <c r="AU55" s="214"/>
      <c r="AV55" s="205">
        <v>20</v>
      </c>
    </row>
    <row r="56" spans="1:48">
      <c r="A56" s="211" t="s">
        <v>1188</v>
      </c>
      <c r="B56" s="213"/>
      <c r="C56" s="214">
        <v>20</v>
      </c>
      <c r="D56" s="214">
        <v>0</v>
      </c>
      <c r="E56" s="214">
        <v>0</v>
      </c>
      <c r="F56" s="214"/>
      <c r="G56" s="214"/>
      <c r="H56" s="214"/>
      <c r="I56" s="214"/>
      <c r="J56" s="214">
        <v>20</v>
      </c>
      <c r="K56" s="214"/>
      <c r="L56" s="214">
        <v>80</v>
      </c>
      <c r="M56" s="214"/>
      <c r="N56" s="214"/>
      <c r="O56" s="214"/>
      <c r="P56" s="214"/>
      <c r="Q56" s="214">
        <v>100</v>
      </c>
      <c r="R56" s="214"/>
      <c r="S56" s="214">
        <v>8</v>
      </c>
      <c r="T56" s="214">
        <v>20</v>
      </c>
      <c r="U56" s="214">
        <v>0</v>
      </c>
      <c r="V56" s="205">
        <v>248</v>
      </c>
      <c r="AA56" s="233" t="s">
        <v>674</v>
      </c>
      <c r="AB56" s="231"/>
      <c r="AC56" s="231"/>
      <c r="AD56" s="231">
        <v>0</v>
      </c>
      <c r="AE56" s="231">
        <v>0</v>
      </c>
      <c r="AF56" s="231"/>
      <c r="AG56" s="231"/>
      <c r="AH56" s="231">
        <v>16</v>
      </c>
      <c r="AI56" s="231"/>
      <c r="AJ56" s="231">
        <v>20</v>
      </c>
      <c r="AK56" s="231">
        <v>20</v>
      </c>
      <c r="AL56" s="231">
        <v>8</v>
      </c>
      <c r="AM56" s="231"/>
      <c r="AN56" s="231"/>
      <c r="AO56" s="231"/>
      <c r="AP56" s="231"/>
      <c r="AQ56" s="231">
        <v>0</v>
      </c>
      <c r="AR56" s="231"/>
      <c r="AS56" s="231"/>
      <c r="AT56" s="231"/>
      <c r="AU56" s="214"/>
      <c r="AV56" s="205">
        <v>64</v>
      </c>
    </row>
    <row r="57" spans="1:48">
      <c r="A57" s="211" t="s">
        <v>1187</v>
      </c>
      <c r="B57" s="213"/>
      <c r="C57" s="214">
        <v>0</v>
      </c>
      <c r="D57" s="214">
        <v>20</v>
      </c>
      <c r="E57" s="214">
        <v>0</v>
      </c>
      <c r="F57" s="214"/>
      <c r="G57" s="214"/>
      <c r="H57" s="214">
        <v>48</v>
      </c>
      <c r="I57" s="214"/>
      <c r="J57" s="214">
        <v>100</v>
      </c>
      <c r="K57" s="214">
        <v>28</v>
      </c>
      <c r="L57" s="214">
        <v>68</v>
      </c>
      <c r="M57" s="214"/>
      <c r="N57" s="214"/>
      <c r="O57" s="214"/>
      <c r="P57" s="214"/>
      <c r="Q57" s="214">
        <v>40</v>
      </c>
      <c r="R57" s="214"/>
      <c r="S57" s="214"/>
      <c r="T57" s="214">
        <v>0</v>
      </c>
      <c r="U57" s="214">
        <v>0</v>
      </c>
      <c r="V57" s="205">
        <v>304</v>
      </c>
      <c r="AA57" s="233" t="s">
        <v>673</v>
      </c>
      <c r="AB57" s="231"/>
      <c r="AC57" s="231"/>
      <c r="AD57" s="231">
        <v>880</v>
      </c>
      <c r="AE57" s="231">
        <v>348</v>
      </c>
      <c r="AF57" s="231">
        <v>24</v>
      </c>
      <c r="AG57" s="231"/>
      <c r="AH57" s="231"/>
      <c r="AI57" s="231">
        <v>0</v>
      </c>
      <c r="AJ57" s="231">
        <v>324</v>
      </c>
      <c r="AK57" s="231">
        <v>160</v>
      </c>
      <c r="AL57" s="231">
        <v>232</v>
      </c>
      <c r="AM57" s="231">
        <v>80</v>
      </c>
      <c r="AN57" s="231">
        <v>0</v>
      </c>
      <c r="AO57" s="231">
        <v>0</v>
      </c>
      <c r="AP57" s="231">
        <v>0</v>
      </c>
      <c r="AQ57" s="231">
        <v>240</v>
      </c>
      <c r="AR57" s="231"/>
      <c r="AS57" s="231">
        <v>0</v>
      </c>
      <c r="AT57" s="231">
        <v>36</v>
      </c>
      <c r="AU57" s="214">
        <v>0</v>
      </c>
      <c r="AV57" s="205">
        <v>2324</v>
      </c>
    </row>
    <row r="58" spans="1:48">
      <c r="A58" s="211" t="s">
        <v>1186</v>
      </c>
      <c r="B58" s="213"/>
      <c r="C58" s="214"/>
      <c r="D58" s="214">
        <v>80</v>
      </c>
      <c r="E58" s="214">
        <v>40</v>
      </c>
      <c r="F58" s="214"/>
      <c r="G58" s="214"/>
      <c r="H58" s="214">
        <v>20</v>
      </c>
      <c r="I58" s="214"/>
      <c r="J58" s="214">
        <v>100</v>
      </c>
      <c r="K58" s="214">
        <v>28</v>
      </c>
      <c r="L58" s="214">
        <v>80</v>
      </c>
      <c r="M58" s="214"/>
      <c r="N58" s="214"/>
      <c r="O58" s="214"/>
      <c r="P58" s="214"/>
      <c r="Q58" s="214">
        <v>40</v>
      </c>
      <c r="R58" s="214"/>
      <c r="S58" s="214"/>
      <c r="T58" s="214">
        <v>0</v>
      </c>
      <c r="U58" s="214">
        <v>0</v>
      </c>
      <c r="V58" s="205">
        <v>388</v>
      </c>
      <c r="AA58" s="233" t="s">
        <v>75</v>
      </c>
      <c r="AB58" s="231">
        <v>200</v>
      </c>
      <c r="AC58" s="231"/>
      <c r="AD58" s="231"/>
      <c r="AE58" s="231">
        <v>72</v>
      </c>
      <c r="AF58" s="231"/>
      <c r="AG58" s="231"/>
      <c r="AH58" s="231"/>
      <c r="AI58" s="231">
        <v>0</v>
      </c>
      <c r="AJ58" s="231">
        <v>240</v>
      </c>
      <c r="AK58" s="231">
        <v>416</v>
      </c>
      <c r="AL58" s="231">
        <v>20</v>
      </c>
      <c r="AM58" s="231">
        <v>8</v>
      </c>
      <c r="AN58" s="231">
        <v>0</v>
      </c>
      <c r="AO58" s="231">
        <v>0</v>
      </c>
      <c r="AP58" s="231"/>
      <c r="AQ58" s="231">
        <v>0</v>
      </c>
      <c r="AR58" s="231">
        <v>392</v>
      </c>
      <c r="AS58" s="231">
        <v>8</v>
      </c>
      <c r="AT58" s="231">
        <v>0</v>
      </c>
      <c r="AU58" s="214">
        <v>0</v>
      </c>
      <c r="AV58" s="205">
        <v>1356</v>
      </c>
    </row>
    <row r="59" spans="1:48">
      <c r="A59" s="211" t="s">
        <v>1185</v>
      </c>
      <c r="B59" s="213"/>
      <c r="C59" s="214"/>
      <c r="D59" s="214">
        <v>0</v>
      </c>
      <c r="E59" s="214">
        <v>0</v>
      </c>
      <c r="F59" s="214"/>
      <c r="G59" s="214"/>
      <c r="H59" s="214"/>
      <c r="I59" s="214"/>
      <c r="J59" s="214"/>
      <c r="K59" s="214"/>
      <c r="L59" s="214">
        <v>0</v>
      </c>
      <c r="M59" s="214"/>
      <c r="N59" s="214"/>
      <c r="O59" s="214"/>
      <c r="P59" s="214"/>
      <c r="Q59" s="214"/>
      <c r="R59" s="214"/>
      <c r="S59" s="214"/>
      <c r="T59" s="214">
        <v>0</v>
      </c>
      <c r="U59" s="214">
        <v>0</v>
      </c>
      <c r="V59" s="205">
        <v>0</v>
      </c>
      <c r="AA59" s="233" t="s">
        <v>106</v>
      </c>
      <c r="AB59" s="231"/>
      <c r="AC59" s="231"/>
      <c r="AD59" s="231">
        <v>0</v>
      </c>
      <c r="AE59" s="231"/>
      <c r="AF59" s="231"/>
      <c r="AG59" s="231"/>
      <c r="AH59" s="231">
        <v>0</v>
      </c>
      <c r="AI59" s="231"/>
      <c r="AJ59" s="231"/>
      <c r="AK59" s="231"/>
      <c r="AL59" s="231"/>
      <c r="AM59" s="231"/>
      <c r="AN59" s="231"/>
      <c r="AO59" s="231">
        <v>0</v>
      </c>
      <c r="AP59" s="231"/>
      <c r="AQ59" s="231"/>
      <c r="AR59" s="231"/>
      <c r="AS59" s="231"/>
      <c r="AT59" s="231"/>
      <c r="AU59" s="214"/>
      <c r="AV59" s="205">
        <v>0</v>
      </c>
    </row>
    <row r="60" spans="1:48">
      <c r="A60" s="210" t="s">
        <v>1184</v>
      </c>
      <c r="B60" s="235">
        <v>200</v>
      </c>
      <c r="C60" s="215">
        <v>136</v>
      </c>
      <c r="D60" s="215">
        <v>816</v>
      </c>
      <c r="E60" s="215">
        <v>496</v>
      </c>
      <c r="F60" s="215">
        <v>8</v>
      </c>
      <c r="G60" s="215">
        <v>48</v>
      </c>
      <c r="H60" s="215">
        <v>176</v>
      </c>
      <c r="I60" s="215">
        <v>0</v>
      </c>
      <c r="J60" s="215">
        <v>460</v>
      </c>
      <c r="K60" s="215">
        <v>304</v>
      </c>
      <c r="L60" s="215">
        <v>684</v>
      </c>
      <c r="M60" s="215">
        <v>128</v>
      </c>
      <c r="N60" s="215">
        <v>0</v>
      </c>
      <c r="O60" s="215">
        <v>20</v>
      </c>
      <c r="P60" s="215">
        <v>0</v>
      </c>
      <c r="Q60" s="215">
        <v>368</v>
      </c>
      <c r="R60" s="215">
        <v>268</v>
      </c>
      <c r="S60" s="215">
        <v>48</v>
      </c>
      <c r="T60" s="215">
        <v>64</v>
      </c>
      <c r="U60" s="215">
        <v>40</v>
      </c>
      <c r="V60" s="209">
        <v>4264</v>
      </c>
      <c r="AA60" s="233" t="s">
        <v>658</v>
      </c>
      <c r="AB60" s="231"/>
      <c r="AC60" s="231">
        <v>264</v>
      </c>
      <c r="AD60" s="231"/>
      <c r="AE60" s="231"/>
      <c r="AF60" s="231"/>
      <c r="AG60" s="231"/>
      <c r="AH60" s="231"/>
      <c r="AI60" s="231"/>
      <c r="AJ60" s="231"/>
      <c r="AK60" s="231"/>
      <c r="AL60" s="231"/>
      <c r="AM60" s="231"/>
      <c r="AN60" s="231"/>
      <c r="AO60" s="231">
        <v>0</v>
      </c>
      <c r="AP60" s="231"/>
      <c r="AQ60" s="231"/>
      <c r="AR60" s="231"/>
      <c r="AS60" s="231"/>
      <c r="AT60" s="231"/>
      <c r="AU60" s="214">
        <v>160</v>
      </c>
      <c r="AV60" s="205">
        <v>424</v>
      </c>
    </row>
    <row r="61" spans="1:48">
      <c r="A61" s="212" t="s">
        <v>1207</v>
      </c>
      <c r="B61" s="213"/>
      <c r="C61" s="214">
        <v>28</v>
      </c>
      <c r="D61" s="214">
        <v>16</v>
      </c>
      <c r="E61" s="214">
        <v>36</v>
      </c>
      <c r="F61" s="214">
        <v>8</v>
      </c>
      <c r="G61" s="214">
        <v>8</v>
      </c>
      <c r="H61" s="214">
        <v>20</v>
      </c>
      <c r="I61" s="214"/>
      <c r="J61" s="214">
        <v>56</v>
      </c>
      <c r="K61" s="214">
        <v>8</v>
      </c>
      <c r="L61" s="214">
        <v>60</v>
      </c>
      <c r="M61" s="214">
        <v>0</v>
      </c>
      <c r="N61" s="214"/>
      <c r="O61" s="214"/>
      <c r="P61" s="214"/>
      <c r="Q61" s="214">
        <v>44</v>
      </c>
      <c r="R61" s="214">
        <v>0</v>
      </c>
      <c r="S61" s="214"/>
      <c r="T61" s="214"/>
      <c r="U61" s="214">
        <v>0</v>
      </c>
      <c r="V61" s="205">
        <v>284</v>
      </c>
      <c r="AA61" s="233" t="s">
        <v>1241</v>
      </c>
      <c r="AB61" s="231"/>
      <c r="AC61" s="231">
        <v>470</v>
      </c>
      <c r="AD61" s="231"/>
      <c r="AE61" s="231"/>
      <c r="AF61" s="231"/>
      <c r="AG61" s="231"/>
      <c r="AH61" s="231"/>
      <c r="AI61" s="231"/>
      <c r="AJ61" s="231"/>
      <c r="AK61" s="231"/>
      <c r="AL61" s="231"/>
      <c r="AM61" s="231">
        <v>312</v>
      </c>
      <c r="AN61" s="231"/>
      <c r="AO61" s="231">
        <v>0</v>
      </c>
      <c r="AP61" s="231"/>
      <c r="AQ61" s="231"/>
      <c r="AR61" s="231">
        <v>140</v>
      </c>
      <c r="AS61" s="231">
        <v>0</v>
      </c>
      <c r="AT61" s="231">
        <v>0</v>
      </c>
      <c r="AU61" s="214">
        <v>0</v>
      </c>
      <c r="AV61" s="205">
        <v>922</v>
      </c>
    </row>
    <row r="62" spans="1:48" ht="13.5" thickBot="1">
      <c r="A62" s="212" t="s">
        <v>1208</v>
      </c>
      <c r="B62" s="213"/>
      <c r="C62" s="214"/>
      <c r="D62" s="214">
        <v>100</v>
      </c>
      <c r="E62" s="214">
        <v>80</v>
      </c>
      <c r="F62" s="214"/>
      <c r="G62" s="214"/>
      <c r="H62" s="214">
        <v>0</v>
      </c>
      <c r="I62" s="214"/>
      <c r="J62" s="214">
        <v>8</v>
      </c>
      <c r="K62" s="214"/>
      <c r="L62" s="214">
        <v>8</v>
      </c>
      <c r="M62" s="214"/>
      <c r="N62" s="214"/>
      <c r="O62" s="214"/>
      <c r="P62" s="214"/>
      <c r="Q62" s="214">
        <v>28</v>
      </c>
      <c r="R62" s="214">
        <v>8</v>
      </c>
      <c r="S62" s="214"/>
      <c r="T62" s="214"/>
      <c r="U62" s="214"/>
      <c r="V62" s="205">
        <v>232</v>
      </c>
      <c r="AA62" s="234" t="s">
        <v>1231</v>
      </c>
      <c r="AB62" s="232">
        <v>200</v>
      </c>
      <c r="AC62" s="232">
        <v>734</v>
      </c>
      <c r="AD62" s="232">
        <v>2352</v>
      </c>
      <c r="AE62" s="232">
        <v>1736</v>
      </c>
      <c r="AF62" s="232">
        <v>24</v>
      </c>
      <c r="AG62" s="232">
        <v>124</v>
      </c>
      <c r="AH62" s="232">
        <v>508</v>
      </c>
      <c r="AI62" s="232">
        <v>0</v>
      </c>
      <c r="AJ62" s="232">
        <v>1520</v>
      </c>
      <c r="AK62" s="232">
        <v>764</v>
      </c>
      <c r="AL62" s="232">
        <v>1944</v>
      </c>
      <c r="AM62" s="232">
        <v>400</v>
      </c>
      <c r="AN62" s="232">
        <v>0</v>
      </c>
      <c r="AO62" s="232">
        <v>20</v>
      </c>
      <c r="AP62" s="232">
        <v>0</v>
      </c>
      <c r="AQ62" s="232">
        <v>1432</v>
      </c>
      <c r="AR62" s="232">
        <v>532</v>
      </c>
      <c r="AS62" s="232">
        <v>293</v>
      </c>
      <c r="AT62" s="232">
        <v>64</v>
      </c>
      <c r="AU62" s="230">
        <v>160</v>
      </c>
      <c r="AV62" s="229">
        <v>12807</v>
      </c>
    </row>
    <row r="63" spans="1:48" ht="13.5" thickTop="1">
      <c r="A63" s="211" t="s">
        <v>1183</v>
      </c>
      <c r="B63" s="213"/>
      <c r="C63" s="214">
        <v>100</v>
      </c>
      <c r="D63" s="214">
        <v>396</v>
      </c>
      <c r="E63" s="214">
        <v>312</v>
      </c>
      <c r="F63" s="214"/>
      <c r="G63" s="214">
        <v>40</v>
      </c>
      <c r="H63" s="214">
        <v>40</v>
      </c>
      <c r="I63" s="214"/>
      <c r="J63" s="214">
        <v>200</v>
      </c>
      <c r="K63" s="214">
        <v>20</v>
      </c>
      <c r="L63" s="214">
        <v>300</v>
      </c>
      <c r="M63" s="214">
        <v>96</v>
      </c>
      <c r="N63" s="214"/>
      <c r="O63" s="214"/>
      <c r="P63" s="214"/>
      <c r="Q63" s="214">
        <v>108</v>
      </c>
      <c r="R63" s="214">
        <v>80</v>
      </c>
      <c r="S63" s="214">
        <v>40</v>
      </c>
      <c r="T63" s="214"/>
      <c r="U63" s="214">
        <v>20</v>
      </c>
      <c r="V63" s="205">
        <v>1752</v>
      </c>
    </row>
    <row r="64" spans="1:48">
      <c r="A64" s="211" t="s">
        <v>1182</v>
      </c>
      <c r="B64" s="213"/>
      <c r="C64" s="214"/>
      <c r="D64" s="214">
        <v>0</v>
      </c>
      <c r="E64" s="214">
        <v>0</v>
      </c>
      <c r="F64" s="214"/>
      <c r="G64" s="214"/>
      <c r="H64" s="214">
        <v>0</v>
      </c>
      <c r="I64" s="214"/>
      <c r="J64" s="214">
        <v>20</v>
      </c>
      <c r="K64" s="214"/>
      <c r="L64" s="214">
        <v>0</v>
      </c>
      <c r="M64" s="214"/>
      <c r="N64" s="214"/>
      <c r="O64" s="214"/>
      <c r="P64" s="214"/>
      <c r="Q64" s="214">
        <v>180</v>
      </c>
      <c r="R64" s="214"/>
      <c r="S64" s="214"/>
      <c r="T64" s="214"/>
      <c r="U64" s="214"/>
      <c r="V64" s="205">
        <v>200</v>
      </c>
    </row>
    <row r="65" spans="1:38">
      <c r="A65" s="211" t="s">
        <v>1181</v>
      </c>
      <c r="B65" s="213"/>
      <c r="C65" s="214">
        <v>40</v>
      </c>
      <c r="D65" s="214">
        <v>20</v>
      </c>
      <c r="E65" s="214">
        <v>40</v>
      </c>
      <c r="F65" s="214"/>
      <c r="G65" s="214"/>
      <c r="H65" s="214">
        <v>140</v>
      </c>
      <c r="I65" s="214"/>
      <c r="J65" s="214">
        <v>80</v>
      </c>
      <c r="K65" s="214">
        <v>100</v>
      </c>
      <c r="L65" s="214">
        <v>140</v>
      </c>
      <c r="M65" s="214"/>
      <c r="N65" s="214"/>
      <c r="O65" s="214"/>
      <c r="P65" s="214"/>
      <c r="Q65" s="214">
        <v>20</v>
      </c>
      <c r="R65" s="214"/>
      <c r="S65" s="214"/>
      <c r="T65" s="214"/>
      <c r="U65" s="214">
        <v>20</v>
      </c>
      <c r="V65" s="205">
        <v>600</v>
      </c>
    </row>
    <row r="66" spans="1:38">
      <c r="A66" s="211" t="s">
        <v>1180</v>
      </c>
      <c r="B66" s="213"/>
      <c r="C66" s="214"/>
      <c r="D66" s="214">
        <v>20</v>
      </c>
      <c r="E66" s="214">
        <v>20</v>
      </c>
      <c r="F66" s="214"/>
      <c r="G66" s="214"/>
      <c r="H66" s="214">
        <v>20</v>
      </c>
      <c r="I66" s="214"/>
      <c r="J66" s="214">
        <v>120</v>
      </c>
      <c r="K66" s="214">
        <v>20</v>
      </c>
      <c r="L66" s="214">
        <v>8</v>
      </c>
      <c r="M66" s="214"/>
      <c r="N66" s="214"/>
      <c r="O66" s="214"/>
      <c r="P66" s="214"/>
      <c r="Q66" s="214">
        <v>20</v>
      </c>
      <c r="R66" s="214"/>
      <c r="S66" s="214"/>
      <c r="T66" s="214"/>
      <c r="U66" s="214"/>
      <c r="V66" s="205">
        <v>228</v>
      </c>
    </row>
    <row r="67" spans="1:38">
      <c r="A67" s="211" t="s">
        <v>1179</v>
      </c>
      <c r="B67" s="213"/>
      <c r="C67" s="214"/>
      <c r="D67" s="214">
        <v>0</v>
      </c>
      <c r="E67" s="214">
        <v>0</v>
      </c>
      <c r="F67" s="214"/>
      <c r="G67" s="214"/>
      <c r="H67" s="214">
        <v>0</v>
      </c>
      <c r="I67" s="214"/>
      <c r="J67" s="214"/>
      <c r="K67" s="214"/>
      <c r="L67" s="214">
        <v>0</v>
      </c>
      <c r="M67" s="214"/>
      <c r="N67" s="214"/>
      <c r="O67" s="214"/>
      <c r="P67" s="214"/>
      <c r="Q67" s="214">
        <v>0</v>
      </c>
      <c r="R67" s="214"/>
      <c r="S67" s="214"/>
      <c r="T67" s="214"/>
      <c r="U67" s="214"/>
      <c r="V67" s="205">
        <v>0</v>
      </c>
      <c r="AJ67" s="206" t="s">
        <v>1242</v>
      </c>
      <c r="AK67" t="s">
        <v>1243</v>
      </c>
      <c r="AL67" t="s">
        <v>1244</v>
      </c>
    </row>
    <row r="68" spans="1:38">
      <c r="A68" s="210" t="s">
        <v>1178</v>
      </c>
      <c r="B68" s="235">
        <v>0</v>
      </c>
      <c r="C68" s="215">
        <v>168</v>
      </c>
      <c r="D68" s="215">
        <v>552</v>
      </c>
      <c r="E68" s="215">
        <v>488</v>
      </c>
      <c r="F68" s="215">
        <v>8</v>
      </c>
      <c r="G68" s="215">
        <v>48</v>
      </c>
      <c r="H68" s="215">
        <v>220</v>
      </c>
      <c r="I68" s="215">
        <v>0</v>
      </c>
      <c r="J68" s="215">
        <v>484</v>
      </c>
      <c r="K68" s="215">
        <v>148</v>
      </c>
      <c r="L68" s="215">
        <v>516</v>
      </c>
      <c r="M68" s="215">
        <v>96</v>
      </c>
      <c r="N68" s="215">
        <v>0</v>
      </c>
      <c r="O68" s="215">
        <v>0</v>
      </c>
      <c r="P68" s="215">
        <v>0</v>
      </c>
      <c r="Q68" s="215">
        <v>400</v>
      </c>
      <c r="R68" s="215">
        <v>88</v>
      </c>
      <c r="S68" s="215">
        <v>40</v>
      </c>
      <c r="T68" s="215">
        <v>0</v>
      </c>
      <c r="U68" s="215">
        <v>40</v>
      </c>
      <c r="V68" s="209">
        <v>3296</v>
      </c>
      <c r="AJ68" s="212" t="s">
        <v>913</v>
      </c>
      <c r="AK68" s="214">
        <v>4373</v>
      </c>
      <c r="AL68" s="214">
        <v>68</v>
      </c>
    </row>
    <row r="69" spans="1:38">
      <c r="A69" s="212" t="s">
        <v>1225</v>
      </c>
      <c r="B69" s="213"/>
      <c r="C69" s="214">
        <v>20</v>
      </c>
      <c r="D69" s="214">
        <v>16</v>
      </c>
      <c r="E69" s="214">
        <v>36</v>
      </c>
      <c r="F69" s="214">
        <v>8</v>
      </c>
      <c r="G69" s="214">
        <v>8</v>
      </c>
      <c r="H69" s="214">
        <v>8</v>
      </c>
      <c r="I69" s="214"/>
      <c r="J69" s="214">
        <v>48</v>
      </c>
      <c r="K69" s="214">
        <v>16</v>
      </c>
      <c r="L69" s="214">
        <v>52</v>
      </c>
      <c r="M69" s="214">
        <v>0</v>
      </c>
      <c r="N69" s="214"/>
      <c r="O69" s="214"/>
      <c r="P69" s="214"/>
      <c r="Q69" s="214">
        <v>36</v>
      </c>
      <c r="R69" s="214">
        <v>0</v>
      </c>
      <c r="S69" s="214"/>
      <c r="T69" s="214"/>
      <c r="U69" s="214">
        <v>0</v>
      </c>
      <c r="V69" s="205">
        <v>248</v>
      </c>
      <c r="AJ69" s="212" t="s">
        <v>780</v>
      </c>
      <c r="AK69" s="214">
        <v>2116</v>
      </c>
      <c r="AL69" s="214">
        <v>34</v>
      </c>
    </row>
    <row r="70" spans="1:38">
      <c r="A70" s="212" t="s">
        <v>1226</v>
      </c>
      <c r="B70" s="213"/>
      <c r="C70" s="214"/>
      <c r="D70" s="214">
        <v>88</v>
      </c>
      <c r="E70" s="214">
        <v>80</v>
      </c>
      <c r="F70" s="214"/>
      <c r="G70" s="214"/>
      <c r="H70" s="214">
        <v>0</v>
      </c>
      <c r="I70" s="214"/>
      <c r="J70" s="214">
        <v>16</v>
      </c>
      <c r="K70" s="214">
        <v>0</v>
      </c>
      <c r="L70" s="214">
        <v>16</v>
      </c>
      <c r="M70" s="214"/>
      <c r="N70" s="214"/>
      <c r="O70" s="214"/>
      <c r="P70" s="214"/>
      <c r="Q70" s="214">
        <v>28</v>
      </c>
      <c r="R70" s="214">
        <v>8</v>
      </c>
      <c r="S70" s="214"/>
      <c r="T70" s="214"/>
      <c r="U70" s="214"/>
      <c r="V70" s="205">
        <v>236</v>
      </c>
      <c r="AJ70" s="212" t="s">
        <v>782</v>
      </c>
      <c r="AK70" s="214">
        <v>136</v>
      </c>
      <c r="AL70" s="214">
        <v>5</v>
      </c>
    </row>
    <row r="71" spans="1:38">
      <c r="A71" s="211" t="s">
        <v>1174</v>
      </c>
      <c r="B71" s="213"/>
      <c r="C71" s="214"/>
      <c r="D71" s="214">
        <v>0</v>
      </c>
      <c r="E71" s="214">
        <v>8</v>
      </c>
      <c r="F71" s="214"/>
      <c r="G71" s="214"/>
      <c r="H71" s="214">
        <v>0</v>
      </c>
      <c r="I71" s="214"/>
      <c r="J71" s="214">
        <v>20</v>
      </c>
      <c r="K71" s="214">
        <v>20</v>
      </c>
      <c r="L71" s="214">
        <v>20</v>
      </c>
      <c r="M71" s="214"/>
      <c r="N71" s="214"/>
      <c r="O71" s="214"/>
      <c r="P71" s="214"/>
      <c r="Q71" s="214">
        <v>0</v>
      </c>
      <c r="R71" s="214"/>
      <c r="S71" s="214"/>
      <c r="T71" s="214"/>
      <c r="U71" s="214">
        <v>20</v>
      </c>
      <c r="V71" s="205">
        <v>88</v>
      </c>
      <c r="AJ71" s="212" t="s">
        <v>75</v>
      </c>
      <c r="AK71" s="214">
        <v>1180</v>
      </c>
      <c r="AL71" s="214">
        <v>9</v>
      </c>
    </row>
    <row r="72" spans="1:38">
      <c r="A72" s="211" t="s">
        <v>1177</v>
      </c>
      <c r="B72" s="213"/>
      <c r="C72" s="214">
        <v>120</v>
      </c>
      <c r="D72" s="214">
        <v>356</v>
      </c>
      <c r="E72" s="214">
        <v>236</v>
      </c>
      <c r="F72" s="214"/>
      <c r="G72" s="214">
        <v>20</v>
      </c>
      <c r="H72" s="214">
        <v>28</v>
      </c>
      <c r="I72" s="214"/>
      <c r="J72" s="214">
        <v>120</v>
      </c>
      <c r="K72" s="214">
        <v>60</v>
      </c>
      <c r="L72" s="214">
        <v>212</v>
      </c>
      <c r="M72" s="214">
        <v>88</v>
      </c>
      <c r="N72" s="214"/>
      <c r="O72" s="214"/>
      <c r="P72" s="214"/>
      <c r="Q72" s="214">
        <v>88</v>
      </c>
      <c r="R72" s="214">
        <v>80</v>
      </c>
      <c r="S72" s="214">
        <v>80</v>
      </c>
      <c r="T72" s="214"/>
      <c r="U72" s="214"/>
      <c r="V72" s="205">
        <v>1488</v>
      </c>
      <c r="AJ72" s="212" t="s">
        <v>915</v>
      </c>
      <c r="AK72" s="214">
        <v>60</v>
      </c>
      <c r="AL72" s="214">
        <v>3</v>
      </c>
    </row>
    <row r="73" spans="1:38">
      <c r="A73" s="211" t="s">
        <v>1176</v>
      </c>
      <c r="B73" s="213"/>
      <c r="C73" s="214"/>
      <c r="D73" s="214">
        <v>0</v>
      </c>
      <c r="E73" s="214">
        <v>0</v>
      </c>
      <c r="F73" s="214"/>
      <c r="G73" s="214"/>
      <c r="H73" s="214">
        <v>0</v>
      </c>
      <c r="I73" s="214"/>
      <c r="J73" s="214">
        <v>28</v>
      </c>
      <c r="K73" s="214">
        <v>0</v>
      </c>
      <c r="L73" s="214">
        <v>0</v>
      </c>
      <c r="M73" s="214"/>
      <c r="N73" s="214"/>
      <c r="O73" s="214"/>
      <c r="P73" s="214"/>
      <c r="Q73" s="214">
        <v>180</v>
      </c>
      <c r="R73" s="214"/>
      <c r="S73" s="214"/>
      <c r="T73" s="214"/>
      <c r="U73" s="214"/>
      <c r="V73" s="205">
        <v>208</v>
      </c>
      <c r="AJ73" s="212" t="s">
        <v>914</v>
      </c>
      <c r="AK73" s="214">
        <v>4102</v>
      </c>
      <c r="AL73" s="214">
        <v>64</v>
      </c>
    </row>
    <row r="74" spans="1:38">
      <c r="A74" s="211" t="s">
        <v>1175</v>
      </c>
      <c r="B74" s="213"/>
      <c r="C74" s="214">
        <v>40</v>
      </c>
      <c r="D74" s="214">
        <v>0</v>
      </c>
      <c r="E74" s="214">
        <v>40</v>
      </c>
      <c r="F74" s="214"/>
      <c r="G74" s="214"/>
      <c r="H74" s="214">
        <v>40</v>
      </c>
      <c r="I74" s="214"/>
      <c r="J74" s="214">
        <v>100</v>
      </c>
      <c r="K74" s="214">
        <v>60</v>
      </c>
      <c r="L74" s="214">
        <v>68</v>
      </c>
      <c r="M74" s="214"/>
      <c r="N74" s="214"/>
      <c r="O74" s="214"/>
      <c r="P74" s="214"/>
      <c r="Q74" s="214">
        <v>0</v>
      </c>
      <c r="R74" s="214"/>
      <c r="S74" s="214"/>
      <c r="T74" s="214"/>
      <c r="U74" s="214">
        <v>20</v>
      </c>
      <c r="V74" s="205">
        <v>368</v>
      </c>
      <c r="AJ74" s="212" t="s">
        <v>1241</v>
      </c>
      <c r="AK74" s="214">
        <v>840</v>
      </c>
      <c r="AL74" s="214"/>
    </row>
    <row r="75" spans="1:38">
      <c r="A75" s="211" t="s">
        <v>1173</v>
      </c>
      <c r="B75" s="213"/>
      <c r="C75" s="214"/>
      <c r="D75" s="214">
        <v>0</v>
      </c>
      <c r="E75" s="214">
        <v>0</v>
      </c>
      <c r="F75" s="214"/>
      <c r="G75" s="214"/>
      <c r="H75" s="214">
        <v>0</v>
      </c>
      <c r="I75" s="214"/>
      <c r="J75" s="214"/>
      <c r="K75" s="214">
        <v>0</v>
      </c>
      <c r="L75" s="214">
        <v>0</v>
      </c>
      <c r="M75" s="214"/>
      <c r="N75" s="214"/>
      <c r="O75" s="214"/>
      <c r="P75" s="214"/>
      <c r="Q75" s="214">
        <v>0</v>
      </c>
      <c r="R75" s="214"/>
      <c r="S75" s="214"/>
      <c r="T75" s="214"/>
      <c r="U75" s="214"/>
      <c r="V75" s="205">
        <v>0</v>
      </c>
      <c r="AJ75" s="212" t="s">
        <v>1231</v>
      </c>
      <c r="AK75" s="214">
        <v>12807</v>
      </c>
      <c r="AL75" s="214">
        <v>183</v>
      </c>
    </row>
    <row r="76" spans="1:38">
      <c r="A76" s="210" t="s">
        <v>1172</v>
      </c>
      <c r="B76" s="235">
        <v>0</v>
      </c>
      <c r="C76" s="215">
        <v>180</v>
      </c>
      <c r="D76" s="215">
        <v>460</v>
      </c>
      <c r="E76" s="215">
        <v>400</v>
      </c>
      <c r="F76" s="215">
        <v>8</v>
      </c>
      <c r="G76" s="215">
        <v>28</v>
      </c>
      <c r="H76" s="215">
        <v>76</v>
      </c>
      <c r="I76" s="215">
        <v>0</v>
      </c>
      <c r="J76" s="215">
        <v>332</v>
      </c>
      <c r="K76" s="215">
        <v>156</v>
      </c>
      <c r="L76" s="215">
        <v>368</v>
      </c>
      <c r="M76" s="215">
        <v>88</v>
      </c>
      <c r="N76" s="215">
        <v>0</v>
      </c>
      <c r="O76" s="215">
        <v>0</v>
      </c>
      <c r="P76" s="215">
        <v>0</v>
      </c>
      <c r="Q76" s="215">
        <v>332</v>
      </c>
      <c r="R76" s="215">
        <v>88</v>
      </c>
      <c r="S76" s="215">
        <v>80</v>
      </c>
      <c r="T76" s="215">
        <v>0</v>
      </c>
      <c r="U76" s="215">
        <v>40</v>
      </c>
      <c r="V76" s="209">
        <v>2636</v>
      </c>
    </row>
    <row r="77" spans="1:38">
      <c r="A77" s="212" t="s">
        <v>1209</v>
      </c>
      <c r="B77" s="213"/>
      <c r="C77" s="214">
        <v>20</v>
      </c>
      <c r="D77" s="214">
        <v>28</v>
      </c>
      <c r="E77" s="214">
        <v>36</v>
      </c>
      <c r="F77" s="214"/>
      <c r="G77" s="214"/>
      <c r="H77" s="214">
        <v>0</v>
      </c>
      <c r="I77" s="214"/>
      <c r="J77" s="214">
        <v>48</v>
      </c>
      <c r="K77" s="214">
        <v>16</v>
      </c>
      <c r="L77" s="214">
        <v>60</v>
      </c>
      <c r="M77" s="214">
        <v>0</v>
      </c>
      <c r="N77" s="214"/>
      <c r="O77" s="214"/>
      <c r="P77" s="214"/>
      <c r="Q77" s="214">
        <v>36</v>
      </c>
      <c r="R77" s="214">
        <v>0</v>
      </c>
      <c r="S77" s="214"/>
      <c r="T77" s="214"/>
      <c r="U77" s="214">
        <v>0</v>
      </c>
      <c r="V77" s="205">
        <v>244</v>
      </c>
    </row>
    <row r="78" spans="1:38">
      <c r="A78" s="212" t="s">
        <v>1210</v>
      </c>
      <c r="B78" s="213"/>
      <c r="C78" s="214"/>
      <c r="D78" s="214">
        <v>120</v>
      </c>
      <c r="E78" s="214">
        <v>80</v>
      </c>
      <c r="F78" s="214"/>
      <c r="G78" s="214"/>
      <c r="H78" s="214">
        <v>0</v>
      </c>
      <c r="I78" s="214"/>
      <c r="J78" s="214">
        <v>8</v>
      </c>
      <c r="K78" s="214">
        <v>0</v>
      </c>
      <c r="L78" s="214">
        <v>8</v>
      </c>
      <c r="M78" s="214"/>
      <c r="N78" s="214"/>
      <c r="O78" s="214"/>
      <c r="P78" s="214"/>
      <c r="Q78" s="214">
        <v>28</v>
      </c>
      <c r="R78" s="214">
        <v>8</v>
      </c>
      <c r="S78" s="214"/>
      <c r="T78" s="214"/>
      <c r="U78" s="214"/>
      <c r="V78" s="205">
        <v>252</v>
      </c>
    </row>
    <row r="79" spans="1:38">
      <c r="A79" s="211" t="s">
        <v>1171</v>
      </c>
      <c r="B79" s="213"/>
      <c r="C79" s="214">
        <v>210</v>
      </c>
      <c r="D79" s="214">
        <v>376</v>
      </c>
      <c r="E79" s="214">
        <v>208</v>
      </c>
      <c r="F79" s="214"/>
      <c r="G79" s="214"/>
      <c r="H79" s="214">
        <v>16</v>
      </c>
      <c r="I79" s="214"/>
      <c r="J79" s="214">
        <v>108</v>
      </c>
      <c r="K79" s="214">
        <v>60</v>
      </c>
      <c r="L79" s="214">
        <v>228</v>
      </c>
      <c r="M79" s="214">
        <v>88</v>
      </c>
      <c r="N79" s="214"/>
      <c r="O79" s="214"/>
      <c r="P79" s="214"/>
      <c r="Q79" s="214">
        <v>88</v>
      </c>
      <c r="R79" s="214">
        <v>80</v>
      </c>
      <c r="S79" s="214">
        <v>125</v>
      </c>
      <c r="T79" s="214"/>
      <c r="U79" s="214"/>
      <c r="V79" s="205">
        <v>1587</v>
      </c>
    </row>
    <row r="80" spans="1:38">
      <c r="A80" s="211" t="s">
        <v>1170</v>
      </c>
      <c r="B80" s="213"/>
      <c r="C80" s="214"/>
      <c r="D80" s="214">
        <v>0</v>
      </c>
      <c r="E80" s="214">
        <v>0</v>
      </c>
      <c r="F80" s="214"/>
      <c r="G80" s="214"/>
      <c r="H80" s="214">
        <v>0</v>
      </c>
      <c r="I80" s="214"/>
      <c r="J80" s="214"/>
      <c r="K80" s="214">
        <v>0</v>
      </c>
      <c r="L80" s="214">
        <v>0</v>
      </c>
      <c r="M80" s="214"/>
      <c r="N80" s="214"/>
      <c r="O80" s="214"/>
      <c r="P80" s="214"/>
      <c r="Q80" s="214">
        <v>180</v>
      </c>
      <c r="R80" s="214"/>
      <c r="S80" s="214"/>
      <c r="T80" s="214"/>
      <c r="U80" s="214"/>
      <c r="V80" s="205">
        <v>180</v>
      </c>
    </row>
    <row r="81" spans="1:22">
      <c r="A81" s="211" t="s">
        <v>1169</v>
      </c>
      <c r="B81" s="213"/>
      <c r="C81" s="214">
        <v>20</v>
      </c>
      <c r="D81" s="214">
        <v>0</v>
      </c>
      <c r="E81" s="214">
        <v>20</v>
      </c>
      <c r="F81" s="214"/>
      <c r="G81" s="214"/>
      <c r="H81" s="214">
        <v>20</v>
      </c>
      <c r="I81" s="214"/>
      <c r="J81" s="214">
        <v>40</v>
      </c>
      <c r="K81" s="214">
        <v>60</v>
      </c>
      <c r="L81" s="214">
        <v>80</v>
      </c>
      <c r="M81" s="214"/>
      <c r="N81" s="214"/>
      <c r="O81" s="214"/>
      <c r="P81" s="214"/>
      <c r="Q81" s="214">
        <v>0</v>
      </c>
      <c r="R81" s="214"/>
      <c r="S81" s="214"/>
      <c r="T81" s="214"/>
      <c r="U81" s="214">
        <v>40</v>
      </c>
      <c r="V81" s="205">
        <v>280</v>
      </c>
    </row>
    <row r="82" spans="1:22">
      <c r="A82" s="211" t="s">
        <v>1168</v>
      </c>
      <c r="B82" s="213"/>
      <c r="C82" s="214"/>
      <c r="D82" s="214">
        <v>0</v>
      </c>
      <c r="E82" s="214">
        <v>8</v>
      </c>
      <c r="F82" s="214"/>
      <c r="G82" s="214"/>
      <c r="H82" s="214">
        <v>0</v>
      </c>
      <c r="I82" s="214"/>
      <c r="J82" s="214">
        <v>40</v>
      </c>
      <c r="K82" s="214">
        <v>20</v>
      </c>
      <c r="L82" s="214">
        <v>0</v>
      </c>
      <c r="M82" s="214"/>
      <c r="N82" s="214"/>
      <c r="O82" s="214"/>
      <c r="P82" s="214"/>
      <c r="Q82" s="214">
        <v>0</v>
      </c>
      <c r="R82" s="214"/>
      <c r="S82" s="214"/>
      <c r="T82" s="214"/>
      <c r="U82" s="214"/>
      <c r="V82" s="205">
        <v>68</v>
      </c>
    </row>
    <row r="83" spans="1:22">
      <c r="A83" s="211" t="s">
        <v>1167</v>
      </c>
      <c r="B83" s="213"/>
      <c r="C83" s="214"/>
      <c r="D83" s="214">
        <v>0</v>
      </c>
      <c r="E83" s="214">
        <v>0</v>
      </c>
      <c r="F83" s="214"/>
      <c r="G83" s="214"/>
      <c r="H83" s="214">
        <v>0</v>
      </c>
      <c r="I83" s="214"/>
      <c r="J83" s="214"/>
      <c r="K83" s="214">
        <v>0</v>
      </c>
      <c r="L83" s="214">
        <v>0</v>
      </c>
      <c r="M83" s="214"/>
      <c r="N83" s="214"/>
      <c r="O83" s="214"/>
      <c r="P83" s="214"/>
      <c r="Q83" s="214">
        <v>0</v>
      </c>
      <c r="R83" s="214"/>
      <c r="S83" s="214"/>
      <c r="T83" s="214"/>
      <c r="U83" s="214"/>
      <c r="V83" s="205">
        <v>0</v>
      </c>
    </row>
    <row r="84" spans="1:22">
      <c r="A84" s="210" t="s">
        <v>1166</v>
      </c>
      <c r="B84" s="235">
        <v>0</v>
      </c>
      <c r="C84" s="215">
        <v>250</v>
      </c>
      <c r="D84" s="215">
        <v>524</v>
      </c>
      <c r="E84" s="215">
        <v>352</v>
      </c>
      <c r="F84" s="215">
        <v>0</v>
      </c>
      <c r="G84" s="215">
        <v>0</v>
      </c>
      <c r="H84" s="215">
        <v>36</v>
      </c>
      <c r="I84" s="215">
        <v>0</v>
      </c>
      <c r="J84" s="215">
        <v>244</v>
      </c>
      <c r="K84" s="215">
        <v>156</v>
      </c>
      <c r="L84" s="215">
        <v>376</v>
      </c>
      <c r="M84" s="215">
        <v>88</v>
      </c>
      <c r="N84" s="215">
        <v>0</v>
      </c>
      <c r="O84" s="215">
        <v>0</v>
      </c>
      <c r="P84" s="215">
        <v>0</v>
      </c>
      <c r="Q84" s="215">
        <v>332</v>
      </c>
      <c r="R84" s="215">
        <v>88</v>
      </c>
      <c r="S84" s="215">
        <v>125</v>
      </c>
      <c r="T84" s="215">
        <v>0</v>
      </c>
      <c r="U84" s="215">
        <v>40</v>
      </c>
      <c r="V84" s="209">
        <v>2611</v>
      </c>
    </row>
    <row r="85" spans="1:22" ht="13.5" thickBot="1">
      <c r="A85" s="208" t="s">
        <v>1165</v>
      </c>
      <c r="B85" s="236">
        <v>200</v>
      </c>
      <c r="C85" s="216">
        <v>734</v>
      </c>
      <c r="D85" s="216">
        <v>2352</v>
      </c>
      <c r="E85" s="216">
        <v>1736</v>
      </c>
      <c r="F85" s="216">
        <v>24</v>
      </c>
      <c r="G85" s="216">
        <v>124</v>
      </c>
      <c r="H85" s="216">
        <v>508</v>
      </c>
      <c r="I85" s="216">
        <v>0</v>
      </c>
      <c r="J85" s="216">
        <v>1520</v>
      </c>
      <c r="K85" s="216">
        <v>764</v>
      </c>
      <c r="L85" s="216">
        <v>1944</v>
      </c>
      <c r="M85" s="216">
        <v>400</v>
      </c>
      <c r="N85" s="216">
        <v>0</v>
      </c>
      <c r="O85" s="216">
        <v>20</v>
      </c>
      <c r="P85" s="216">
        <v>0</v>
      </c>
      <c r="Q85" s="216">
        <v>1432</v>
      </c>
      <c r="R85" s="216">
        <v>532</v>
      </c>
      <c r="S85" s="216">
        <v>293</v>
      </c>
      <c r="T85" s="216">
        <v>64</v>
      </c>
      <c r="U85" s="216">
        <v>160</v>
      </c>
      <c r="V85" s="207">
        <v>12807</v>
      </c>
    </row>
    <row r="86" spans="1:22" ht="13.5" thickTop="1"/>
    <row r="92" spans="1:22">
      <c r="A92" s="206" t="s">
        <v>1221</v>
      </c>
      <c r="B92" s="206" t="s">
        <v>1230</v>
      </c>
    </row>
    <row r="93" spans="1:22">
      <c r="B93" t="s">
        <v>86</v>
      </c>
      <c r="C93" t="s">
        <v>11</v>
      </c>
      <c r="D93" t="s">
        <v>9</v>
      </c>
      <c r="E93" t="s">
        <v>75</v>
      </c>
      <c r="F93" t="s">
        <v>10</v>
      </c>
      <c r="G93" t="s">
        <v>22</v>
      </c>
      <c r="H93" t="s">
        <v>690</v>
      </c>
      <c r="I93" t="s">
        <v>1241</v>
      </c>
      <c r="J93" t="s">
        <v>1231</v>
      </c>
    </row>
    <row r="94" spans="1:22">
      <c r="A94" s="206" t="s">
        <v>1242</v>
      </c>
    </row>
    <row r="95" spans="1:22">
      <c r="A95" s="212" t="s">
        <v>846</v>
      </c>
      <c r="B95" s="213"/>
      <c r="C95" s="213"/>
      <c r="D95" s="213"/>
      <c r="E95" s="213"/>
      <c r="F95" s="213">
        <v>0</v>
      </c>
      <c r="G95" s="213"/>
      <c r="H95" s="213"/>
      <c r="I95" s="213"/>
      <c r="J95" s="205">
        <v>0</v>
      </c>
    </row>
    <row r="96" spans="1:22">
      <c r="A96" s="212" t="s">
        <v>428</v>
      </c>
      <c r="B96" s="213"/>
      <c r="C96" s="213"/>
      <c r="D96" s="213"/>
      <c r="E96" s="213"/>
      <c r="F96" s="213">
        <v>8</v>
      </c>
      <c r="G96" s="213"/>
      <c r="H96" s="213"/>
      <c r="I96" s="213"/>
      <c r="J96" s="205">
        <v>8</v>
      </c>
    </row>
    <row r="97" spans="1:35">
      <c r="A97" s="212" t="s">
        <v>272</v>
      </c>
      <c r="B97" s="213"/>
      <c r="C97" s="213"/>
      <c r="D97" s="213"/>
      <c r="E97" s="213">
        <v>0</v>
      </c>
      <c r="F97" s="213"/>
      <c r="G97" s="213"/>
      <c r="H97" s="213"/>
      <c r="I97" s="213"/>
      <c r="J97" s="205">
        <v>0</v>
      </c>
    </row>
    <row r="98" spans="1:35">
      <c r="A98" s="212" t="s">
        <v>274</v>
      </c>
      <c r="B98" s="213"/>
      <c r="C98" s="213"/>
      <c r="D98" s="213">
        <v>0</v>
      </c>
      <c r="E98" s="213"/>
      <c r="F98" s="213"/>
      <c r="G98" s="213"/>
      <c r="H98" s="213"/>
      <c r="I98" s="213"/>
      <c r="J98" s="205">
        <v>0</v>
      </c>
    </row>
    <row r="99" spans="1:35">
      <c r="A99" s="212" t="s">
        <v>677</v>
      </c>
      <c r="B99" s="213"/>
      <c r="C99" s="213"/>
      <c r="D99" s="213">
        <v>0</v>
      </c>
      <c r="E99" s="213"/>
      <c r="F99" s="213"/>
      <c r="G99" s="213"/>
      <c r="H99" s="213"/>
      <c r="I99" s="213"/>
      <c r="J99" s="205">
        <v>0</v>
      </c>
    </row>
    <row r="100" spans="1:35">
      <c r="A100" s="212" t="s">
        <v>337</v>
      </c>
      <c r="B100" s="213">
        <v>0</v>
      </c>
      <c r="C100" s="213"/>
      <c r="D100" s="213"/>
      <c r="E100" s="213"/>
      <c r="F100" s="213"/>
      <c r="G100" s="213"/>
      <c r="H100" s="213"/>
      <c r="I100" s="213"/>
      <c r="J100" s="205">
        <v>0</v>
      </c>
    </row>
    <row r="101" spans="1:35">
      <c r="A101" s="212" t="s">
        <v>339</v>
      </c>
      <c r="B101" s="213">
        <v>0</v>
      </c>
      <c r="C101" s="213"/>
      <c r="D101" s="213"/>
      <c r="E101" s="213"/>
      <c r="F101" s="213"/>
      <c r="G101" s="213"/>
      <c r="H101" s="213"/>
      <c r="I101" s="213"/>
      <c r="J101" s="205">
        <v>0</v>
      </c>
    </row>
    <row r="102" spans="1:35">
      <c r="A102" s="212" t="s">
        <v>678</v>
      </c>
      <c r="B102" s="213">
        <v>0</v>
      </c>
      <c r="C102" s="213"/>
      <c r="D102" s="213"/>
      <c r="E102" s="213"/>
      <c r="F102" s="213"/>
      <c r="G102" s="213"/>
      <c r="H102" s="213"/>
      <c r="I102" s="213"/>
      <c r="J102" s="205">
        <v>0</v>
      </c>
    </row>
    <row r="103" spans="1:35">
      <c r="A103" s="212" t="s">
        <v>835</v>
      </c>
      <c r="B103" s="213">
        <v>160</v>
      </c>
      <c r="C103" s="213"/>
      <c r="D103" s="213"/>
      <c r="E103" s="213"/>
      <c r="F103" s="213"/>
      <c r="G103" s="213"/>
      <c r="H103" s="213"/>
      <c r="I103" s="213"/>
      <c r="J103" s="205">
        <v>160</v>
      </c>
    </row>
    <row r="104" spans="1:35">
      <c r="A104" s="212" t="s">
        <v>834</v>
      </c>
      <c r="B104" s="213">
        <v>28</v>
      </c>
      <c r="C104" s="213"/>
      <c r="D104" s="213"/>
      <c r="E104" s="213"/>
      <c r="F104" s="213"/>
      <c r="G104" s="213"/>
      <c r="H104" s="213"/>
      <c r="I104" s="213"/>
      <c r="J104" s="205">
        <v>28</v>
      </c>
    </row>
    <row r="105" spans="1:35">
      <c r="A105" s="212" t="s">
        <v>308</v>
      </c>
      <c r="B105" s="213">
        <v>120</v>
      </c>
      <c r="C105" s="213"/>
      <c r="D105" s="213"/>
      <c r="E105" s="213"/>
      <c r="F105" s="213"/>
      <c r="G105" s="213"/>
      <c r="H105" s="213"/>
      <c r="I105" s="213"/>
      <c r="J105" s="205">
        <v>120</v>
      </c>
    </row>
    <row r="106" spans="1:35">
      <c r="A106" s="212" t="s">
        <v>838</v>
      </c>
      <c r="B106" s="213"/>
      <c r="C106" s="213">
        <v>0</v>
      </c>
      <c r="D106" s="213"/>
      <c r="E106" s="213"/>
      <c r="F106" s="213"/>
      <c r="G106" s="213"/>
      <c r="H106" s="213"/>
      <c r="I106" s="213"/>
      <c r="J106" s="205">
        <v>0</v>
      </c>
    </row>
    <row r="107" spans="1:35">
      <c r="A107" s="212" t="s">
        <v>1159</v>
      </c>
      <c r="B107" s="213"/>
      <c r="C107" s="213">
        <v>80</v>
      </c>
      <c r="D107" s="213"/>
      <c r="E107" s="213"/>
      <c r="F107" s="213"/>
      <c r="G107" s="213"/>
      <c r="H107" s="213"/>
      <c r="I107" s="213"/>
      <c r="J107" s="205">
        <v>80</v>
      </c>
    </row>
    <row r="108" spans="1:35">
      <c r="A108" s="212" t="s">
        <v>391</v>
      </c>
      <c r="B108" s="213">
        <v>60</v>
      </c>
      <c r="C108" s="213"/>
      <c r="D108" s="213"/>
      <c r="E108" s="213"/>
      <c r="F108" s="213"/>
      <c r="G108" s="213"/>
      <c r="H108" s="213"/>
      <c r="I108" s="213"/>
      <c r="J108" s="205">
        <v>60</v>
      </c>
    </row>
    <row r="109" spans="1:35">
      <c r="A109" s="212" t="s">
        <v>601</v>
      </c>
      <c r="B109" s="213">
        <v>0</v>
      </c>
      <c r="C109" s="213"/>
      <c r="D109" s="213"/>
      <c r="E109" s="213"/>
      <c r="F109" s="213"/>
      <c r="G109" s="213"/>
      <c r="H109" s="213"/>
      <c r="I109" s="213"/>
      <c r="J109" s="205">
        <v>0</v>
      </c>
      <c r="AA109" s="206" t="s">
        <v>1227</v>
      </c>
      <c r="AB109" s="206" t="s">
        <v>1230</v>
      </c>
    </row>
    <row r="110" spans="1:35">
      <c r="A110" s="212" t="s">
        <v>679</v>
      </c>
      <c r="B110" s="213">
        <v>0</v>
      </c>
      <c r="C110" s="213"/>
      <c r="D110" s="213"/>
      <c r="E110" s="213"/>
      <c r="F110" s="213"/>
      <c r="G110" s="213"/>
      <c r="H110" s="213"/>
      <c r="I110" s="213"/>
      <c r="J110" s="205">
        <v>0</v>
      </c>
      <c r="AA110" s="206" t="s">
        <v>1242</v>
      </c>
      <c r="AB110" t="s">
        <v>913</v>
      </c>
      <c r="AC110" t="s">
        <v>780</v>
      </c>
      <c r="AD110" t="s">
        <v>782</v>
      </c>
      <c r="AE110" t="s">
        <v>75</v>
      </c>
      <c r="AF110" t="s">
        <v>915</v>
      </c>
      <c r="AG110" t="s">
        <v>914</v>
      </c>
      <c r="AH110" t="s">
        <v>1241</v>
      </c>
      <c r="AI110" t="s">
        <v>1231</v>
      </c>
    </row>
    <row r="111" spans="1:35">
      <c r="A111" s="212" t="s">
        <v>430</v>
      </c>
      <c r="B111" s="213"/>
      <c r="C111" s="213"/>
      <c r="D111" s="213"/>
      <c r="E111" s="213"/>
      <c r="F111" s="213"/>
      <c r="G111" s="213">
        <v>96</v>
      </c>
      <c r="H111" s="213"/>
      <c r="I111" s="213"/>
      <c r="J111" s="205">
        <v>96</v>
      </c>
      <c r="AA111" s="233" t="s">
        <v>622</v>
      </c>
      <c r="AB111" s="213"/>
      <c r="AC111" s="213"/>
      <c r="AD111" s="213">
        <v>1</v>
      </c>
      <c r="AE111" s="213"/>
      <c r="AF111" s="213"/>
      <c r="AG111" s="213">
        <v>1</v>
      </c>
      <c r="AH111" s="213"/>
      <c r="AI111" s="205">
        <v>2</v>
      </c>
    </row>
    <row r="112" spans="1:35">
      <c r="A112" s="212" t="s">
        <v>432</v>
      </c>
      <c r="B112" s="213"/>
      <c r="C112" s="213">
        <v>180</v>
      </c>
      <c r="D112" s="213"/>
      <c r="E112" s="213"/>
      <c r="F112" s="213"/>
      <c r="G112" s="213"/>
      <c r="H112" s="213"/>
      <c r="I112" s="213"/>
      <c r="J112" s="205">
        <v>180</v>
      </c>
      <c r="AA112" s="233" t="s">
        <v>623</v>
      </c>
      <c r="AB112" s="213">
        <v>1</v>
      </c>
      <c r="AC112" s="213"/>
      <c r="AD112" s="213"/>
      <c r="AE112" s="213"/>
      <c r="AF112" s="213"/>
      <c r="AG112" s="213"/>
      <c r="AH112" s="213"/>
      <c r="AI112" s="205">
        <v>1</v>
      </c>
    </row>
    <row r="113" spans="1:35">
      <c r="A113" s="212" t="s">
        <v>434</v>
      </c>
      <c r="B113" s="213"/>
      <c r="C113" s="213">
        <v>60</v>
      </c>
      <c r="D113" s="213"/>
      <c r="E113" s="213"/>
      <c r="F113" s="213"/>
      <c r="G113" s="213"/>
      <c r="H113" s="213"/>
      <c r="I113" s="213"/>
      <c r="J113" s="205">
        <v>60</v>
      </c>
      <c r="AA113" s="233" t="s">
        <v>621</v>
      </c>
      <c r="AB113" s="213">
        <v>55</v>
      </c>
      <c r="AC113" s="213">
        <v>1</v>
      </c>
      <c r="AD113" s="213">
        <v>1</v>
      </c>
      <c r="AE113" s="213"/>
      <c r="AF113" s="213"/>
      <c r="AG113" s="213">
        <v>5</v>
      </c>
      <c r="AH113" s="213">
        <v>7</v>
      </c>
      <c r="AI113" s="205">
        <v>69</v>
      </c>
    </row>
    <row r="114" spans="1:35">
      <c r="A114" s="212" t="s">
        <v>172</v>
      </c>
      <c r="B114" s="213"/>
      <c r="C114" s="213"/>
      <c r="D114" s="213"/>
      <c r="E114" s="213"/>
      <c r="F114" s="213"/>
      <c r="G114" s="213">
        <v>0</v>
      </c>
      <c r="H114" s="213"/>
      <c r="I114" s="213"/>
      <c r="J114" s="205">
        <v>0</v>
      </c>
      <c r="AA114" s="233" t="s">
        <v>1087</v>
      </c>
      <c r="AB114" s="213"/>
      <c r="AC114" s="213"/>
      <c r="AD114" s="213"/>
      <c r="AE114" s="213"/>
      <c r="AF114" s="213"/>
      <c r="AG114" s="213"/>
      <c r="AH114" s="213">
        <v>5</v>
      </c>
      <c r="AI114" s="205">
        <v>5</v>
      </c>
    </row>
    <row r="115" spans="1:35">
      <c r="A115" s="212" t="s">
        <v>174</v>
      </c>
      <c r="B115" s="213"/>
      <c r="C115" s="213"/>
      <c r="D115" s="213"/>
      <c r="E115" s="213">
        <v>0</v>
      </c>
      <c r="F115" s="213"/>
      <c r="G115" s="213"/>
      <c r="H115" s="213"/>
      <c r="I115" s="213"/>
      <c r="J115" s="205">
        <v>0</v>
      </c>
      <c r="AA115" s="233" t="s">
        <v>1090</v>
      </c>
      <c r="AB115" s="213">
        <v>1</v>
      </c>
      <c r="AC115" s="213"/>
      <c r="AD115" s="213"/>
      <c r="AE115" s="213"/>
      <c r="AF115" s="213"/>
      <c r="AG115" s="213"/>
      <c r="AH115" s="213">
        <v>1</v>
      </c>
      <c r="AI115" s="205">
        <v>2</v>
      </c>
    </row>
    <row r="116" spans="1:35">
      <c r="A116" s="212" t="s">
        <v>436</v>
      </c>
      <c r="B116" s="213"/>
      <c r="C116" s="213"/>
      <c r="D116" s="213"/>
      <c r="E116" s="213"/>
      <c r="F116" s="213"/>
      <c r="G116" s="213">
        <v>0</v>
      </c>
      <c r="H116" s="213"/>
      <c r="I116" s="213"/>
      <c r="J116" s="205">
        <v>0</v>
      </c>
      <c r="AA116" s="233" t="s">
        <v>1089</v>
      </c>
      <c r="AB116" s="213"/>
      <c r="AC116" s="213">
        <v>1</v>
      </c>
      <c r="AD116" s="213"/>
      <c r="AE116" s="213"/>
      <c r="AF116" s="213"/>
      <c r="AG116" s="213"/>
      <c r="AH116" s="213">
        <v>6</v>
      </c>
      <c r="AI116" s="205">
        <v>7</v>
      </c>
    </row>
    <row r="117" spans="1:35">
      <c r="A117" s="212" t="s">
        <v>863</v>
      </c>
      <c r="B117" s="213"/>
      <c r="C117" s="213">
        <v>140</v>
      </c>
      <c r="D117" s="213"/>
      <c r="E117" s="213"/>
      <c r="F117" s="213"/>
      <c r="G117" s="213"/>
      <c r="H117" s="213"/>
      <c r="I117" s="213"/>
      <c r="J117" s="205">
        <v>140</v>
      </c>
      <c r="AA117" s="233" t="s">
        <v>1092</v>
      </c>
      <c r="AB117" s="213">
        <v>2</v>
      </c>
      <c r="AC117" s="213">
        <v>1</v>
      </c>
      <c r="AD117" s="213"/>
      <c r="AE117" s="213"/>
      <c r="AF117" s="213">
        <v>1</v>
      </c>
      <c r="AG117" s="213">
        <v>13</v>
      </c>
      <c r="AH117" s="213">
        <v>1</v>
      </c>
      <c r="AI117" s="205">
        <v>18</v>
      </c>
    </row>
    <row r="118" spans="1:35">
      <c r="A118" s="212" t="s">
        <v>1083</v>
      </c>
      <c r="B118" s="213"/>
      <c r="C118" s="213"/>
      <c r="D118" s="213"/>
      <c r="E118" s="213"/>
      <c r="F118" s="213">
        <v>0</v>
      </c>
      <c r="G118" s="213"/>
      <c r="H118" s="213"/>
      <c r="I118" s="213"/>
      <c r="J118" s="205">
        <v>0</v>
      </c>
      <c r="AA118" s="233" t="s">
        <v>1093</v>
      </c>
      <c r="AB118" s="213">
        <v>1</v>
      </c>
      <c r="AC118" s="213">
        <v>2</v>
      </c>
      <c r="AD118" s="213"/>
      <c r="AE118" s="213"/>
      <c r="AF118" s="213"/>
      <c r="AG118" s="213">
        <v>2</v>
      </c>
      <c r="AH118" s="213">
        <v>3</v>
      </c>
      <c r="AI118" s="205">
        <v>8</v>
      </c>
    </row>
    <row r="119" spans="1:35">
      <c r="A119" s="212" t="s">
        <v>438</v>
      </c>
      <c r="B119" s="213"/>
      <c r="C119" s="213"/>
      <c r="D119" s="213"/>
      <c r="E119" s="213">
        <v>0</v>
      </c>
      <c r="F119" s="213"/>
      <c r="G119" s="213"/>
      <c r="H119" s="213"/>
      <c r="I119" s="213"/>
      <c r="J119" s="205">
        <v>0</v>
      </c>
      <c r="AA119" s="233" t="s">
        <v>21</v>
      </c>
      <c r="AB119" s="213">
        <v>2</v>
      </c>
      <c r="AC119" s="213">
        <v>2</v>
      </c>
      <c r="AD119" s="213">
        <v>1</v>
      </c>
      <c r="AE119" s="213"/>
      <c r="AF119" s="213"/>
      <c r="AG119" s="213">
        <v>10</v>
      </c>
      <c r="AH119" s="213">
        <v>8</v>
      </c>
      <c r="AI119" s="205">
        <v>23</v>
      </c>
    </row>
    <row r="120" spans="1:35">
      <c r="A120" s="212" t="s">
        <v>440</v>
      </c>
      <c r="B120" s="213">
        <v>112</v>
      </c>
      <c r="C120" s="213"/>
      <c r="D120" s="213"/>
      <c r="E120" s="213"/>
      <c r="F120" s="213"/>
      <c r="G120" s="213"/>
      <c r="H120" s="213"/>
      <c r="I120" s="213"/>
      <c r="J120" s="205">
        <v>112</v>
      </c>
      <c r="AA120" s="233" t="s">
        <v>858</v>
      </c>
      <c r="AB120" s="213"/>
      <c r="AC120" s="213"/>
      <c r="AD120" s="213"/>
      <c r="AE120" s="213"/>
      <c r="AF120" s="213"/>
      <c r="AG120" s="213">
        <v>1</v>
      </c>
      <c r="AH120" s="213">
        <v>1</v>
      </c>
      <c r="AI120" s="205">
        <v>2</v>
      </c>
    </row>
    <row r="121" spans="1:35">
      <c r="A121" s="212" t="s">
        <v>199</v>
      </c>
      <c r="B121" s="213"/>
      <c r="C121" s="213"/>
      <c r="D121" s="213"/>
      <c r="E121" s="213"/>
      <c r="F121" s="213">
        <v>0</v>
      </c>
      <c r="G121" s="213"/>
      <c r="H121" s="213"/>
      <c r="I121" s="213"/>
      <c r="J121" s="205">
        <v>0</v>
      </c>
      <c r="AA121" s="233" t="s">
        <v>798</v>
      </c>
      <c r="AB121" s="213">
        <v>1</v>
      </c>
      <c r="AC121" s="213"/>
      <c r="AD121" s="213"/>
      <c r="AE121" s="213"/>
      <c r="AF121" s="213"/>
      <c r="AG121" s="213">
        <v>2</v>
      </c>
      <c r="AH121" s="213"/>
      <c r="AI121" s="205">
        <v>3</v>
      </c>
    </row>
    <row r="122" spans="1:35">
      <c r="A122" s="212" t="s">
        <v>311</v>
      </c>
      <c r="B122" s="213">
        <v>132</v>
      </c>
      <c r="C122" s="213"/>
      <c r="D122" s="213"/>
      <c r="E122" s="213"/>
      <c r="F122" s="213"/>
      <c r="G122" s="213"/>
      <c r="H122" s="213"/>
      <c r="I122" s="213"/>
      <c r="J122" s="205">
        <v>132</v>
      </c>
      <c r="AA122" s="233" t="s">
        <v>802</v>
      </c>
      <c r="AB122" s="213">
        <v>2</v>
      </c>
      <c r="AC122" s="213">
        <v>17</v>
      </c>
      <c r="AD122" s="213"/>
      <c r="AE122" s="213"/>
      <c r="AF122" s="213"/>
      <c r="AG122" s="213">
        <v>12</v>
      </c>
      <c r="AH122" s="213">
        <v>2</v>
      </c>
      <c r="AI122" s="205">
        <v>33</v>
      </c>
    </row>
    <row r="123" spans="1:35">
      <c r="A123" s="212" t="s">
        <v>194</v>
      </c>
      <c r="B123" s="213"/>
      <c r="C123" s="213"/>
      <c r="D123" s="213"/>
      <c r="E123" s="213"/>
      <c r="F123" s="213">
        <v>0</v>
      </c>
      <c r="G123" s="213"/>
      <c r="H123" s="213"/>
      <c r="I123" s="213"/>
      <c r="J123" s="205">
        <v>0</v>
      </c>
      <c r="AA123" s="233" t="s">
        <v>857</v>
      </c>
      <c r="AB123" s="213"/>
      <c r="AC123" s="213">
        <v>2</v>
      </c>
      <c r="AD123" s="213">
        <v>1</v>
      </c>
      <c r="AE123" s="213"/>
      <c r="AF123" s="213"/>
      <c r="AG123" s="213">
        <v>1</v>
      </c>
      <c r="AH123" s="213"/>
      <c r="AI123" s="205">
        <v>4</v>
      </c>
    </row>
    <row r="124" spans="1:35">
      <c r="A124" s="212" t="s">
        <v>442</v>
      </c>
      <c r="B124" s="213">
        <v>20</v>
      </c>
      <c r="C124" s="213"/>
      <c r="D124" s="213"/>
      <c r="E124" s="213"/>
      <c r="F124" s="213"/>
      <c r="G124" s="213"/>
      <c r="H124" s="213"/>
      <c r="I124" s="213"/>
      <c r="J124" s="205">
        <v>20</v>
      </c>
      <c r="AA124" s="233" t="s">
        <v>809</v>
      </c>
      <c r="AB124" s="213"/>
      <c r="AC124" s="213">
        <v>1</v>
      </c>
      <c r="AD124" s="213"/>
      <c r="AE124" s="213"/>
      <c r="AF124" s="213">
        <v>1</v>
      </c>
      <c r="AG124" s="213">
        <v>2</v>
      </c>
      <c r="AH124" s="213"/>
      <c r="AI124" s="205">
        <v>4</v>
      </c>
    </row>
    <row r="125" spans="1:35">
      <c r="A125" s="212" t="s">
        <v>444</v>
      </c>
      <c r="B125" s="213">
        <v>44</v>
      </c>
      <c r="C125" s="213"/>
      <c r="D125" s="213"/>
      <c r="E125" s="213"/>
      <c r="F125" s="213"/>
      <c r="G125" s="213"/>
      <c r="H125" s="213"/>
      <c r="I125" s="213"/>
      <c r="J125" s="205">
        <v>44</v>
      </c>
      <c r="AA125" s="233" t="s">
        <v>799</v>
      </c>
      <c r="AB125" s="213">
        <v>1</v>
      </c>
      <c r="AC125" s="213"/>
      <c r="AD125" s="213"/>
      <c r="AE125" s="213"/>
      <c r="AF125" s="213"/>
      <c r="AG125" s="213">
        <v>6</v>
      </c>
      <c r="AH125" s="213"/>
      <c r="AI125" s="205">
        <v>7</v>
      </c>
    </row>
    <row r="126" spans="1:35">
      <c r="A126" s="212" t="s">
        <v>446</v>
      </c>
      <c r="B126" s="213">
        <v>40</v>
      </c>
      <c r="C126" s="213"/>
      <c r="D126" s="213"/>
      <c r="E126" s="213"/>
      <c r="F126" s="213"/>
      <c r="G126" s="213"/>
      <c r="H126" s="213"/>
      <c r="I126" s="213"/>
      <c r="J126" s="205">
        <v>40</v>
      </c>
      <c r="AA126" s="233" t="s">
        <v>800</v>
      </c>
      <c r="AB126" s="213"/>
      <c r="AC126" s="213"/>
      <c r="AD126" s="213"/>
      <c r="AE126" s="213"/>
      <c r="AF126" s="213"/>
      <c r="AG126" s="213"/>
      <c r="AH126" s="213">
        <v>2</v>
      </c>
      <c r="AI126" s="205">
        <v>2</v>
      </c>
    </row>
    <row r="127" spans="1:35">
      <c r="A127" s="212" t="s">
        <v>232</v>
      </c>
      <c r="B127" s="213"/>
      <c r="C127" s="213"/>
      <c r="D127" s="213">
        <v>8</v>
      </c>
      <c r="E127" s="213"/>
      <c r="F127" s="213"/>
      <c r="G127" s="213"/>
      <c r="H127" s="213"/>
      <c r="I127" s="213"/>
      <c r="J127" s="205">
        <v>8</v>
      </c>
      <c r="AA127" s="233" t="s">
        <v>856</v>
      </c>
      <c r="AB127" s="213"/>
      <c r="AC127" s="213"/>
      <c r="AD127" s="213"/>
      <c r="AE127" s="213"/>
      <c r="AF127" s="213"/>
      <c r="AG127" s="213"/>
      <c r="AH127" s="213">
        <v>1</v>
      </c>
      <c r="AI127" s="205">
        <v>1</v>
      </c>
    </row>
    <row r="128" spans="1:35">
      <c r="A128" s="212" t="s">
        <v>234</v>
      </c>
      <c r="B128" s="213"/>
      <c r="C128" s="213"/>
      <c r="D128" s="213">
        <v>256</v>
      </c>
      <c r="E128" s="213"/>
      <c r="F128" s="213"/>
      <c r="G128" s="213"/>
      <c r="H128" s="213"/>
      <c r="I128" s="213"/>
      <c r="J128" s="205">
        <v>256</v>
      </c>
      <c r="AA128" s="233" t="s">
        <v>75</v>
      </c>
      <c r="AB128" s="213">
        <v>1</v>
      </c>
      <c r="AC128" s="213">
        <v>2</v>
      </c>
      <c r="AD128" s="213"/>
      <c r="AE128" s="213"/>
      <c r="AF128" s="213"/>
      <c r="AG128" s="213">
        <v>2</v>
      </c>
      <c r="AH128" s="213">
        <v>2</v>
      </c>
      <c r="AI128" s="205">
        <v>7</v>
      </c>
    </row>
    <row r="129" spans="1:35">
      <c r="A129" s="212" t="s">
        <v>236</v>
      </c>
      <c r="B129" s="213"/>
      <c r="C129" s="213"/>
      <c r="D129" s="213"/>
      <c r="E129" s="213">
        <v>0</v>
      </c>
      <c r="F129" s="213"/>
      <c r="G129" s="213"/>
      <c r="H129" s="213"/>
      <c r="I129" s="213"/>
      <c r="J129" s="205">
        <v>0</v>
      </c>
      <c r="AA129" s="233" t="s">
        <v>690</v>
      </c>
      <c r="AB129" s="213">
        <v>1</v>
      </c>
      <c r="AC129" s="213">
        <v>2</v>
      </c>
      <c r="AD129" s="213"/>
      <c r="AE129" s="213">
        <v>9</v>
      </c>
      <c r="AF129" s="213">
        <v>1</v>
      </c>
      <c r="AG129" s="213">
        <v>6</v>
      </c>
      <c r="AH129" s="213">
        <v>19</v>
      </c>
      <c r="AI129" s="205">
        <v>38</v>
      </c>
    </row>
    <row r="130" spans="1:35">
      <c r="A130" s="212" t="s">
        <v>680</v>
      </c>
      <c r="B130" s="213"/>
      <c r="C130" s="213"/>
      <c r="D130" s="213"/>
      <c r="E130" s="213">
        <v>0</v>
      </c>
      <c r="F130" s="213"/>
      <c r="G130" s="213"/>
      <c r="H130" s="213"/>
      <c r="I130" s="213"/>
      <c r="J130" s="205">
        <v>0</v>
      </c>
      <c r="AA130" s="233" t="s">
        <v>1241</v>
      </c>
      <c r="AB130" s="213"/>
      <c r="AC130" s="213"/>
      <c r="AD130" s="213"/>
      <c r="AE130" s="213"/>
      <c r="AF130" s="213"/>
      <c r="AG130" s="213"/>
      <c r="AH130" s="213"/>
      <c r="AI130" s="205"/>
    </row>
    <row r="131" spans="1:35">
      <c r="A131" s="212" t="s">
        <v>237</v>
      </c>
      <c r="B131" s="213"/>
      <c r="C131" s="213"/>
      <c r="D131" s="213">
        <v>0</v>
      </c>
      <c r="E131" s="213"/>
      <c r="F131" s="213"/>
      <c r="G131" s="213"/>
      <c r="H131" s="213"/>
      <c r="I131" s="213"/>
      <c r="J131" s="205">
        <v>0</v>
      </c>
      <c r="AA131" s="233" t="s">
        <v>1091</v>
      </c>
      <c r="AB131" s="213"/>
      <c r="AC131" s="213">
        <v>3</v>
      </c>
      <c r="AD131" s="213"/>
      <c r="AE131" s="213"/>
      <c r="AF131" s="213"/>
      <c r="AG131" s="213"/>
      <c r="AH131" s="213"/>
      <c r="AI131" s="205">
        <v>3</v>
      </c>
    </row>
    <row r="132" spans="1:35">
      <c r="A132" s="212" t="s">
        <v>239</v>
      </c>
      <c r="B132" s="213"/>
      <c r="C132" s="213"/>
      <c r="D132" s="213">
        <v>0</v>
      </c>
      <c r="E132" s="213"/>
      <c r="F132" s="213"/>
      <c r="G132" s="213"/>
      <c r="H132" s="213"/>
      <c r="I132" s="213"/>
      <c r="J132" s="205">
        <v>0</v>
      </c>
      <c r="AA132" s="233" t="s">
        <v>1094</v>
      </c>
      <c r="AB132" s="213"/>
      <c r="AC132" s="213"/>
      <c r="AD132" s="213">
        <v>1</v>
      </c>
      <c r="AE132" s="213"/>
      <c r="AF132" s="213"/>
      <c r="AG132" s="213"/>
      <c r="AH132" s="213"/>
      <c r="AI132" s="205">
        <v>1</v>
      </c>
    </row>
    <row r="133" spans="1:35" ht="13.5" thickBot="1">
      <c r="A133" s="212" t="s">
        <v>861</v>
      </c>
      <c r="B133" s="213"/>
      <c r="C133" s="213"/>
      <c r="D133" s="213">
        <v>20</v>
      </c>
      <c r="E133" s="213"/>
      <c r="F133" s="213"/>
      <c r="G133" s="213"/>
      <c r="H133" s="213"/>
      <c r="I133" s="213"/>
      <c r="J133" s="205">
        <v>20</v>
      </c>
      <c r="AA133" s="234" t="s">
        <v>1231</v>
      </c>
      <c r="AB133" s="228">
        <v>68</v>
      </c>
      <c r="AC133" s="228">
        <v>34</v>
      </c>
      <c r="AD133" s="228">
        <v>5</v>
      </c>
      <c r="AE133" s="228">
        <v>9</v>
      </c>
      <c r="AF133" s="228">
        <v>3</v>
      </c>
      <c r="AG133" s="228">
        <v>63</v>
      </c>
      <c r="AH133" s="228">
        <v>58</v>
      </c>
      <c r="AI133" s="229">
        <v>240</v>
      </c>
    </row>
    <row r="134" spans="1:35" ht="13.5" thickTop="1">
      <c r="A134" s="212" t="s">
        <v>313</v>
      </c>
      <c r="B134" s="213"/>
      <c r="C134" s="213"/>
      <c r="D134" s="213">
        <v>20</v>
      </c>
      <c r="E134" s="213"/>
      <c r="F134" s="213"/>
      <c r="G134" s="213"/>
      <c r="H134" s="213"/>
      <c r="I134" s="213"/>
      <c r="J134" s="205">
        <v>20</v>
      </c>
    </row>
    <row r="135" spans="1:35">
      <c r="A135" s="212" t="s">
        <v>316</v>
      </c>
      <c r="B135" s="213"/>
      <c r="C135" s="213"/>
      <c r="D135" s="213">
        <v>0</v>
      </c>
      <c r="E135" s="213"/>
      <c r="F135" s="213"/>
      <c r="G135" s="213"/>
      <c r="H135" s="213"/>
      <c r="I135" s="213"/>
      <c r="J135" s="205">
        <v>0</v>
      </c>
    </row>
    <row r="136" spans="1:35">
      <c r="A136" s="212" t="s">
        <v>691</v>
      </c>
      <c r="B136" s="213"/>
      <c r="C136" s="213"/>
      <c r="D136" s="213">
        <v>0</v>
      </c>
      <c r="E136" s="213"/>
      <c r="F136" s="213"/>
      <c r="G136" s="213"/>
      <c r="H136" s="213"/>
      <c r="I136" s="213"/>
      <c r="J136" s="205">
        <v>0</v>
      </c>
    </row>
    <row r="137" spans="1:35">
      <c r="A137" s="212" t="s">
        <v>784</v>
      </c>
      <c r="B137" s="213"/>
      <c r="C137" s="213"/>
      <c r="D137" s="213">
        <v>260</v>
      </c>
      <c r="E137" s="213"/>
      <c r="F137" s="213"/>
      <c r="G137" s="213"/>
      <c r="H137" s="213"/>
      <c r="I137" s="213"/>
      <c r="J137" s="205">
        <v>260</v>
      </c>
    </row>
    <row r="138" spans="1:35">
      <c r="A138" s="212" t="s">
        <v>448</v>
      </c>
      <c r="B138" s="213"/>
      <c r="C138" s="213"/>
      <c r="D138" s="213"/>
      <c r="E138" s="213"/>
      <c r="F138" s="213"/>
      <c r="G138" s="213"/>
      <c r="H138" s="213">
        <v>0</v>
      </c>
      <c r="I138" s="213"/>
      <c r="J138" s="205">
        <v>0</v>
      </c>
    </row>
    <row r="139" spans="1:35">
      <c r="A139" s="212" t="s">
        <v>317</v>
      </c>
      <c r="B139" s="213"/>
      <c r="C139" s="213"/>
      <c r="D139" s="213"/>
      <c r="E139" s="213"/>
      <c r="F139" s="213"/>
      <c r="G139" s="213"/>
      <c r="H139" s="213">
        <v>0</v>
      </c>
      <c r="I139" s="213"/>
      <c r="J139" s="205">
        <v>0</v>
      </c>
    </row>
    <row r="140" spans="1:35">
      <c r="A140" s="212" t="s">
        <v>1107</v>
      </c>
      <c r="B140" s="213"/>
      <c r="C140" s="213"/>
      <c r="D140" s="213"/>
      <c r="E140" s="213"/>
      <c r="F140" s="213"/>
      <c r="G140" s="213"/>
      <c r="H140" s="213"/>
      <c r="I140" s="213">
        <v>0</v>
      </c>
      <c r="J140" s="205">
        <v>0</v>
      </c>
    </row>
    <row r="141" spans="1:35">
      <c r="A141" s="212" t="s">
        <v>450</v>
      </c>
      <c r="B141" s="213">
        <v>8</v>
      </c>
      <c r="C141" s="213"/>
      <c r="D141" s="213"/>
      <c r="E141" s="213"/>
      <c r="F141" s="213"/>
      <c r="G141" s="213"/>
      <c r="H141" s="213"/>
      <c r="I141" s="213"/>
      <c r="J141" s="205">
        <v>8</v>
      </c>
    </row>
    <row r="142" spans="1:35">
      <c r="A142" s="212" t="s">
        <v>319</v>
      </c>
      <c r="B142" s="213"/>
      <c r="C142" s="213"/>
      <c r="D142" s="213"/>
      <c r="E142" s="213">
        <v>40</v>
      </c>
      <c r="F142" s="213"/>
      <c r="G142" s="213"/>
      <c r="H142" s="213"/>
      <c r="I142" s="213"/>
      <c r="J142" s="205">
        <v>40</v>
      </c>
    </row>
    <row r="143" spans="1:35">
      <c r="A143" s="212" t="s">
        <v>452</v>
      </c>
      <c r="B143" s="213">
        <v>96</v>
      </c>
      <c r="C143" s="213"/>
      <c r="D143" s="213"/>
      <c r="E143" s="213"/>
      <c r="F143" s="213"/>
      <c r="G143" s="213"/>
      <c r="H143" s="213"/>
      <c r="I143" s="213"/>
      <c r="J143" s="205">
        <v>96</v>
      </c>
    </row>
    <row r="144" spans="1:35">
      <c r="A144" s="212" t="s">
        <v>410</v>
      </c>
      <c r="B144" s="213"/>
      <c r="C144" s="213"/>
      <c r="D144" s="213">
        <v>200</v>
      </c>
      <c r="E144" s="213"/>
      <c r="F144" s="213"/>
      <c r="G144" s="213"/>
      <c r="H144" s="213"/>
      <c r="I144" s="213"/>
      <c r="J144" s="205">
        <v>200</v>
      </c>
    </row>
    <row r="145" spans="1:10">
      <c r="A145" s="212" t="s">
        <v>241</v>
      </c>
      <c r="B145" s="213"/>
      <c r="C145" s="213"/>
      <c r="D145" s="213">
        <v>8</v>
      </c>
      <c r="E145" s="213"/>
      <c r="F145" s="213"/>
      <c r="G145" s="213"/>
      <c r="H145" s="213"/>
      <c r="I145" s="213"/>
      <c r="J145" s="205">
        <v>8</v>
      </c>
    </row>
    <row r="146" spans="1:10">
      <c r="A146" s="212" t="s">
        <v>855</v>
      </c>
      <c r="B146" s="213"/>
      <c r="C146" s="213"/>
      <c r="D146" s="213">
        <v>176</v>
      </c>
      <c r="E146" s="213"/>
      <c r="F146" s="213"/>
      <c r="G146" s="213"/>
      <c r="H146" s="213"/>
      <c r="I146" s="213"/>
      <c r="J146" s="205">
        <v>176</v>
      </c>
    </row>
    <row r="147" spans="1:10">
      <c r="A147" s="212" t="s">
        <v>276</v>
      </c>
      <c r="B147" s="213"/>
      <c r="C147" s="213"/>
      <c r="D147" s="213"/>
      <c r="E147" s="213"/>
      <c r="F147" s="213"/>
      <c r="G147" s="213">
        <v>0</v>
      </c>
      <c r="H147" s="213"/>
      <c r="I147" s="213"/>
      <c r="J147" s="205">
        <v>0</v>
      </c>
    </row>
    <row r="148" spans="1:10">
      <c r="A148" s="212" t="s">
        <v>783</v>
      </c>
      <c r="B148" s="213"/>
      <c r="C148" s="213"/>
      <c r="D148" s="213"/>
      <c r="E148" s="213"/>
      <c r="F148" s="213"/>
      <c r="G148" s="213"/>
      <c r="H148" s="213">
        <v>0</v>
      </c>
      <c r="I148" s="213"/>
      <c r="J148" s="205">
        <v>0</v>
      </c>
    </row>
    <row r="149" spans="1:10">
      <c r="A149" s="212" t="s">
        <v>602</v>
      </c>
      <c r="B149" s="213">
        <v>0</v>
      </c>
      <c r="C149" s="213"/>
      <c r="D149" s="213"/>
      <c r="E149" s="213"/>
      <c r="F149" s="213"/>
      <c r="G149" s="213"/>
      <c r="H149" s="213"/>
      <c r="I149" s="213"/>
      <c r="J149" s="205">
        <v>0</v>
      </c>
    </row>
    <row r="150" spans="1:10">
      <c r="A150" s="212" t="s">
        <v>279</v>
      </c>
      <c r="B150" s="213"/>
      <c r="C150" s="213">
        <v>0</v>
      </c>
      <c r="D150" s="213"/>
      <c r="E150" s="213"/>
      <c r="F150" s="213"/>
      <c r="G150" s="213"/>
      <c r="H150" s="213"/>
      <c r="I150" s="213"/>
      <c r="J150" s="205">
        <v>0</v>
      </c>
    </row>
    <row r="151" spans="1:10">
      <c r="A151" s="212" t="s">
        <v>456</v>
      </c>
      <c r="B151" s="213"/>
      <c r="C151" s="213">
        <v>32</v>
      </c>
      <c r="D151" s="213"/>
      <c r="E151" s="213"/>
      <c r="F151" s="213"/>
      <c r="G151" s="213"/>
      <c r="H151" s="213"/>
      <c r="I151" s="213"/>
      <c r="J151" s="205">
        <v>32</v>
      </c>
    </row>
    <row r="152" spans="1:10">
      <c r="A152" s="212" t="s">
        <v>340</v>
      </c>
      <c r="B152" s="213">
        <v>60</v>
      </c>
      <c r="C152" s="213"/>
      <c r="D152" s="213"/>
      <c r="E152" s="213"/>
      <c r="F152" s="213"/>
      <c r="G152" s="213"/>
      <c r="H152" s="213"/>
      <c r="I152" s="213"/>
      <c r="J152" s="205">
        <v>60</v>
      </c>
    </row>
    <row r="153" spans="1:10">
      <c r="A153" s="212" t="s">
        <v>424</v>
      </c>
      <c r="B153" s="213">
        <v>0</v>
      </c>
      <c r="C153" s="213"/>
      <c r="D153" s="213"/>
      <c r="E153" s="213"/>
      <c r="F153" s="213"/>
      <c r="G153" s="213"/>
      <c r="H153" s="213"/>
      <c r="I153" s="213"/>
      <c r="J153" s="205">
        <v>0</v>
      </c>
    </row>
    <row r="154" spans="1:10">
      <c r="A154" s="212" t="s">
        <v>425</v>
      </c>
      <c r="B154" s="213">
        <v>0</v>
      </c>
      <c r="C154" s="213"/>
      <c r="D154" s="213"/>
      <c r="E154" s="213"/>
      <c r="F154" s="213"/>
      <c r="G154" s="213"/>
      <c r="H154" s="213"/>
      <c r="I154" s="213"/>
      <c r="J154" s="205">
        <v>0</v>
      </c>
    </row>
    <row r="155" spans="1:10">
      <c r="A155" s="212" t="s">
        <v>459</v>
      </c>
      <c r="B155" s="213"/>
      <c r="C155" s="213"/>
      <c r="D155" s="213"/>
      <c r="E155" s="213">
        <v>0</v>
      </c>
      <c r="F155" s="213"/>
      <c r="G155" s="213"/>
      <c r="H155" s="213"/>
      <c r="I155" s="213"/>
      <c r="J155" s="205">
        <v>0</v>
      </c>
    </row>
    <row r="156" spans="1:10">
      <c r="A156" s="212" t="s">
        <v>845</v>
      </c>
      <c r="B156" s="213"/>
      <c r="C156" s="213"/>
      <c r="D156" s="213"/>
      <c r="E156" s="213"/>
      <c r="F156" s="213">
        <v>0</v>
      </c>
      <c r="G156" s="213"/>
      <c r="H156" s="213"/>
      <c r="I156" s="213"/>
      <c r="J156" s="205">
        <v>0</v>
      </c>
    </row>
    <row r="157" spans="1:10">
      <c r="A157" s="212" t="s">
        <v>282</v>
      </c>
      <c r="B157" s="213"/>
      <c r="C157" s="213">
        <v>0</v>
      </c>
      <c r="D157" s="213"/>
      <c r="E157" s="213"/>
      <c r="F157" s="213"/>
      <c r="G157" s="213"/>
      <c r="H157" s="213"/>
      <c r="I157" s="213"/>
      <c r="J157" s="205">
        <v>0</v>
      </c>
    </row>
    <row r="158" spans="1:10">
      <c r="A158" s="212" t="s">
        <v>461</v>
      </c>
      <c r="B158" s="213"/>
      <c r="C158" s="213">
        <v>20</v>
      </c>
      <c r="D158" s="213"/>
      <c r="E158" s="213"/>
      <c r="F158" s="213"/>
      <c r="G158" s="213"/>
      <c r="H158" s="213"/>
      <c r="I158" s="213"/>
      <c r="J158" s="205">
        <v>20</v>
      </c>
    </row>
    <row r="159" spans="1:10">
      <c r="A159" s="212" t="s">
        <v>463</v>
      </c>
      <c r="B159" s="213"/>
      <c r="C159" s="213"/>
      <c r="D159" s="213"/>
      <c r="E159" s="213">
        <v>0</v>
      </c>
      <c r="F159" s="213"/>
      <c r="G159" s="213"/>
      <c r="H159" s="213"/>
      <c r="I159" s="213"/>
      <c r="J159" s="205">
        <v>0</v>
      </c>
    </row>
    <row r="160" spans="1:10">
      <c r="A160" s="212" t="s">
        <v>465</v>
      </c>
      <c r="B160" s="213">
        <v>0</v>
      </c>
      <c r="C160" s="213"/>
      <c r="D160" s="213"/>
      <c r="E160" s="213"/>
      <c r="F160" s="213"/>
      <c r="G160" s="213"/>
      <c r="H160" s="213"/>
      <c r="I160" s="213"/>
      <c r="J160" s="205">
        <v>0</v>
      </c>
    </row>
    <row r="161" spans="1:10">
      <c r="A161" s="212" t="s">
        <v>1158</v>
      </c>
      <c r="B161" s="213"/>
      <c r="C161" s="213"/>
      <c r="D161" s="213"/>
      <c r="E161" s="213"/>
      <c r="F161" s="213"/>
      <c r="G161" s="213"/>
      <c r="H161" s="213"/>
      <c r="I161" s="213">
        <v>0</v>
      </c>
      <c r="J161" s="205">
        <v>0</v>
      </c>
    </row>
    <row r="162" spans="1:10">
      <c r="A162" s="212" t="s">
        <v>285</v>
      </c>
      <c r="B162" s="213"/>
      <c r="C162" s="213">
        <v>60</v>
      </c>
      <c r="D162" s="213"/>
      <c r="E162" s="213"/>
      <c r="F162" s="213"/>
      <c r="G162" s="213"/>
      <c r="H162" s="213"/>
      <c r="I162" s="213"/>
      <c r="J162" s="205">
        <v>60</v>
      </c>
    </row>
    <row r="163" spans="1:10">
      <c r="A163" s="212" t="s">
        <v>843</v>
      </c>
      <c r="B163" s="213"/>
      <c r="C163" s="213"/>
      <c r="D163" s="213">
        <v>470</v>
      </c>
      <c r="E163" s="213"/>
      <c r="F163" s="213"/>
      <c r="G163" s="213"/>
      <c r="H163" s="213"/>
      <c r="I163" s="213"/>
      <c r="J163" s="205">
        <v>470</v>
      </c>
    </row>
    <row r="164" spans="1:10">
      <c r="A164" s="212" t="s">
        <v>467</v>
      </c>
      <c r="B164" s="213"/>
      <c r="C164" s="213"/>
      <c r="D164" s="213"/>
      <c r="E164" s="213"/>
      <c r="F164" s="213"/>
      <c r="G164" s="213"/>
      <c r="H164" s="213">
        <v>0</v>
      </c>
      <c r="I164" s="213"/>
      <c r="J164" s="205">
        <v>0</v>
      </c>
    </row>
    <row r="165" spans="1:10">
      <c r="A165" s="212" t="s">
        <v>412</v>
      </c>
      <c r="B165" s="213"/>
      <c r="C165" s="213"/>
      <c r="D165" s="213">
        <v>200</v>
      </c>
      <c r="E165" s="213"/>
      <c r="F165" s="213"/>
      <c r="G165" s="213"/>
      <c r="H165" s="213"/>
      <c r="I165" s="213"/>
      <c r="J165" s="205">
        <v>200</v>
      </c>
    </row>
    <row r="166" spans="1:10">
      <c r="A166" s="212" t="s">
        <v>124</v>
      </c>
      <c r="B166" s="213"/>
      <c r="C166" s="213"/>
      <c r="D166" s="213">
        <v>0</v>
      </c>
      <c r="E166" s="213"/>
      <c r="F166" s="213"/>
      <c r="G166" s="213"/>
      <c r="H166" s="213"/>
      <c r="I166" s="213"/>
      <c r="J166" s="205">
        <v>0</v>
      </c>
    </row>
    <row r="167" spans="1:10">
      <c r="A167" s="212" t="s">
        <v>127</v>
      </c>
      <c r="B167" s="213"/>
      <c r="C167" s="213"/>
      <c r="D167" s="213"/>
      <c r="E167" s="213"/>
      <c r="F167" s="213"/>
      <c r="G167" s="213"/>
      <c r="H167" s="213">
        <v>0</v>
      </c>
      <c r="I167" s="213"/>
      <c r="J167" s="205">
        <v>0</v>
      </c>
    </row>
    <row r="168" spans="1:10">
      <c r="A168" s="212" t="s">
        <v>201</v>
      </c>
      <c r="B168" s="213"/>
      <c r="C168" s="213"/>
      <c r="D168" s="213"/>
      <c r="E168" s="213"/>
      <c r="F168" s="213"/>
      <c r="G168" s="213"/>
      <c r="H168" s="213">
        <v>0</v>
      </c>
      <c r="I168" s="213"/>
      <c r="J168" s="205">
        <v>0</v>
      </c>
    </row>
    <row r="169" spans="1:10">
      <c r="A169" s="212" t="s">
        <v>130</v>
      </c>
      <c r="B169" s="213"/>
      <c r="C169" s="213"/>
      <c r="D169" s="213"/>
      <c r="E169" s="213"/>
      <c r="F169" s="213"/>
      <c r="G169" s="213"/>
      <c r="H169" s="213">
        <v>0</v>
      </c>
      <c r="I169" s="213"/>
      <c r="J169" s="205">
        <v>0</v>
      </c>
    </row>
    <row r="170" spans="1:10">
      <c r="A170" s="212" t="s">
        <v>203</v>
      </c>
      <c r="B170" s="213"/>
      <c r="C170" s="213"/>
      <c r="D170" s="213"/>
      <c r="E170" s="213"/>
      <c r="F170" s="213"/>
      <c r="G170" s="213"/>
      <c r="H170" s="213">
        <v>0</v>
      </c>
      <c r="I170" s="213"/>
      <c r="J170" s="205">
        <v>0</v>
      </c>
    </row>
    <row r="171" spans="1:10">
      <c r="A171" s="212" t="s">
        <v>133</v>
      </c>
      <c r="B171" s="213"/>
      <c r="C171" s="213"/>
      <c r="D171" s="213"/>
      <c r="E171" s="213"/>
      <c r="F171" s="213"/>
      <c r="G171" s="213"/>
      <c r="H171" s="213">
        <v>0</v>
      </c>
      <c r="I171" s="213"/>
      <c r="J171" s="205">
        <v>0</v>
      </c>
    </row>
    <row r="172" spans="1:10">
      <c r="A172" s="212" t="s">
        <v>205</v>
      </c>
      <c r="B172" s="213"/>
      <c r="C172" s="213"/>
      <c r="D172" s="213"/>
      <c r="E172" s="213"/>
      <c r="F172" s="213"/>
      <c r="G172" s="213"/>
      <c r="H172" s="213">
        <v>0</v>
      </c>
      <c r="I172" s="213"/>
      <c r="J172" s="205">
        <v>0</v>
      </c>
    </row>
    <row r="173" spans="1:10">
      <c r="A173" s="212" t="s">
        <v>178</v>
      </c>
      <c r="B173" s="213"/>
      <c r="C173" s="213">
        <v>0</v>
      </c>
      <c r="D173" s="213"/>
      <c r="E173" s="213"/>
      <c r="F173" s="213"/>
      <c r="G173" s="213"/>
      <c r="H173" s="213"/>
      <c r="I173" s="213"/>
      <c r="J173" s="205">
        <v>0</v>
      </c>
    </row>
    <row r="174" spans="1:10">
      <c r="A174" s="212" t="s">
        <v>136</v>
      </c>
      <c r="B174" s="213"/>
      <c r="C174" s="213"/>
      <c r="D174" s="213"/>
      <c r="E174" s="213"/>
      <c r="F174" s="213"/>
      <c r="G174" s="213"/>
      <c r="H174" s="213">
        <v>0</v>
      </c>
      <c r="I174" s="213"/>
      <c r="J174" s="205">
        <v>0</v>
      </c>
    </row>
    <row r="175" spans="1:10">
      <c r="A175" s="212" t="s">
        <v>180</v>
      </c>
      <c r="B175" s="213"/>
      <c r="C175" s="213"/>
      <c r="D175" s="213"/>
      <c r="E175" s="213"/>
      <c r="F175" s="213"/>
      <c r="G175" s="213"/>
      <c r="H175" s="213">
        <v>0</v>
      </c>
      <c r="I175" s="213"/>
      <c r="J175" s="205">
        <v>0</v>
      </c>
    </row>
    <row r="176" spans="1:10">
      <c r="A176" s="212" t="s">
        <v>393</v>
      </c>
      <c r="B176" s="213">
        <v>68</v>
      </c>
      <c r="C176" s="213"/>
      <c r="D176" s="213"/>
      <c r="E176" s="213"/>
      <c r="F176" s="213"/>
      <c r="G176" s="213"/>
      <c r="H176" s="213"/>
      <c r="I176" s="213"/>
      <c r="J176" s="205">
        <v>68</v>
      </c>
    </row>
    <row r="177" spans="1:10">
      <c r="A177" s="212" t="s">
        <v>396</v>
      </c>
      <c r="B177" s="213">
        <v>0</v>
      </c>
      <c r="C177" s="213"/>
      <c r="D177" s="213"/>
      <c r="E177" s="213"/>
      <c r="F177" s="213"/>
      <c r="G177" s="213"/>
      <c r="H177" s="213"/>
      <c r="I177" s="213"/>
      <c r="J177" s="205">
        <v>0</v>
      </c>
    </row>
    <row r="178" spans="1:10">
      <c r="A178" s="212" t="s">
        <v>397</v>
      </c>
      <c r="B178" s="213">
        <v>0</v>
      </c>
      <c r="C178" s="213"/>
      <c r="D178" s="213"/>
      <c r="E178" s="213"/>
      <c r="F178" s="213"/>
      <c r="G178" s="213"/>
      <c r="H178" s="213"/>
      <c r="I178" s="213"/>
      <c r="J178" s="205">
        <v>0</v>
      </c>
    </row>
    <row r="179" spans="1:10">
      <c r="A179" s="212" t="s">
        <v>785</v>
      </c>
      <c r="B179" s="213"/>
      <c r="C179" s="213"/>
      <c r="D179" s="213"/>
      <c r="E179" s="213"/>
      <c r="F179" s="213"/>
      <c r="G179" s="213"/>
      <c r="H179" s="213">
        <v>0</v>
      </c>
      <c r="I179" s="213"/>
      <c r="J179" s="205">
        <v>0</v>
      </c>
    </row>
    <row r="180" spans="1:10">
      <c r="A180" s="212" t="s">
        <v>1096</v>
      </c>
      <c r="B180" s="213"/>
      <c r="C180" s="213"/>
      <c r="D180" s="213"/>
      <c r="E180" s="213"/>
      <c r="F180" s="213"/>
      <c r="G180" s="213"/>
      <c r="H180" s="213"/>
      <c r="I180" s="213">
        <v>0</v>
      </c>
      <c r="J180" s="205">
        <v>0</v>
      </c>
    </row>
    <row r="181" spans="1:10">
      <c r="A181" s="212" t="s">
        <v>415</v>
      </c>
      <c r="B181" s="213"/>
      <c r="C181" s="213"/>
      <c r="D181" s="213"/>
      <c r="E181" s="213"/>
      <c r="F181" s="213"/>
      <c r="G181" s="213"/>
      <c r="H181" s="213">
        <v>0</v>
      </c>
      <c r="I181" s="213"/>
      <c r="J181" s="205">
        <v>0</v>
      </c>
    </row>
    <row r="182" spans="1:10">
      <c r="A182" s="212" t="s">
        <v>693</v>
      </c>
      <c r="B182" s="213"/>
      <c r="C182" s="213"/>
      <c r="D182" s="213"/>
      <c r="E182" s="213">
        <v>0</v>
      </c>
      <c r="F182" s="213"/>
      <c r="G182" s="213"/>
      <c r="H182" s="213"/>
      <c r="I182" s="213"/>
      <c r="J182" s="205">
        <v>0</v>
      </c>
    </row>
    <row r="183" spans="1:10">
      <c r="A183" s="212" t="s">
        <v>418</v>
      </c>
      <c r="B183" s="213"/>
      <c r="C183" s="213"/>
      <c r="D183" s="213"/>
      <c r="E183" s="213">
        <v>0</v>
      </c>
      <c r="F183" s="213"/>
      <c r="G183" s="213"/>
      <c r="H183" s="213"/>
      <c r="I183" s="213"/>
      <c r="J183" s="205">
        <v>0</v>
      </c>
    </row>
    <row r="184" spans="1:10">
      <c r="A184" s="212" t="s">
        <v>470</v>
      </c>
      <c r="B184" s="213"/>
      <c r="C184" s="213"/>
      <c r="D184" s="213">
        <v>20</v>
      </c>
      <c r="E184" s="213"/>
      <c r="F184" s="213"/>
      <c r="G184" s="213"/>
      <c r="H184" s="213"/>
      <c r="I184" s="213"/>
      <c r="J184" s="205">
        <v>20</v>
      </c>
    </row>
    <row r="185" spans="1:10">
      <c r="A185" s="212" t="s">
        <v>1082</v>
      </c>
      <c r="B185" s="213"/>
      <c r="C185" s="213"/>
      <c r="D185" s="213"/>
      <c r="E185" s="213"/>
      <c r="F185" s="213">
        <v>0</v>
      </c>
      <c r="G185" s="213"/>
      <c r="H185" s="213"/>
      <c r="I185" s="213"/>
      <c r="J185" s="205">
        <v>0</v>
      </c>
    </row>
    <row r="186" spans="1:10">
      <c r="A186" s="212" t="s">
        <v>832</v>
      </c>
      <c r="B186" s="213"/>
      <c r="C186" s="213"/>
      <c r="D186" s="213"/>
      <c r="E186" s="213"/>
      <c r="F186" s="213"/>
      <c r="G186" s="213">
        <v>0</v>
      </c>
      <c r="H186" s="213"/>
      <c r="I186" s="213"/>
      <c r="J186" s="205">
        <v>0</v>
      </c>
    </row>
    <row r="187" spans="1:10">
      <c r="A187" s="212" t="s">
        <v>244</v>
      </c>
      <c r="B187" s="213"/>
      <c r="C187" s="213"/>
      <c r="D187" s="213">
        <v>240</v>
      </c>
      <c r="E187" s="213"/>
      <c r="F187" s="213"/>
      <c r="G187" s="213"/>
      <c r="H187" s="213"/>
      <c r="I187" s="213"/>
      <c r="J187" s="205">
        <v>240</v>
      </c>
    </row>
    <row r="188" spans="1:10">
      <c r="A188" s="212" t="s">
        <v>865</v>
      </c>
      <c r="B188" s="213"/>
      <c r="C188" s="213"/>
      <c r="D188" s="213">
        <v>544</v>
      </c>
      <c r="E188" s="213"/>
      <c r="F188" s="213"/>
      <c r="G188" s="213"/>
      <c r="H188" s="213"/>
      <c r="I188" s="213"/>
      <c r="J188" s="205">
        <v>544</v>
      </c>
    </row>
    <row r="189" spans="1:10">
      <c r="A189" s="212" t="s">
        <v>249</v>
      </c>
      <c r="B189" s="213"/>
      <c r="C189" s="213"/>
      <c r="D189" s="213"/>
      <c r="E189" s="213"/>
      <c r="F189" s="213"/>
      <c r="G189" s="213"/>
      <c r="H189" s="213">
        <v>0</v>
      </c>
      <c r="I189" s="213"/>
      <c r="J189" s="205">
        <v>0</v>
      </c>
    </row>
    <row r="190" spans="1:10">
      <c r="A190" s="212" t="s">
        <v>196</v>
      </c>
      <c r="B190" s="213"/>
      <c r="C190" s="213"/>
      <c r="D190" s="213"/>
      <c r="E190" s="213"/>
      <c r="F190" s="213">
        <v>0</v>
      </c>
      <c r="G190" s="213"/>
      <c r="H190" s="213"/>
      <c r="I190" s="213"/>
      <c r="J190" s="205">
        <v>0</v>
      </c>
    </row>
    <row r="191" spans="1:10">
      <c r="A191" s="212" t="s">
        <v>473</v>
      </c>
      <c r="B191" s="213"/>
      <c r="C191" s="213"/>
      <c r="D191" s="213"/>
      <c r="E191" s="213"/>
      <c r="F191" s="213">
        <v>0</v>
      </c>
      <c r="G191" s="213"/>
      <c r="H191" s="213"/>
      <c r="I191" s="213"/>
      <c r="J191" s="205">
        <v>0</v>
      </c>
    </row>
    <row r="192" spans="1:10">
      <c r="A192" s="212" t="s">
        <v>866</v>
      </c>
      <c r="B192" s="213"/>
      <c r="C192" s="213"/>
      <c r="D192" s="213"/>
      <c r="E192" s="213"/>
      <c r="F192" s="213"/>
      <c r="G192" s="213">
        <v>0</v>
      </c>
      <c r="H192" s="213"/>
      <c r="I192" s="213"/>
      <c r="J192" s="205">
        <v>0</v>
      </c>
    </row>
    <row r="193" spans="1:10">
      <c r="A193" s="212" t="s">
        <v>867</v>
      </c>
      <c r="B193" s="213"/>
      <c r="C193" s="213">
        <v>0</v>
      </c>
      <c r="D193" s="213"/>
      <c r="E193" s="213"/>
      <c r="F193" s="213"/>
      <c r="G193" s="213"/>
      <c r="H193" s="213"/>
      <c r="I193" s="213"/>
      <c r="J193" s="205">
        <v>0</v>
      </c>
    </row>
    <row r="194" spans="1:10">
      <c r="A194" s="212" t="s">
        <v>844</v>
      </c>
      <c r="B194" s="213"/>
      <c r="C194" s="213">
        <v>0</v>
      </c>
      <c r="D194" s="213"/>
      <c r="E194" s="213"/>
      <c r="F194" s="213"/>
      <c r="G194" s="213"/>
      <c r="H194" s="213"/>
      <c r="I194" s="213"/>
      <c r="J194" s="205">
        <v>0</v>
      </c>
    </row>
    <row r="195" spans="1:10">
      <c r="A195" s="212" t="s">
        <v>475</v>
      </c>
      <c r="B195" s="213"/>
      <c r="C195" s="213">
        <v>312</v>
      </c>
      <c r="D195" s="213"/>
      <c r="E195" s="213"/>
      <c r="F195" s="213"/>
      <c r="G195" s="213"/>
      <c r="H195" s="213"/>
      <c r="I195" s="213"/>
      <c r="J195" s="205">
        <v>312</v>
      </c>
    </row>
    <row r="196" spans="1:10">
      <c r="A196" s="212" t="s">
        <v>477</v>
      </c>
      <c r="B196" s="213"/>
      <c r="C196" s="213">
        <v>320</v>
      </c>
      <c r="D196" s="213"/>
      <c r="E196" s="213"/>
      <c r="F196" s="213"/>
      <c r="G196" s="213"/>
      <c r="H196" s="213"/>
      <c r="I196" s="213"/>
      <c r="J196" s="205">
        <v>320</v>
      </c>
    </row>
    <row r="197" spans="1:10">
      <c r="A197" s="212" t="s">
        <v>121</v>
      </c>
      <c r="B197" s="213"/>
      <c r="C197" s="213"/>
      <c r="D197" s="213"/>
      <c r="E197" s="213"/>
      <c r="F197" s="213"/>
      <c r="G197" s="213"/>
      <c r="H197" s="213">
        <v>0</v>
      </c>
      <c r="I197" s="213"/>
      <c r="J197" s="205">
        <v>0</v>
      </c>
    </row>
    <row r="198" spans="1:10">
      <c r="A198" s="212" t="s">
        <v>142</v>
      </c>
      <c r="B198" s="213">
        <v>68</v>
      </c>
      <c r="C198" s="213"/>
      <c r="D198" s="213"/>
      <c r="E198" s="213"/>
      <c r="F198" s="213"/>
      <c r="G198" s="213"/>
      <c r="H198" s="213"/>
      <c r="I198" s="213"/>
      <c r="J198" s="205">
        <v>68</v>
      </c>
    </row>
    <row r="199" spans="1:10">
      <c r="A199" s="212" t="s">
        <v>479</v>
      </c>
      <c r="B199" s="213">
        <v>160</v>
      </c>
      <c r="C199" s="213"/>
      <c r="D199" s="213"/>
      <c r="E199" s="213"/>
      <c r="F199" s="213"/>
      <c r="G199" s="213"/>
      <c r="H199" s="213"/>
      <c r="I199" s="213"/>
      <c r="J199" s="205">
        <v>160</v>
      </c>
    </row>
    <row r="200" spans="1:10">
      <c r="A200" s="212" t="s">
        <v>288</v>
      </c>
      <c r="B200" s="213">
        <v>0</v>
      </c>
      <c r="C200" s="213"/>
      <c r="D200" s="213"/>
      <c r="E200" s="213"/>
      <c r="F200" s="213"/>
      <c r="G200" s="213"/>
      <c r="H200" s="213"/>
      <c r="I200" s="213"/>
      <c r="J200" s="205">
        <v>0</v>
      </c>
    </row>
    <row r="201" spans="1:10">
      <c r="A201" s="212" t="s">
        <v>591</v>
      </c>
      <c r="B201" s="213"/>
      <c r="C201" s="213"/>
      <c r="D201" s="213"/>
      <c r="E201" s="213"/>
      <c r="F201" s="213">
        <v>0</v>
      </c>
      <c r="G201" s="213"/>
      <c r="H201" s="213"/>
      <c r="I201" s="213"/>
      <c r="J201" s="205">
        <v>0</v>
      </c>
    </row>
    <row r="202" spans="1:10">
      <c r="A202" s="212" t="s">
        <v>593</v>
      </c>
      <c r="B202" s="213"/>
      <c r="C202" s="213"/>
      <c r="D202" s="213"/>
      <c r="E202" s="213"/>
      <c r="F202" s="213">
        <v>0</v>
      </c>
      <c r="G202" s="213"/>
      <c r="H202" s="213"/>
      <c r="I202" s="213"/>
      <c r="J202" s="205">
        <v>0</v>
      </c>
    </row>
    <row r="203" spans="1:10">
      <c r="A203" s="212" t="s">
        <v>595</v>
      </c>
      <c r="B203" s="213"/>
      <c r="C203" s="213"/>
      <c r="D203" s="213"/>
      <c r="E203" s="213"/>
      <c r="F203" s="213">
        <v>0</v>
      </c>
      <c r="G203" s="213"/>
      <c r="H203" s="213"/>
      <c r="I203" s="213"/>
      <c r="J203" s="205">
        <v>0</v>
      </c>
    </row>
    <row r="204" spans="1:10">
      <c r="A204" s="212" t="s">
        <v>597</v>
      </c>
      <c r="B204" s="213"/>
      <c r="C204" s="213"/>
      <c r="D204" s="213"/>
      <c r="E204" s="213"/>
      <c r="F204" s="213">
        <v>0</v>
      </c>
      <c r="G204" s="213"/>
      <c r="H204" s="213"/>
      <c r="I204" s="213"/>
      <c r="J204" s="205">
        <v>0</v>
      </c>
    </row>
    <row r="205" spans="1:10">
      <c r="A205" s="212" t="s">
        <v>910</v>
      </c>
      <c r="B205" s="213"/>
      <c r="C205" s="213">
        <v>640</v>
      </c>
      <c r="D205" s="213"/>
      <c r="E205" s="213"/>
      <c r="F205" s="213"/>
      <c r="G205" s="213"/>
      <c r="H205" s="213"/>
      <c r="I205" s="213"/>
      <c r="J205" s="205">
        <v>640</v>
      </c>
    </row>
    <row r="206" spans="1:10">
      <c r="A206" s="212" t="s">
        <v>481</v>
      </c>
      <c r="B206" s="213"/>
      <c r="C206" s="213">
        <v>240</v>
      </c>
      <c r="D206" s="213"/>
      <c r="E206" s="213"/>
      <c r="F206" s="213"/>
      <c r="G206" s="213"/>
      <c r="H206" s="213"/>
      <c r="I206" s="213"/>
      <c r="J206" s="205">
        <v>240</v>
      </c>
    </row>
    <row r="207" spans="1:10">
      <c r="A207" s="212" t="s">
        <v>484</v>
      </c>
      <c r="B207" s="213">
        <v>120</v>
      </c>
      <c r="C207" s="213"/>
      <c r="D207" s="213"/>
      <c r="E207" s="213"/>
      <c r="F207" s="213"/>
      <c r="G207" s="213"/>
      <c r="H207" s="213"/>
      <c r="I207" s="213"/>
      <c r="J207" s="205">
        <v>120</v>
      </c>
    </row>
    <row r="208" spans="1:10">
      <c r="A208" s="212" t="s">
        <v>291</v>
      </c>
      <c r="B208" s="213"/>
      <c r="C208" s="213"/>
      <c r="D208" s="213"/>
      <c r="E208" s="213"/>
      <c r="F208" s="213"/>
      <c r="G208" s="213"/>
      <c r="H208" s="213">
        <v>0</v>
      </c>
      <c r="I208" s="213"/>
      <c r="J208" s="205">
        <v>0</v>
      </c>
    </row>
    <row r="209" spans="1:10">
      <c r="A209" s="212" t="s">
        <v>487</v>
      </c>
      <c r="B209" s="213"/>
      <c r="C209" s="213">
        <v>184</v>
      </c>
      <c r="D209" s="213"/>
      <c r="E209" s="213"/>
      <c r="F209" s="213"/>
      <c r="G209" s="213"/>
      <c r="H209" s="213"/>
      <c r="I209" s="213"/>
      <c r="J209" s="205">
        <v>184</v>
      </c>
    </row>
    <row r="210" spans="1:10">
      <c r="A210" s="212" t="s">
        <v>489</v>
      </c>
      <c r="B210" s="213"/>
      <c r="C210" s="213">
        <v>240</v>
      </c>
      <c r="D210" s="213"/>
      <c r="E210" s="213"/>
      <c r="F210" s="213"/>
      <c r="G210" s="213"/>
      <c r="H210" s="213"/>
      <c r="I210" s="213"/>
      <c r="J210" s="205">
        <v>240</v>
      </c>
    </row>
    <row r="211" spans="1:10">
      <c r="A211" s="212" t="s">
        <v>491</v>
      </c>
      <c r="B211" s="213"/>
      <c r="C211" s="213">
        <v>320</v>
      </c>
      <c r="D211" s="213"/>
      <c r="E211" s="213"/>
      <c r="F211" s="213"/>
      <c r="G211" s="213"/>
      <c r="H211" s="213"/>
      <c r="I211" s="213"/>
      <c r="J211" s="205">
        <v>320</v>
      </c>
    </row>
    <row r="212" spans="1:10">
      <c r="A212" s="212" t="s">
        <v>398</v>
      </c>
      <c r="B212" s="213">
        <v>0</v>
      </c>
      <c r="C212" s="213"/>
      <c r="D212" s="213"/>
      <c r="E212" s="213"/>
      <c r="F212" s="213"/>
      <c r="G212" s="213"/>
      <c r="H212" s="213"/>
      <c r="I212" s="213"/>
      <c r="J212" s="205">
        <v>0</v>
      </c>
    </row>
    <row r="213" spans="1:10">
      <c r="A213" s="212" t="s">
        <v>343</v>
      </c>
      <c r="B213" s="213">
        <v>0</v>
      </c>
      <c r="C213" s="213"/>
      <c r="D213" s="213"/>
      <c r="E213" s="213"/>
      <c r="F213" s="213"/>
      <c r="G213" s="213"/>
      <c r="H213" s="213"/>
      <c r="I213" s="213"/>
      <c r="J213" s="205">
        <v>0</v>
      </c>
    </row>
    <row r="214" spans="1:10">
      <c r="A214" s="212" t="s">
        <v>346</v>
      </c>
      <c r="B214" s="213">
        <v>0</v>
      </c>
      <c r="C214" s="213"/>
      <c r="D214" s="213"/>
      <c r="E214" s="213"/>
      <c r="F214" s="213"/>
      <c r="G214" s="213"/>
      <c r="H214" s="213"/>
      <c r="I214" s="213"/>
      <c r="J214" s="205">
        <v>0</v>
      </c>
    </row>
    <row r="215" spans="1:10">
      <c r="A215" s="212" t="s">
        <v>681</v>
      </c>
      <c r="B215" s="213">
        <v>0</v>
      </c>
      <c r="C215" s="213"/>
      <c r="D215" s="213"/>
      <c r="E215" s="213"/>
      <c r="F215" s="213"/>
      <c r="G215" s="213"/>
      <c r="H215" s="213"/>
      <c r="I215" s="213"/>
      <c r="J215" s="205">
        <v>0</v>
      </c>
    </row>
    <row r="216" spans="1:10">
      <c r="A216" s="212" t="s">
        <v>818</v>
      </c>
      <c r="B216" s="213"/>
      <c r="C216" s="213">
        <v>280</v>
      </c>
      <c r="D216" s="213"/>
      <c r="E216" s="213"/>
      <c r="F216" s="213"/>
      <c r="G216" s="213"/>
      <c r="H216" s="213"/>
      <c r="I216" s="213"/>
      <c r="J216" s="205">
        <v>280</v>
      </c>
    </row>
    <row r="217" spans="1:10">
      <c r="A217" s="212" t="s">
        <v>493</v>
      </c>
      <c r="B217" s="213"/>
      <c r="C217" s="213">
        <v>0</v>
      </c>
      <c r="D217" s="213"/>
      <c r="E217" s="213"/>
      <c r="F217" s="213"/>
      <c r="G217" s="213"/>
      <c r="H217" s="213"/>
      <c r="I217" s="213"/>
      <c r="J217" s="205">
        <v>0</v>
      </c>
    </row>
    <row r="218" spans="1:10">
      <c r="A218" s="212" t="s">
        <v>495</v>
      </c>
      <c r="B218" s="213">
        <v>0</v>
      </c>
      <c r="C218" s="213"/>
      <c r="D218" s="213"/>
      <c r="E218" s="213"/>
      <c r="F218" s="213"/>
      <c r="G218" s="213"/>
      <c r="H218" s="213"/>
      <c r="I218" s="213"/>
      <c r="J218" s="205">
        <v>0</v>
      </c>
    </row>
    <row r="219" spans="1:10">
      <c r="A219" s="212" t="s">
        <v>347</v>
      </c>
      <c r="B219" s="213">
        <v>0</v>
      </c>
      <c r="C219" s="213"/>
      <c r="D219" s="213"/>
      <c r="E219" s="213"/>
      <c r="F219" s="213"/>
      <c r="G219" s="213"/>
      <c r="H219" s="213"/>
      <c r="I219" s="213"/>
      <c r="J219" s="205">
        <v>0</v>
      </c>
    </row>
    <row r="220" spans="1:10">
      <c r="A220" s="212" t="s">
        <v>350</v>
      </c>
      <c r="B220" s="213">
        <v>0</v>
      </c>
      <c r="C220" s="213"/>
      <c r="D220" s="213"/>
      <c r="E220" s="213"/>
      <c r="F220" s="213"/>
      <c r="G220" s="213"/>
      <c r="H220" s="213"/>
      <c r="I220" s="213"/>
      <c r="J220" s="205">
        <v>0</v>
      </c>
    </row>
    <row r="221" spans="1:10">
      <c r="A221" s="212" t="s">
        <v>497</v>
      </c>
      <c r="B221" s="213"/>
      <c r="C221" s="213"/>
      <c r="D221" s="213"/>
      <c r="E221" s="213">
        <v>0</v>
      </c>
      <c r="F221" s="213"/>
      <c r="G221" s="213"/>
      <c r="H221" s="213"/>
      <c r="I221" s="213"/>
      <c r="J221" s="205">
        <v>0</v>
      </c>
    </row>
    <row r="222" spans="1:10">
      <c r="A222" s="212" t="s">
        <v>353</v>
      </c>
      <c r="B222" s="213">
        <v>120</v>
      </c>
      <c r="C222" s="213"/>
      <c r="D222" s="213"/>
      <c r="E222" s="213"/>
      <c r="F222" s="213"/>
      <c r="G222" s="213"/>
      <c r="H222" s="213"/>
      <c r="I222" s="213"/>
      <c r="J222" s="205">
        <v>120</v>
      </c>
    </row>
    <row r="223" spans="1:10">
      <c r="A223" s="212" t="s">
        <v>356</v>
      </c>
      <c r="B223" s="213">
        <v>0</v>
      </c>
      <c r="C223" s="213"/>
      <c r="D223" s="213"/>
      <c r="E223" s="213"/>
      <c r="F223" s="213"/>
      <c r="G223" s="213"/>
      <c r="H223" s="213"/>
      <c r="I223" s="213"/>
      <c r="J223" s="205">
        <v>0</v>
      </c>
    </row>
    <row r="224" spans="1:10">
      <c r="A224" s="212" t="s">
        <v>682</v>
      </c>
      <c r="B224" s="213">
        <v>0</v>
      </c>
      <c r="C224" s="213"/>
      <c r="D224" s="213"/>
      <c r="E224" s="213"/>
      <c r="F224" s="213"/>
      <c r="G224" s="213"/>
      <c r="H224" s="213"/>
      <c r="I224" s="213"/>
      <c r="J224" s="205">
        <v>0</v>
      </c>
    </row>
    <row r="225" spans="1:10">
      <c r="A225" s="212" t="s">
        <v>147</v>
      </c>
      <c r="B225" s="213"/>
      <c r="C225" s="213"/>
      <c r="D225" s="213"/>
      <c r="E225" s="213">
        <v>0</v>
      </c>
      <c r="F225" s="213"/>
      <c r="G225" s="213"/>
      <c r="H225" s="213"/>
      <c r="I225" s="213"/>
      <c r="J225" s="205">
        <v>0</v>
      </c>
    </row>
    <row r="226" spans="1:10">
      <c r="A226" s="212" t="s">
        <v>1084</v>
      </c>
      <c r="B226" s="213"/>
      <c r="C226" s="213"/>
      <c r="D226" s="213"/>
      <c r="E226" s="213"/>
      <c r="F226" s="213">
        <v>0</v>
      </c>
      <c r="G226" s="213"/>
      <c r="H226" s="213"/>
      <c r="I226" s="213"/>
      <c r="J226" s="205">
        <v>0</v>
      </c>
    </row>
    <row r="227" spans="1:10">
      <c r="A227" s="212" t="s">
        <v>149</v>
      </c>
      <c r="B227" s="213"/>
      <c r="C227" s="213"/>
      <c r="D227" s="213">
        <v>80</v>
      </c>
      <c r="E227" s="213"/>
      <c r="F227" s="213"/>
      <c r="G227" s="213"/>
      <c r="H227" s="213"/>
      <c r="I227" s="213"/>
      <c r="J227" s="205">
        <v>80</v>
      </c>
    </row>
    <row r="228" spans="1:10">
      <c r="A228" s="212" t="s">
        <v>499</v>
      </c>
      <c r="B228" s="213">
        <v>32</v>
      </c>
      <c r="C228" s="213"/>
      <c r="D228" s="213"/>
      <c r="E228" s="213"/>
      <c r="F228" s="213"/>
      <c r="G228" s="213"/>
      <c r="H228" s="213"/>
      <c r="I228" s="213"/>
      <c r="J228" s="205">
        <v>32</v>
      </c>
    </row>
    <row r="229" spans="1:10">
      <c r="A229" s="212" t="s">
        <v>151</v>
      </c>
      <c r="B229" s="213">
        <v>232</v>
      </c>
      <c r="C229" s="213"/>
      <c r="D229" s="213"/>
      <c r="E229" s="213"/>
      <c r="F229" s="213"/>
      <c r="G229" s="213"/>
      <c r="H229" s="213"/>
      <c r="I229" s="213"/>
      <c r="J229" s="205">
        <v>232</v>
      </c>
    </row>
    <row r="230" spans="1:10">
      <c r="A230" s="212" t="s">
        <v>357</v>
      </c>
      <c r="B230" s="213">
        <v>216</v>
      </c>
      <c r="C230" s="213"/>
      <c r="D230" s="213"/>
      <c r="E230" s="213"/>
      <c r="F230" s="213"/>
      <c r="G230" s="213"/>
      <c r="H230" s="213"/>
      <c r="I230" s="213"/>
      <c r="J230" s="205">
        <v>216</v>
      </c>
    </row>
    <row r="231" spans="1:10">
      <c r="A231" s="212" t="s">
        <v>360</v>
      </c>
      <c r="B231" s="213">
        <v>0</v>
      </c>
      <c r="C231" s="213"/>
      <c r="D231" s="213"/>
      <c r="E231" s="213"/>
      <c r="F231" s="213"/>
      <c r="G231" s="213"/>
      <c r="H231" s="213"/>
      <c r="I231" s="213"/>
      <c r="J231" s="205">
        <v>0</v>
      </c>
    </row>
    <row r="232" spans="1:10">
      <c r="A232" s="212" t="s">
        <v>683</v>
      </c>
      <c r="B232" s="213">
        <v>0</v>
      </c>
      <c r="C232" s="213"/>
      <c r="D232" s="213"/>
      <c r="E232" s="213"/>
      <c r="F232" s="213"/>
      <c r="G232" s="213"/>
      <c r="H232" s="213"/>
      <c r="I232" s="213"/>
      <c r="J232" s="205">
        <v>0</v>
      </c>
    </row>
    <row r="233" spans="1:10">
      <c r="A233" s="212" t="s">
        <v>502</v>
      </c>
      <c r="B233" s="213"/>
      <c r="C233" s="213"/>
      <c r="D233" s="213">
        <v>124</v>
      </c>
      <c r="E233" s="213"/>
      <c r="F233" s="213"/>
      <c r="G233" s="213"/>
      <c r="H233" s="213"/>
      <c r="I233" s="213"/>
      <c r="J233" s="205">
        <v>124</v>
      </c>
    </row>
    <row r="234" spans="1:10">
      <c r="A234" s="212" t="s">
        <v>504</v>
      </c>
      <c r="B234" s="213"/>
      <c r="C234" s="213"/>
      <c r="D234" s="213">
        <v>0</v>
      </c>
      <c r="E234" s="213"/>
      <c r="F234" s="213"/>
      <c r="G234" s="213"/>
      <c r="H234" s="213"/>
      <c r="I234" s="213"/>
      <c r="J234" s="205">
        <v>0</v>
      </c>
    </row>
    <row r="235" spans="1:10">
      <c r="A235" s="212" t="s">
        <v>401</v>
      </c>
      <c r="B235" s="213">
        <v>216</v>
      </c>
      <c r="C235" s="213"/>
      <c r="D235" s="213"/>
      <c r="E235" s="213"/>
      <c r="F235" s="213"/>
      <c r="G235" s="213"/>
      <c r="H235" s="213"/>
      <c r="I235" s="213"/>
      <c r="J235" s="205">
        <v>216</v>
      </c>
    </row>
    <row r="236" spans="1:10">
      <c r="A236" s="212" t="s">
        <v>404</v>
      </c>
      <c r="B236" s="213">
        <v>0</v>
      </c>
      <c r="C236" s="213"/>
      <c r="D236" s="213"/>
      <c r="E236" s="213"/>
      <c r="F236" s="213"/>
      <c r="G236" s="213"/>
      <c r="H236" s="213"/>
      <c r="I236" s="213"/>
      <c r="J236" s="205">
        <v>0</v>
      </c>
    </row>
    <row r="237" spans="1:10">
      <c r="A237" s="212" t="s">
        <v>405</v>
      </c>
      <c r="B237" s="213">
        <v>0</v>
      </c>
      <c r="C237" s="213"/>
      <c r="D237" s="213"/>
      <c r="E237" s="213"/>
      <c r="F237" s="213"/>
      <c r="G237" s="213"/>
      <c r="H237" s="213"/>
      <c r="I237" s="213"/>
      <c r="J237" s="205">
        <v>0</v>
      </c>
    </row>
    <row r="238" spans="1:10">
      <c r="A238" s="212" t="s">
        <v>505</v>
      </c>
      <c r="B238" s="213">
        <v>0</v>
      </c>
      <c r="C238" s="213"/>
      <c r="D238" s="213"/>
      <c r="E238" s="213"/>
      <c r="F238" s="213"/>
      <c r="G238" s="213"/>
      <c r="H238" s="213"/>
      <c r="I238" s="213"/>
      <c r="J238" s="205">
        <v>0</v>
      </c>
    </row>
    <row r="239" spans="1:10">
      <c r="A239" s="212" t="s">
        <v>507</v>
      </c>
      <c r="B239" s="213">
        <v>56</v>
      </c>
      <c r="C239" s="213"/>
      <c r="D239" s="213"/>
      <c r="E239" s="213"/>
      <c r="F239" s="213"/>
      <c r="G239" s="213"/>
      <c r="H239" s="213"/>
      <c r="I239" s="213"/>
      <c r="J239" s="205">
        <v>56</v>
      </c>
    </row>
    <row r="240" spans="1:10">
      <c r="A240" s="212" t="s">
        <v>361</v>
      </c>
      <c r="B240" s="213">
        <v>8</v>
      </c>
      <c r="C240" s="213"/>
      <c r="D240" s="213"/>
      <c r="E240" s="213"/>
      <c r="F240" s="213"/>
      <c r="G240" s="213"/>
      <c r="H240" s="213"/>
      <c r="I240" s="213"/>
      <c r="J240" s="205">
        <v>8</v>
      </c>
    </row>
    <row r="241" spans="1:10">
      <c r="A241" s="212" t="s">
        <v>509</v>
      </c>
      <c r="B241" s="213">
        <v>32</v>
      </c>
      <c r="C241" s="213"/>
      <c r="D241" s="213"/>
      <c r="E241" s="213"/>
      <c r="F241" s="213"/>
      <c r="G241" s="213"/>
      <c r="H241" s="213"/>
      <c r="I241" s="213"/>
      <c r="J241" s="205">
        <v>32</v>
      </c>
    </row>
    <row r="242" spans="1:10">
      <c r="A242" s="212" t="s">
        <v>909</v>
      </c>
      <c r="B242" s="213"/>
      <c r="C242" s="213"/>
      <c r="D242" s="213">
        <v>8</v>
      </c>
      <c r="E242" s="213"/>
      <c r="F242" s="213"/>
      <c r="G242" s="213"/>
      <c r="H242" s="213"/>
      <c r="I242" s="213"/>
      <c r="J242" s="205">
        <v>8</v>
      </c>
    </row>
    <row r="243" spans="1:10">
      <c r="A243" s="212" t="s">
        <v>513</v>
      </c>
      <c r="B243" s="213">
        <v>0</v>
      </c>
      <c r="C243" s="213"/>
      <c r="D243" s="213"/>
      <c r="E243" s="213"/>
      <c r="F243" s="213"/>
      <c r="G243" s="213"/>
      <c r="H243" s="213"/>
      <c r="I243" s="213"/>
      <c r="J243" s="205">
        <v>0</v>
      </c>
    </row>
    <row r="244" spans="1:10">
      <c r="A244" s="212" t="s">
        <v>516</v>
      </c>
      <c r="B244" s="213"/>
      <c r="C244" s="213"/>
      <c r="D244" s="213"/>
      <c r="E244" s="213">
        <v>0</v>
      </c>
      <c r="F244" s="213"/>
      <c r="G244" s="213"/>
      <c r="H244" s="213"/>
      <c r="I244" s="213"/>
      <c r="J244" s="205">
        <v>0</v>
      </c>
    </row>
    <row r="245" spans="1:10">
      <c r="A245" s="212" t="s">
        <v>518</v>
      </c>
      <c r="B245" s="213"/>
      <c r="C245" s="213"/>
      <c r="D245" s="213"/>
      <c r="E245" s="213">
        <v>0</v>
      </c>
      <c r="F245" s="213"/>
      <c r="G245" s="213"/>
      <c r="H245" s="213"/>
      <c r="I245" s="213"/>
      <c r="J245" s="205">
        <v>0</v>
      </c>
    </row>
    <row r="246" spans="1:10">
      <c r="A246" s="212" t="s">
        <v>153</v>
      </c>
      <c r="B246" s="213"/>
      <c r="C246" s="213"/>
      <c r="D246" s="213"/>
      <c r="E246" s="213"/>
      <c r="F246" s="213"/>
      <c r="G246" s="213">
        <v>0</v>
      </c>
      <c r="H246" s="213"/>
      <c r="I246" s="213"/>
      <c r="J246" s="205">
        <v>0</v>
      </c>
    </row>
    <row r="247" spans="1:10">
      <c r="A247" s="212" t="s">
        <v>321</v>
      </c>
      <c r="B247" s="213"/>
      <c r="C247" s="213"/>
      <c r="D247" s="213">
        <v>420</v>
      </c>
      <c r="E247" s="213"/>
      <c r="F247" s="213"/>
      <c r="G247" s="213"/>
      <c r="H247" s="213"/>
      <c r="I247" s="213"/>
      <c r="J247" s="205">
        <v>420</v>
      </c>
    </row>
    <row r="248" spans="1:10">
      <c r="A248" s="212" t="s">
        <v>324</v>
      </c>
      <c r="B248" s="213"/>
      <c r="C248" s="213"/>
      <c r="D248" s="213">
        <v>0</v>
      </c>
      <c r="E248" s="213"/>
      <c r="F248" s="213"/>
      <c r="G248" s="213"/>
      <c r="H248" s="213"/>
      <c r="I248" s="213"/>
      <c r="J248" s="205">
        <v>0</v>
      </c>
    </row>
    <row r="249" spans="1:10">
      <c r="A249" s="212" t="s">
        <v>684</v>
      </c>
      <c r="B249" s="213"/>
      <c r="C249" s="213"/>
      <c r="D249" s="213">
        <v>0</v>
      </c>
      <c r="E249" s="213"/>
      <c r="F249" s="213"/>
      <c r="G249" s="213"/>
      <c r="H249" s="213"/>
      <c r="I249" s="213"/>
      <c r="J249" s="205">
        <v>0</v>
      </c>
    </row>
    <row r="250" spans="1:10">
      <c r="A250" s="212" t="s">
        <v>294</v>
      </c>
      <c r="B250" s="213">
        <v>216</v>
      </c>
      <c r="C250" s="213"/>
      <c r="D250" s="213"/>
      <c r="E250" s="213"/>
      <c r="F250" s="213"/>
      <c r="G250" s="213"/>
      <c r="H250" s="213"/>
      <c r="I250" s="213"/>
      <c r="J250" s="205">
        <v>216</v>
      </c>
    </row>
    <row r="251" spans="1:10">
      <c r="A251" s="212" t="s">
        <v>520</v>
      </c>
      <c r="B251" s="213">
        <v>68</v>
      </c>
      <c r="C251" s="213"/>
      <c r="D251" s="213"/>
      <c r="E251" s="213"/>
      <c r="F251" s="213"/>
      <c r="G251" s="213"/>
      <c r="H251" s="213"/>
      <c r="I251" s="213"/>
      <c r="J251" s="205">
        <v>68</v>
      </c>
    </row>
    <row r="252" spans="1:10">
      <c r="A252" s="212" t="s">
        <v>522</v>
      </c>
      <c r="B252" s="213">
        <v>32</v>
      </c>
      <c r="C252" s="213"/>
      <c r="D252" s="213"/>
      <c r="E252" s="213"/>
      <c r="F252" s="213"/>
      <c r="G252" s="213"/>
      <c r="H252" s="213"/>
      <c r="I252" s="213"/>
      <c r="J252" s="205">
        <v>32</v>
      </c>
    </row>
    <row r="253" spans="1:10">
      <c r="A253" s="212" t="s">
        <v>419</v>
      </c>
      <c r="B253" s="213"/>
      <c r="C253" s="213"/>
      <c r="D253" s="213">
        <v>40</v>
      </c>
      <c r="E253" s="213"/>
      <c r="F253" s="213"/>
      <c r="G253" s="213"/>
      <c r="H253" s="213"/>
      <c r="I253" s="213"/>
      <c r="J253" s="205">
        <v>40</v>
      </c>
    </row>
    <row r="254" spans="1:10">
      <c r="A254" s="212" t="s">
        <v>208</v>
      </c>
      <c r="B254" s="213"/>
      <c r="C254" s="213"/>
      <c r="D254" s="213"/>
      <c r="E254" s="213"/>
      <c r="F254" s="213">
        <v>0</v>
      </c>
      <c r="G254" s="213"/>
      <c r="H254" s="213"/>
      <c r="I254" s="213"/>
      <c r="J254" s="205">
        <v>0</v>
      </c>
    </row>
    <row r="255" spans="1:10">
      <c r="A255" s="212" t="s">
        <v>851</v>
      </c>
      <c r="B255" s="213"/>
      <c r="C255" s="213"/>
      <c r="D255" s="213"/>
      <c r="E255" s="213"/>
      <c r="F255" s="213">
        <v>0</v>
      </c>
      <c r="G255" s="213"/>
      <c r="H255" s="213"/>
      <c r="I255" s="213"/>
      <c r="J255" s="205">
        <v>0</v>
      </c>
    </row>
    <row r="256" spans="1:10">
      <c r="A256" s="212" t="s">
        <v>211</v>
      </c>
      <c r="B256" s="213"/>
      <c r="C256" s="213"/>
      <c r="D256" s="213"/>
      <c r="E256" s="213"/>
      <c r="F256" s="213">
        <v>0</v>
      </c>
      <c r="G256" s="213"/>
      <c r="H256" s="213"/>
      <c r="I256" s="213"/>
      <c r="J256" s="205">
        <v>0</v>
      </c>
    </row>
    <row r="257" spans="1:10">
      <c r="A257" s="212" t="s">
        <v>213</v>
      </c>
      <c r="B257" s="213"/>
      <c r="C257" s="213"/>
      <c r="D257" s="213"/>
      <c r="E257" s="213"/>
      <c r="F257" s="213">
        <v>0</v>
      </c>
      <c r="G257" s="213"/>
      <c r="H257" s="213"/>
      <c r="I257" s="213"/>
      <c r="J257" s="205">
        <v>0</v>
      </c>
    </row>
    <row r="258" spans="1:10">
      <c r="A258" s="212" t="s">
        <v>182</v>
      </c>
      <c r="B258" s="213"/>
      <c r="C258" s="213"/>
      <c r="D258" s="213"/>
      <c r="E258" s="213"/>
      <c r="F258" s="213">
        <v>0</v>
      </c>
      <c r="G258" s="213"/>
      <c r="H258" s="213"/>
      <c r="I258" s="213"/>
      <c r="J258" s="205">
        <v>0</v>
      </c>
    </row>
    <row r="259" spans="1:10">
      <c r="A259" s="212" t="s">
        <v>185</v>
      </c>
      <c r="B259" s="213"/>
      <c r="C259" s="213"/>
      <c r="D259" s="213"/>
      <c r="E259" s="213"/>
      <c r="F259" s="213">
        <v>0</v>
      </c>
      <c r="G259" s="213"/>
      <c r="H259" s="213"/>
      <c r="I259" s="213"/>
      <c r="J259" s="205">
        <v>0</v>
      </c>
    </row>
    <row r="260" spans="1:10">
      <c r="A260" s="212" t="s">
        <v>187</v>
      </c>
      <c r="B260" s="213"/>
      <c r="C260" s="213"/>
      <c r="D260" s="213"/>
      <c r="E260" s="213"/>
      <c r="F260" s="213">
        <v>0</v>
      </c>
      <c r="G260" s="213"/>
      <c r="H260" s="213"/>
      <c r="I260" s="213"/>
      <c r="J260" s="205">
        <v>0</v>
      </c>
    </row>
    <row r="261" spans="1:10">
      <c r="A261" s="212" t="s">
        <v>847</v>
      </c>
      <c r="B261" s="213"/>
      <c r="C261" s="213"/>
      <c r="D261" s="213"/>
      <c r="E261" s="213"/>
      <c r="F261" s="213">
        <v>0</v>
      </c>
      <c r="G261" s="213"/>
      <c r="H261" s="213"/>
      <c r="I261" s="213"/>
      <c r="J261" s="205">
        <v>0</v>
      </c>
    </row>
    <row r="262" spans="1:10">
      <c r="A262" s="212" t="s">
        <v>524</v>
      </c>
      <c r="B262" s="213">
        <v>20</v>
      </c>
      <c r="C262" s="213"/>
      <c r="D262" s="213"/>
      <c r="E262" s="213"/>
      <c r="F262" s="213"/>
      <c r="G262" s="213"/>
      <c r="H262" s="213"/>
      <c r="I262" s="213"/>
      <c r="J262" s="205">
        <v>20</v>
      </c>
    </row>
    <row r="263" spans="1:10">
      <c r="A263" s="212" t="s">
        <v>325</v>
      </c>
      <c r="B263" s="213"/>
      <c r="C263" s="213">
        <v>0</v>
      </c>
      <c r="D263" s="213"/>
      <c r="E263" s="213"/>
      <c r="F263" s="213"/>
      <c r="G263" s="213"/>
      <c r="H263" s="213"/>
      <c r="I263" s="213"/>
      <c r="J263" s="205">
        <v>0</v>
      </c>
    </row>
    <row r="264" spans="1:10">
      <c r="A264" s="212" t="s">
        <v>587</v>
      </c>
      <c r="B264" s="213"/>
      <c r="C264" s="213"/>
      <c r="D264" s="213"/>
      <c r="E264" s="213">
        <v>0</v>
      </c>
      <c r="F264" s="213"/>
      <c r="G264" s="213"/>
      <c r="H264" s="213"/>
      <c r="I264" s="213"/>
      <c r="J264" s="205">
        <v>0</v>
      </c>
    </row>
    <row r="265" spans="1:10">
      <c r="A265" s="212" t="s">
        <v>589</v>
      </c>
      <c r="B265" s="213"/>
      <c r="C265" s="213"/>
      <c r="D265" s="213"/>
      <c r="E265" s="213">
        <v>0</v>
      </c>
      <c r="F265" s="213"/>
      <c r="G265" s="213"/>
      <c r="H265" s="213"/>
      <c r="I265" s="213"/>
      <c r="J265" s="205">
        <v>0</v>
      </c>
    </row>
    <row r="266" spans="1:10">
      <c r="A266" s="212" t="s">
        <v>216</v>
      </c>
      <c r="B266" s="213"/>
      <c r="C266" s="213"/>
      <c r="D266" s="213"/>
      <c r="E266" s="213"/>
      <c r="F266" s="213">
        <v>0</v>
      </c>
      <c r="G266" s="213"/>
      <c r="H266" s="213"/>
      <c r="I266" s="213"/>
      <c r="J266" s="205">
        <v>0</v>
      </c>
    </row>
    <row r="267" spans="1:10">
      <c r="A267" s="212" t="s">
        <v>527</v>
      </c>
      <c r="B267" s="213">
        <v>32</v>
      </c>
      <c r="C267" s="213"/>
      <c r="D267" s="213"/>
      <c r="E267" s="213"/>
      <c r="F267" s="213"/>
      <c r="G267" s="213"/>
      <c r="H267" s="213"/>
      <c r="I267" s="213"/>
      <c r="J267" s="205">
        <v>32</v>
      </c>
    </row>
    <row r="268" spans="1:10">
      <c r="A268" s="212" t="s">
        <v>1086</v>
      </c>
      <c r="B268" s="213"/>
      <c r="C268" s="213"/>
      <c r="D268" s="213"/>
      <c r="E268" s="213"/>
      <c r="F268" s="213"/>
      <c r="G268" s="213"/>
      <c r="H268" s="213"/>
      <c r="I268" s="213">
        <v>0</v>
      </c>
      <c r="J268" s="205">
        <v>0</v>
      </c>
    </row>
    <row r="269" spans="1:10">
      <c r="A269" s="212" t="s">
        <v>426</v>
      </c>
      <c r="B269" s="213"/>
      <c r="C269" s="213"/>
      <c r="D269" s="213"/>
      <c r="E269" s="213"/>
      <c r="F269" s="213">
        <v>0</v>
      </c>
      <c r="G269" s="213"/>
      <c r="H269" s="213"/>
      <c r="I269" s="213"/>
      <c r="J269" s="205">
        <v>0</v>
      </c>
    </row>
    <row r="270" spans="1:10">
      <c r="A270" s="212" t="s">
        <v>155</v>
      </c>
      <c r="B270" s="213"/>
      <c r="C270" s="213"/>
      <c r="D270" s="213"/>
      <c r="E270" s="213"/>
      <c r="F270" s="213"/>
      <c r="G270" s="213">
        <v>240</v>
      </c>
      <c r="H270" s="213"/>
      <c r="I270" s="213"/>
      <c r="J270" s="205">
        <v>240</v>
      </c>
    </row>
    <row r="271" spans="1:10">
      <c r="A271" s="212" t="s">
        <v>870</v>
      </c>
      <c r="B271" s="213"/>
      <c r="C271" s="213"/>
      <c r="D271" s="213"/>
      <c r="E271" s="213"/>
      <c r="F271" s="213"/>
      <c r="G271" s="213">
        <v>0</v>
      </c>
      <c r="H271" s="213"/>
      <c r="I271" s="213"/>
      <c r="J271" s="205">
        <v>0</v>
      </c>
    </row>
    <row r="272" spans="1:10">
      <c r="A272" s="212" t="s">
        <v>1081</v>
      </c>
      <c r="B272" s="213"/>
      <c r="C272" s="213"/>
      <c r="D272" s="213"/>
      <c r="E272" s="213"/>
      <c r="F272" s="213">
        <v>0</v>
      </c>
      <c r="G272" s="213"/>
      <c r="H272" s="213"/>
      <c r="I272" s="213"/>
      <c r="J272" s="205">
        <v>0</v>
      </c>
    </row>
    <row r="273" spans="1:10">
      <c r="A273" s="212" t="s">
        <v>189</v>
      </c>
      <c r="B273" s="213"/>
      <c r="C273" s="213"/>
      <c r="D273" s="213"/>
      <c r="E273" s="213"/>
      <c r="F273" s="213">
        <v>0</v>
      </c>
      <c r="G273" s="213"/>
      <c r="H273" s="213"/>
      <c r="I273" s="213"/>
      <c r="J273" s="205">
        <v>0</v>
      </c>
    </row>
    <row r="274" spans="1:10">
      <c r="A274" s="212" t="s">
        <v>848</v>
      </c>
      <c r="B274" s="213"/>
      <c r="C274" s="213"/>
      <c r="D274" s="213"/>
      <c r="E274" s="213"/>
      <c r="F274" s="213"/>
      <c r="G274" s="213">
        <v>0</v>
      </c>
      <c r="H274" s="213"/>
      <c r="I274" s="213"/>
      <c r="J274" s="205">
        <v>0</v>
      </c>
    </row>
    <row r="275" spans="1:10">
      <c r="A275" s="212" t="s">
        <v>219</v>
      </c>
      <c r="B275" s="213"/>
      <c r="C275" s="213"/>
      <c r="D275" s="213"/>
      <c r="E275" s="213"/>
      <c r="F275" s="213">
        <v>0</v>
      </c>
      <c r="G275" s="213"/>
      <c r="H275" s="213"/>
      <c r="I275" s="213"/>
      <c r="J275" s="205">
        <v>0</v>
      </c>
    </row>
    <row r="276" spans="1:10">
      <c r="A276" s="212" t="s">
        <v>364</v>
      </c>
      <c r="B276" s="213">
        <v>60</v>
      </c>
      <c r="C276" s="213"/>
      <c r="D276" s="213"/>
      <c r="E276" s="213"/>
      <c r="F276" s="213"/>
      <c r="G276" s="213"/>
      <c r="H276" s="213"/>
      <c r="I276" s="213"/>
      <c r="J276" s="205">
        <v>60</v>
      </c>
    </row>
    <row r="277" spans="1:10">
      <c r="A277" s="212" t="s">
        <v>676</v>
      </c>
      <c r="B277" s="213">
        <v>0</v>
      </c>
      <c r="C277" s="213"/>
      <c r="D277" s="213"/>
      <c r="E277" s="213"/>
      <c r="F277" s="213"/>
      <c r="G277" s="213"/>
      <c r="H277" s="213"/>
      <c r="I277" s="213"/>
      <c r="J277" s="205">
        <v>0</v>
      </c>
    </row>
    <row r="278" spans="1:10">
      <c r="A278" s="212" t="s">
        <v>367</v>
      </c>
      <c r="B278" s="213">
        <v>0</v>
      </c>
      <c r="C278" s="213"/>
      <c r="D278" s="213"/>
      <c r="E278" s="213"/>
      <c r="F278" s="213"/>
      <c r="G278" s="213"/>
      <c r="H278" s="213"/>
      <c r="I278" s="213"/>
      <c r="J278" s="205">
        <v>0</v>
      </c>
    </row>
    <row r="279" spans="1:10">
      <c r="A279" s="212" t="s">
        <v>297</v>
      </c>
      <c r="B279" s="213"/>
      <c r="C279" s="213"/>
      <c r="D279" s="213"/>
      <c r="E279" s="213"/>
      <c r="F279" s="213"/>
      <c r="G279" s="213">
        <v>0</v>
      </c>
      <c r="H279" s="213"/>
      <c r="I279" s="213"/>
      <c r="J279" s="205">
        <v>0</v>
      </c>
    </row>
    <row r="280" spans="1:10">
      <c r="A280" s="212" t="s">
        <v>529</v>
      </c>
      <c r="B280" s="213"/>
      <c r="C280" s="213"/>
      <c r="D280" s="213"/>
      <c r="E280" s="213"/>
      <c r="F280" s="213"/>
      <c r="G280" s="213"/>
      <c r="H280" s="213">
        <v>0</v>
      </c>
      <c r="I280" s="213"/>
      <c r="J280" s="205">
        <v>0</v>
      </c>
    </row>
    <row r="281" spans="1:10">
      <c r="A281" s="212" t="s">
        <v>531</v>
      </c>
      <c r="B281" s="213"/>
      <c r="C281" s="213"/>
      <c r="D281" s="213">
        <v>96</v>
      </c>
      <c r="E281" s="213"/>
      <c r="F281" s="213"/>
      <c r="G281" s="213"/>
      <c r="H281" s="213"/>
      <c r="I281" s="213"/>
      <c r="J281" s="205">
        <v>96</v>
      </c>
    </row>
    <row r="282" spans="1:10">
      <c r="A282" s="212" t="s">
        <v>251</v>
      </c>
      <c r="B282" s="213"/>
      <c r="C282" s="213"/>
      <c r="D282" s="213">
        <v>24</v>
      </c>
      <c r="E282" s="213"/>
      <c r="F282" s="213"/>
      <c r="G282" s="213"/>
      <c r="H282" s="213"/>
      <c r="I282" s="213"/>
      <c r="J282" s="205">
        <v>24</v>
      </c>
    </row>
    <row r="283" spans="1:10">
      <c r="A283" s="212" t="s">
        <v>255</v>
      </c>
      <c r="B283" s="213"/>
      <c r="C283" s="213"/>
      <c r="D283" s="213">
        <v>108</v>
      </c>
      <c r="E283" s="213"/>
      <c r="F283" s="213"/>
      <c r="G283" s="213"/>
      <c r="H283" s="213"/>
      <c r="I283" s="213"/>
      <c r="J283" s="205">
        <v>108</v>
      </c>
    </row>
    <row r="284" spans="1:10">
      <c r="A284" s="212" t="s">
        <v>688</v>
      </c>
      <c r="B284" s="213"/>
      <c r="C284" s="213"/>
      <c r="D284" s="213">
        <v>32</v>
      </c>
      <c r="E284" s="213"/>
      <c r="F284" s="213"/>
      <c r="G284" s="213"/>
      <c r="H284" s="213"/>
      <c r="I284" s="213"/>
      <c r="J284" s="205">
        <v>32</v>
      </c>
    </row>
    <row r="285" spans="1:10">
      <c r="A285" s="212" t="s">
        <v>689</v>
      </c>
      <c r="B285" s="213"/>
      <c r="C285" s="213"/>
      <c r="D285" s="213">
        <v>0</v>
      </c>
      <c r="E285" s="213"/>
      <c r="F285" s="213"/>
      <c r="G285" s="213"/>
      <c r="H285" s="213"/>
      <c r="I285" s="213"/>
      <c r="J285" s="205">
        <v>0</v>
      </c>
    </row>
    <row r="286" spans="1:10">
      <c r="A286" s="212" t="s">
        <v>258</v>
      </c>
      <c r="B286" s="213"/>
      <c r="C286" s="213"/>
      <c r="D286" s="213">
        <v>0</v>
      </c>
      <c r="E286" s="213"/>
      <c r="F286" s="213"/>
      <c r="G286" s="213"/>
      <c r="H286" s="213"/>
      <c r="I286" s="213"/>
      <c r="J286" s="205">
        <v>0</v>
      </c>
    </row>
    <row r="287" spans="1:10">
      <c r="A287" s="212" t="s">
        <v>261</v>
      </c>
      <c r="B287" s="213"/>
      <c r="C287" s="213"/>
      <c r="D287" s="213">
        <v>156</v>
      </c>
      <c r="E287" s="213"/>
      <c r="F287" s="213"/>
      <c r="G287" s="213"/>
      <c r="H287" s="213"/>
      <c r="I287" s="213"/>
      <c r="J287" s="205">
        <v>156</v>
      </c>
    </row>
    <row r="288" spans="1:10">
      <c r="A288" s="212" t="s">
        <v>1160</v>
      </c>
      <c r="B288" s="213"/>
      <c r="C288" s="213"/>
      <c r="D288" s="213">
        <v>20</v>
      </c>
      <c r="E288" s="213"/>
      <c r="F288" s="213"/>
      <c r="G288" s="213"/>
      <c r="H288" s="213"/>
      <c r="I288" s="213"/>
      <c r="J288" s="205">
        <v>20</v>
      </c>
    </row>
    <row r="289" spans="1:10">
      <c r="A289" s="212" t="s">
        <v>1113</v>
      </c>
      <c r="B289" s="213"/>
      <c r="C289" s="213"/>
      <c r="D289" s="213">
        <v>0</v>
      </c>
      <c r="E289" s="213"/>
      <c r="F289" s="213"/>
      <c r="G289" s="213"/>
      <c r="H289" s="213"/>
      <c r="I289" s="213"/>
      <c r="J289" s="205">
        <v>0</v>
      </c>
    </row>
    <row r="290" spans="1:10">
      <c r="A290" s="212" t="s">
        <v>853</v>
      </c>
      <c r="B290" s="213"/>
      <c r="C290" s="213"/>
      <c r="D290" s="213"/>
      <c r="E290" s="213">
        <v>0</v>
      </c>
      <c r="F290" s="213"/>
      <c r="G290" s="213"/>
      <c r="H290" s="213"/>
      <c r="I290" s="213"/>
      <c r="J290" s="205">
        <v>0</v>
      </c>
    </row>
    <row r="291" spans="1:10">
      <c r="A291" s="212" t="s">
        <v>1156</v>
      </c>
      <c r="B291" s="213"/>
      <c r="C291" s="213"/>
      <c r="D291" s="213">
        <v>0</v>
      </c>
      <c r="E291" s="213"/>
      <c r="F291" s="213"/>
      <c r="G291" s="213"/>
      <c r="H291" s="213"/>
      <c r="I291" s="213"/>
      <c r="J291" s="205">
        <v>0</v>
      </c>
    </row>
    <row r="292" spans="1:10">
      <c r="A292" s="212" t="s">
        <v>265</v>
      </c>
      <c r="B292" s="213"/>
      <c r="C292" s="213"/>
      <c r="D292" s="213">
        <v>420</v>
      </c>
      <c r="E292" s="213"/>
      <c r="F292" s="213"/>
      <c r="G292" s="213"/>
      <c r="H292" s="213"/>
      <c r="I292" s="213"/>
      <c r="J292" s="205">
        <v>420</v>
      </c>
    </row>
    <row r="293" spans="1:10">
      <c r="A293" s="212" t="s">
        <v>533</v>
      </c>
      <c r="B293" s="213"/>
      <c r="C293" s="213"/>
      <c r="D293" s="213"/>
      <c r="E293" s="213">
        <v>0</v>
      </c>
      <c r="F293" s="213"/>
      <c r="G293" s="213"/>
      <c r="H293" s="213"/>
      <c r="I293" s="213"/>
      <c r="J293" s="205">
        <v>0</v>
      </c>
    </row>
    <row r="294" spans="1:10">
      <c r="A294" s="212" t="s">
        <v>1117</v>
      </c>
      <c r="B294" s="213"/>
      <c r="C294" s="213"/>
      <c r="D294" s="213">
        <v>0</v>
      </c>
      <c r="E294" s="213"/>
      <c r="F294" s="213"/>
      <c r="G294" s="213"/>
      <c r="H294" s="213"/>
      <c r="I294" s="213"/>
      <c r="J294" s="205">
        <v>0</v>
      </c>
    </row>
    <row r="295" spans="1:10">
      <c r="A295" s="212" t="s">
        <v>535</v>
      </c>
      <c r="B295" s="213"/>
      <c r="C295" s="213"/>
      <c r="D295" s="213"/>
      <c r="E295" s="213">
        <v>0</v>
      </c>
      <c r="F295" s="213"/>
      <c r="G295" s="213"/>
      <c r="H295" s="213"/>
      <c r="I295" s="213"/>
      <c r="J295" s="205">
        <v>0</v>
      </c>
    </row>
    <row r="296" spans="1:10">
      <c r="A296" s="212" t="s">
        <v>537</v>
      </c>
      <c r="B296" s="213">
        <v>16</v>
      </c>
      <c r="C296" s="213"/>
      <c r="D296" s="213"/>
      <c r="E296" s="213"/>
      <c r="F296" s="213"/>
      <c r="G296" s="213"/>
      <c r="H296" s="213"/>
      <c r="I296" s="213"/>
      <c r="J296" s="205">
        <v>16</v>
      </c>
    </row>
    <row r="297" spans="1:10">
      <c r="A297" s="212" t="s">
        <v>222</v>
      </c>
      <c r="B297" s="213"/>
      <c r="C297" s="213"/>
      <c r="D297" s="213"/>
      <c r="E297" s="213"/>
      <c r="F297" s="213">
        <v>0</v>
      </c>
      <c r="G297" s="213"/>
      <c r="H297" s="213"/>
      <c r="I297" s="213"/>
      <c r="J297" s="205">
        <v>0</v>
      </c>
    </row>
    <row r="298" spans="1:10">
      <c r="A298" s="212" t="s">
        <v>302</v>
      </c>
      <c r="B298" s="213"/>
      <c r="C298" s="213">
        <v>280</v>
      </c>
      <c r="D298" s="213"/>
      <c r="E298" s="213"/>
      <c r="F298" s="213"/>
      <c r="G298" s="213"/>
      <c r="H298" s="213"/>
      <c r="I298" s="213"/>
      <c r="J298" s="205">
        <v>280</v>
      </c>
    </row>
    <row r="299" spans="1:10">
      <c r="A299" s="212" t="s">
        <v>368</v>
      </c>
      <c r="B299" s="213">
        <v>56</v>
      </c>
      <c r="C299" s="213"/>
      <c r="D299" s="213"/>
      <c r="E299" s="213"/>
      <c r="F299" s="213"/>
      <c r="G299" s="213"/>
      <c r="H299" s="213"/>
      <c r="I299" s="213"/>
      <c r="J299" s="205">
        <v>56</v>
      </c>
    </row>
    <row r="300" spans="1:10">
      <c r="A300" s="212" t="s">
        <v>840</v>
      </c>
      <c r="B300" s="213">
        <v>0</v>
      </c>
      <c r="C300" s="213"/>
      <c r="D300" s="213"/>
      <c r="E300" s="213"/>
      <c r="F300" s="213"/>
      <c r="G300" s="213"/>
      <c r="H300" s="213"/>
      <c r="I300" s="213"/>
      <c r="J300" s="205">
        <v>0</v>
      </c>
    </row>
    <row r="301" spans="1:10">
      <c r="A301" s="212" t="s">
        <v>540</v>
      </c>
      <c r="B301" s="213">
        <v>16</v>
      </c>
      <c r="C301" s="213"/>
      <c r="D301" s="213"/>
      <c r="E301" s="213"/>
      <c r="F301" s="213"/>
      <c r="G301" s="213"/>
      <c r="H301" s="213"/>
      <c r="I301" s="213"/>
      <c r="J301" s="205">
        <v>16</v>
      </c>
    </row>
    <row r="302" spans="1:10">
      <c r="A302" s="212" t="s">
        <v>370</v>
      </c>
      <c r="B302" s="213">
        <v>16</v>
      </c>
      <c r="C302" s="213"/>
      <c r="D302" s="213"/>
      <c r="E302" s="213"/>
      <c r="F302" s="213"/>
      <c r="G302" s="213"/>
      <c r="H302" s="213"/>
      <c r="I302" s="213"/>
      <c r="J302" s="205">
        <v>16</v>
      </c>
    </row>
    <row r="303" spans="1:10">
      <c r="A303" s="212" t="s">
        <v>373</v>
      </c>
      <c r="B303" s="213">
        <v>0</v>
      </c>
      <c r="C303" s="213"/>
      <c r="D303" s="213"/>
      <c r="E303" s="213"/>
      <c r="F303" s="213"/>
      <c r="G303" s="213"/>
      <c r="H303" s="213"/>
      <c r="I303" s="213"/>
      <c r="J303" s="205">
        <v>0</v>
      </c>
    </row>
    <row r="304" spans="1:10">
      <c r="A304" s="212" t="s">
        <v>685</v>
      </c>
      <c r="B304" s="213">
        <v>0</v>
      </c>
      <c r="C304" s="213"/>
      <c r="D304" s="213"/>
      <c r="E304" s="213"/>
      <c r="F304" s="213"/>
      <c r="G304" s="213"/>
      <c r="H304" s="213"/>
      <c r="I304" s="213"/>
      <c r="J304" s="205">
        <v>0</v>
      </c>
    </row>
    <row r="305" spans="1:10">
      <c r="A305" s="212" t="s">
        <v>192</v>
      </c>
      <c r="B305" s="213"/>
      <c r="C305" s="213"/>
      <c r="D305" s="213"/>
      <c r="E305" s="213"/>
      <c r="F305" s="213">
        <v>0</v>
      </c>
      <c r="G305" s="213"/>
      <c r="H305" s="213"/>
      <c r="I305" s="213"/>
      <c r="J305" s="205">
        <v>0</v>
      </c>
    </row>
    <row r="306" spans="1:10">
      <c r="A306" s="212" t="s">
        <v>543</v>
      </c>
      <c r="B306" s="213"/>
      <c r="C306" s="213"/>
      <c r="D306" s="213"/>
      <c r="E306" s="213">
        <v>0</v>
      </c>
      <c r="F306" s="213"/>
      <c r="G306" s="213"/>
      <c r="H306" s="213"/>
      <c r="I306" s="213"/>
      <c r="J306" s="205">
        <v>0</v>
      </c>
    </row>
    <row r="307" spans="1:10">
      <c r="A307" s="212" t="s">
        <v>546</v>
      </c>
      <c r="B307" s="213"/>
      <c r="C307" s="213"/>
      <c r="D307" s="213"/>
      <c r="E307" s="213">
        <v>0</v>
      </c>
      <c r="F307" s="213"/>
      <c r="G307" s="213"/>
      <c r="H307" s="213"/>
      <c r="I307" s="213"/>
      <c r="J307" s="205">
        <v>0</v>
      </c>
    </row>
    <row r="308" spans="1:10">
      <c r="A308" s="212" t="s">
        <v>849</v>
      </c>
      <c r="B308" s="213"/>
      <c r="C308" s="213"/>
      <c r="D308" s="213"/>
      <c r="E308" s="213"/>
      <c r="F308" s="213">
        <v>0</v>
      </c>
      <c r="G308" s="213"/>
      <c r="H308" s="213"/>
      <c r="I308" s="213">
        <v>0</v>
      </c>
      <c r="J308" s="205">
        <v>0</v>
      </c>
    </row>
    <row r="309" spans="1:10">
      <c r="A309" s="212" t="s">
        <v>548</v>
      </c>
      <c r="B309" s="213">
        <v>32</v>
      </c>
      <c r="C309" s="213"/>
      <c r="D309" s="213"/>
      <c r="E309" s="213"/>
      <c r="F309" s="213"/>
      <c r="G309" s="213"/>
      <c r="H309" s="213"/>
      <c r="I309" s="213"/>
      <c r="J309" s="205">
        <v>32</v>
      </c>
    </row>
    <row r="310" spans="1:10">
      <c r="A310" s="212" t="s">
        <v>550</v>
      </c>
      <c r="B310" s="213">
        <v>224</v>
      </c>
      <c r="C310" s="213"/>
      <c r="D310" s="213"/>
      <c r="E310" s="213"/>
      <c r="F310" s="213"/>
      <c r="G310" s="213"/>
      <c r="H310" s="213"/>
      <c r="I310" s="213"/>
      <c r="J310" s="205">
        <v>224</v>
      </c>
    </row>
    <row r="311" spans="1:10">
      <c r="A311" s="212" t="s">
        <v>933</v>
      </c>
      <c r="B311" s="213"/>
      <c r="C311" s="213">
        <v>0</v>
      </c>
      <c r="D311" s="213"/>
      <c r="E311" s="213"/>
      <c r="F311" s="213"/>
      <c r="G311" s="213"/>
      <c r="H311" s="213"/>
      <c r="I311" s="213"/>
      <c r="J311" s="205">
        <v>0</v>
      </c>
    </row>
    <row r="312" spans="1:10">
      <c r="A312" s="212" t="s">
        <v>422</v>
      </c>
      <c r="B312" s="213">
        <v>0</v>
      </c>
      <c r="C312" s="213"/>
      <c r="D312" s="213"/>
      <c r="E312" s="213"/>
      <c r="F312" s="213"/>
      <c r="G312" s="213"/>
      <c r="H312" s="213"/>
      <c r="I312" s="213"/>
      <c r="J312" s="205">
        <v>0</v>
      </c>
    </row>
    <row r="313" spans="1:10">
      <c r="A313" s="212" t="s">
        <v>553</v>
      </c>
      <c r="B313" s="213"/>
      <c r="C313" s="213"/>
      <c r="D313" s="213"/>
      <c r="E313" s="213">
        <v>0</v>
      </c>
      <c r="F313" s="213"/>
      <c r="G313" s="213"/>
      <c r="H313" s="213"/>
      <c r="I313" s="213"/>
      <c r="J313" s="205">
        <v>0</v>
      </c>
    </row>
    <row r="314" spans="1:10">
      <c r="A314" s="212" t="s">
        <v>556</v>
      </c>
      <c r="B314" s="213"/>
      <c r="C314" s="213">
        <v>120</v>
      </c>
      <c r="D314" s="213"/>
      <c r="E314" s="213"/>
      <c r="F314" s="213"/>
      <c r="G314" s="213"/>
      <c r="H314" s="213"/>
      <c r="I314" s="213"/>
      <c r="J314" s="205">
        <v>120</v>
      </c>
    </row>
    <row r="315" spans="1:10">
      <c r="A315" s="212" t="s">
        <v>374</v>
      </c>
      <c r="B315" s="213">
        <v>60</v>
      </c>
      <c r="C315" s="213"/>
      <c r="D315" s="213"/>
      <c r="E315" s="213"/>
      <c r="F315" s="213"/>
      <c r="G315" s="213"/>
      <c r="H315" s="213"/>
      <c r="I315" s="213"/>
      <c r="J315" s="205">
        <v>60</v>
      </c>
    </row>
    <row r="316" spans="1:10">
      <c r="A316" s="212" t="s">
        <v>558</v>
      </c>
      <c r="B316" s="213">
        <v>16</v>
      </c>
      <c r="C316" s="213"/>
      <c r="D316" s="213"/>
      <c r="E316" s="213"/>
      <c r="F316" s="213"/>
      <c r="G316" s="213"/>
      <c r="H316" s="213"/>
      <c r="I316" s="213"/>
      <c r="J316" s="205">
        <v>16</v>
      </c>
    </row>
    <row r="317" spans="1:10">
      <c r="A317" s="212" t="s">
        <v>377</v>
      </c>
      <c r="B317" s="213">
        <v>204</v>
      </c>
      <c r="C317" s="213"/>
      <c r="D317" s="213"/>
      <c r="E317" s="213"/>
      <c r="F317" s="213"/>
      <c r="G317" s="213"/>
      <c r="H317" s="213"/>
      <c r="I317" s="213"/>
      <c r="J317" s="205">
        <v>204</v>
      </c>
    </row>
    <row r="318" spans="1:10">
      <c r="A318" s="212" t="s">
        <v>380</v>
      </c>
      <c r="B318" s="213">
        <v>0</v>
      </c>
      <c r="C318" s="213"/>
      <c r="D318" s="213"/>
      <c r="E318" s="213"/>
      <c r="F318" s="213"/>
      <c r="G318" s="213"/>
      <c r="H318" s="213"/>
      <c r="I318" s="213"/>
      <c r="J318" s="205">
        <v>0</v>
      </c>
    </row>
    <row r="319" spans="1:10">
      <c r="A319" s="212" t="s">
        <v>381</v>
      </c>
      <c r="B319" s="213">
        <v>0</v>
      </c>
      <c r="C319" s="213"/>
      <c r="D319" s="213"/>
      <c r="E319" s="213"/>
      <c r="F319" s="213"/>
      <c r="G319" s="213"/>
      <c r="H319" s="213"/>
      <c r="I319" s="213"/>
      <c r="J319" s="205">
        <v>0</v>
      </c>
    </row>
    <row r="320" spans="1:10">
      <c r="A320" s="212" t="s">
        <v>157</v>
      </c>
      <c r="B320" s="213">
        <v>160</v>
      </c>
      <c r="C320" s="213"/>
      <c r="D320" s="213"/>
      <c r="E320" s="213"/>
      <c r="F320" s="213"/>
      <c r="G320" s="213"/>
      <c r="H320" s="213"/>
      <c r="I320" s="213"/>
      <c r="J320" s="205">
        <v>160</v>
      </c>
    </row>
    <row r="321" spans="1:10">
      <c r="A321" s="212" t="s">
        <v>561</v>
      </c>
      <c r="B321" s="213">
        <v>160</v>
      </c>
      <c r="C321" s="213"/>
      <c r="D321" s="213"/>
      <c r="E321" s="213"/>
      <c r="F321" s="213"/>
      <c r="G321" s="213"/>
      <c r="H321" s="213"/>
      <c r="I321" s="213"/>
      <c r="J321" s="205">
        <v>160</v>
      </c>
    </row>
    <row r="322" spans="1:10">
      <c r="A322" s="212" t="s">
        <v>564</v>
      </c>
      <c r="B322" s="213">
        <v>32</v>
      </c>
      <c r="C322" s="213"/>
      <c r="D322" s="213"/>
      <c r="E322" s="213"/>
      <c r="F322" s="213"/>
      <c r="G322" s="213"/>
      <c r="H322" s="213"/>
      <c r="I322" s="213"/>
      <c r="J322" s="205">
        <v>32</v>
      </c>
    </row>
    <row r="323" spans="1:10">
      <c r="A323" s="212" t="s">
        <v>566</v>
      </c>
      <c r="B323" s="213"/>
      <c r="C323" s="213"/>
      <c r="D323" s="213"/>
      <c r="E323" s="213">
        <v>0</v>
      </c>
      <c r="F323" s="213"/>
      <c r="G323" s="213"/>
      <c r="H323" s="213"/>
      <c r="I323" s="213"/>
      <c r="J323" s="205">
        <v>0</v>
      </c>
    </row>
    <row r="324" spans="1:10">
      <c r="A324" s="212" t="s">
        <v>160</v>
      </c>
      <c r="B324" s="213"/>
      <c r="C324" s="213"/>
      <c r="D324" s="213"/>
      <c r="E324" s="213">
        <v>0</v>
      </c>
      <c r="F324" s="213"/>
      <c r="G324" s="213"/>
      <c r="H324" s="213"/>
      <c r="I324" s="213"/>
      <c r="J324" s="205">
        <v>0</v>
      </c>
    </row>
    <row r="325" spans="1:10">
      <c r="A325" s="212" t="s">
        <v>911</v>
      </c>
      <c r="B325" s="213"/>
      <c r="C325" s="213"/>
      <c r="D325" s="213">
        <v>32</v>
      </c>
      <c r="E325" s="213"/>
      <c r="F325" s="213"/>
      <c r="G325" s="213"/>
      <c r="H325" s="213"/>
      <c r="I325" s="213"/>
      <c r="J325" s="205">
        <v>32</v>
      </c>
    </row>
    <row r="326" spans="1:10">
      <c r="A326" s="212" t="s">
        <v>820</v>
      </c>
      <c r="B326" s="213"/>
      <c r="C326" s="213">
        <v>285</v>
      </c>
      <c r="D326" s="213"/>
      <c r="E326" s="213"/>
      <c r="F326" s="213"/>
      <c r="G326" s="213"/>
      <c r="H326" s="213"/>
      <c r="I326" s="213"/>
      <c r="J326" s="205">
        <v>285</v>
      </c>
    </row>
    <row r="327" spans="1:10">
      <c r="A327" s="212" t="s">
        <v>328</v>
      </c>
      <c r="B327" s="213">
        <v>0</v>
      </c>
      <c r="C327" s="213"/>
      <c r="D327" s="213"/>
      <c r="E327" s="213"/>
      <c r="F327" s="213"/>
      <c r="G327" s="213"/>
      <c r="H327" s="213"/>
      <c r="I327" s="213"/>
      <c r="J327" s="205">
        <v>0</v>
      </c>
    </row>
    <row r="328" spans="1:10">
      <c r="A328" s="212" t="s">
        <v>569</v>
      </c>
      <c r="B328" s="213">
        <v>28</v>
      </c>
      <c r="C328" s="213"/>
      <c r="D328" s="213"/>
      <c r="E328" s="213"/>
      <c r="F328" s="213"/>
      <c r="G328" s="213"/>
      <c r="H328" s="213"/>
      <c r="I328" s="213"/>
      <c r="J328" s="205">
        <v>28</v>
      </c>
    </row>
    <row r="329" spans="1:10">
      <c r="A329" s="212" t="s">
        <v>382</v>
      </c>
      <c r="B329" s="213">
        <v>0</v>
      </c>
      <c r="C329" s="213"/>
      <c r="D329" s="213"/>
      <c r="E329" s="213"/>
      <c r="F329" s="213"/>
      <c r="G329" s="213"/>
      <c r="H329" s="213"/>
      <c r="I329" s="213"/>
      <c r="J329" s="205">
        <v>0</v>
      </c>
    </row>
    <row r="330" spans="1:10">
      <c r="A330" s="212" t="s">
        <v>162</v>
      </c>
      <c r="B330" s="213"/>
      <c r="C330" s="213"/>
      <c r="D330" s="213"/>
      <c r="E330" s="213"/>
      <c r="F330" s="213"/>
      <c r="G330" s="213"/>
      <c r="H330" s="213">
        <v>20</v>
      </c>
      <c r="I330" s="213"/>
      <c r="J330" s="205">
        <v>20</v>
      </c>
    </row>
    <row r="331" spans="1:10">
      <c r="A331" s="212" t="s">
        <v>852</v>
      </c>
      <c r="B331" s="213"/>
      <c r="C331" s="213"/>
      <c r="D331" s="213"/>
      <c r="E331" s="213"/>
      <c r="F331" s="213">
        <v>0</v>
      </c>
      <c r="G331" s="213"/>
      <c r="H331" s="213"/>
      <c r="I331" s="213"/>
      <c r="J331" s="205">
        <v>0</v>
      </c>
    </row>
    <row r="332" spans="1:10">
      <c r="A332" s="212" t="s">
        <v>571</v>
      </c>
      <c r="B332" s="213"/>
      <c r="C332" s="213">
        <v>80</v>
      </c>
      <c r="D332" s="213"/>
      <c r="E332" s="213"/>
      <c r="F332" s="213"/>
      <c r="G332" s="213"/>
      <c r="H332" s="213"/>
      <c r="I332" s="213"/>
      <c r="J332" s="205">
        <v>80</v>
      </c>
    </row>
    <row r="333" spans="1:10">
      <c r="A333" s="212" t="s">
        <v>573</v>
      </c>
      <c r="B333" s="213"/>
      <c r="C333" s="213"/>
      <c r="D333" s="213"/>
      <c r="E333" s="213"/>
      <c r="F333" s="213"/>
      <c r="G333" s="213">
        <v>0</v>
      </c>
      <c r="H333" s="213"/>
      <c r="I333" s="213"/>
      <c r="J333" s="205">
        <v>0</v>
      </c>
    </row>
    <row r="334" spans="1:10">
      <c r="A334" s="212" t="s">
        <v>575</v>
      </c>
      <c r="B334" s="213">
        <v>0</v>
      </c>
      <c r="C334" s="213"/>
      <c r="D334" s="213"/>
      <c r="E334" s="213"/>
      <c r="F334" s="213"/>
      <c r="G334" s="213"/>
      <c r="H334" s="213"/>
      <c r="I334" s="213"/>
      <c r="J334" s="205">
        <v>0</v>
      </c>
    </row>
    <row r="335" spans="1:10">
      <c r="A335" s="212" t="s">
        <v>577</v>
      </c>
      <c r="B335" s="213">
        <v>28</v>
      </c>
      <c r="C335" s="213"/>
      <c r="D335" s="213"/>
      <c r="E335" s="213"/>
      <c r="F335" s="213"/>
      <c r="G335" s="213"/>
      <c r="H335" s="213"/>
      <c r="I335" s="213"/>
      <c r="J335" s="205">
        <v>28</v>
      </c>
    </row>
    <row r="336" spans="1:10">
      <c r="A336" s="212" t="s">
        <v>579</v>
      </c>
      <c r="B336" s="213"/>
      <c r="C336" s="213"/>
      <c r="D336" s="213"/>
      <c r="E336" s="213"/>
      <c r="F336" s="213">
        <v>0</v>
      </c>
      <c r="G336" s="213"/>
      <c r="H336" s="213"/>
      <c r="I336" s="213"/>
      <c r="J336" s="205">
        <v>0</v>
      </c>
    </row>
    <row r="337" spans="1:10">
      <c r="A337" s="212" t="s">
        <v>305</v>
      </c>
      <c r="B337" s="213"/>
      <c r="C337" s="213"/>
      <c r="D337" s="213"/>
      <c r="E337" s="213">
        <v>0</v>
      </c>
      <c r="F337" s="213"/>
      <c r="G337" s="213"/>
      <c r="H337" s="213"/>
      <c r="I337" s="213"/>
      <c r="J337" s="205">
        <v>0</v>
      </c>
    </row>
    <row r="338" spans="1:10">
      <c r="A338" s="212" t="s">
        <v>165</v>
      </c>
      <c r="B338" s="213"/>
      <c r="C338" s="213"/>
      <c r="D338" s="213"/>
      <c r="E338" s="213">
        <v>160</v>
      </c>
      <c r="F338" s="213"/>
      <c r="G338" s="213"/>
      <c r="H338" s="213"/>
      <c r="I338" s="213"/>
      <c r="J338" s="205">
        <v>160</v>
      </c>
    </row>
    <row r="339" spans="1:10">
      <c r="A339" s="212" t="s">
        <v>581</v>
      </c>
      <c r="B339" s="213"/>
      <c r="C339" s="213"/>
      <c r="D339" s="213"/>
      <c r="E339" s="213">
        <v>20</v>
      </c>
      <c r="F339" s="213"/>
      <c r="G339" s="213"/>
      <c r="H339" s="213"/>
      <c r="I339" s="213"/>
      <c r="J339" s="205">
        <v>20</v>
      </c>
    </row>
    <row r="340" spans="1:10">
      <c r="A340" s="212" t="s">
        <v>854</v>
      </c>
      <c r="B340" s="213"/>
      <c r="C340" s="213"/>
      <c r="D340" s="213"/>
      <c r="E340" s="213"/>
      <c r="F340" s="213"/>
      <c r="G340" s="213"/>
      <c r="H340" s="213"/>
      <c r="I340" s="213">
        <v>0</v>
      </c>
      <c r="J340" s="205">
        <v>0</v>
      </c>
    </row>
    <row r="341" spans="1:10">
      <c r="A341" s="212" t="s">
        <v>167</v>
      </c>
      <c r="B341" s="213">
        <v>324</v>
      </c>
      <c r="C341" s="213"/>
      <c r="D341" s="213"/>
      <c r="E341" s="213"/>
      <c r="F341" s="213"/>
      <c r="G341" s="213"/>
      <c r="H341" s="213"/>
      <c r="I341" s="213"/>
      <c r="J341" s="205">
        <v>324</v>
      </c>
    </row>
    <row r="342" spans="1:10">
      <c r="A342" s="212" t="s">
        <v>268</v>
      </c>
      <c r="B342" s="213"/>
      <c r="C342" s="213"/>
      <c r="D342" s="213"/>
      <c r="E342" s="213">
        <v>0</v>
      </c>
      <c r="F342" s="213"/>
      <c r="G342" s="213"/>
      <c r="H342" s="213"/>
      <c r="I342" s="213"/>
      <c r="J342" s="205">
        <v>0</v>
      </c>
    </row>
    <row r="343" spans="1:10">
      <c r="A343" s="212" t="s">
        <v>271</v>
      </c>
      <c r="B343" s="213"/>
      <c r="C343" s="213"/>
      <c r="D343" s="213"/>
      <c r="E343" s="213">
        <v>0</v>
      </c>
      <c r="F343" s="213"/>
      <c r="G343" s="213"/>
      <c r="H343" s="213"/>
      <c r="I343" s="213"/>
      <c r="J343" s="205">
        <v>0</v>
      </c>
    </row>
    <row r="344" spans="1:10">
      <c r="A344" s="212" t="s">
        <v>686</v>
      </c>
      <c r="B344" s="213"/>
      <c r="C344" s="213"/>
      <c r="D344" s="213"/>
      <c r="E344" s="213">
        <v>0</v>
      </c>
      <c r="F344" s="213"/>
      <c r="G344" s="213"/>
      <c r="H344" s="213"/>
      <c r="I344" s="213"/>
      <c r="J344" s="205">
        <v>0</v>
      </c>
    </row>
    <row r="345" spans="1:10">
      <c r="A345" s="212" t="s">
        <v>599</v>
      </c>
      <c r="B345" s="213"/>
      <c r="C345" s="213"/>
      <c r="D345" s="213"/>
      <c r="E345" s="213"/>
      <c r="F345" s="213">
        <v>0</v>
      </c>
      <c r="G345" s="213"/>
      <c r="H345" s="213"/>
      <c r="I345" s="213"/>
      <c r="J345" s="205">
        <v>0</v>
      </c>
    </row>
    <row r="346" spans="1:10">
      <c r="A346" s="212" t="s">
        <v>227</v>
      </c>
      <c r="B346" s="213"/>
      <c r="C346" s="213"/>
      <c r="D346" s="213"/>
      <c r="E346" s="213"/>
      <c r="F346" s="213">
        <v>0</v>
      </c>
      <c r="G346" s="213"/>
      <c r="H346" s="213"/>
      <c r="I346" s="213"/>
      <c r="J346" s="205">
        <v>0</v>
      </c>
    </row>
    <row r="347" spans="1:10">
      <c r="A347" s="212" t="s">
        <v>406</v>
      </c>
      <c r="B347" s="213">
        <v>340</v>
      </c>
      <c r="C347" s="213"/>
      <c r="D347" s="213"/>
      <c r="E347" s="213"/>
      <c r="F347" s="213"/>
      <c r="G347" s="213"/>
      <c r="H347" s="213"/>
      <c r="I347" s="213"/>
      <c r="J347" s="205">
        <v>340</v>
      </c>
    </row>
    <row r="348" spans="1:10">
      <c r="A348" s="212" t="s">
        <v>409</v>
      </c>
      <c r="B348" s="213">
        <v>0</v>
      </c>
      <c r="C348" s="213"/>
      <c r="D348" s="213"/>
      <c r="E348" s="213"/>
      <c r="F348" s="213"/>
      <c r="G348" s="213"/>
      <c r="H348" s="213"/>
      <c r="I348" s="213"/>
      <c r="J348" s="205">
        <v>0</v>
      </c>
    </row>
    <row r="349" spans="1:10">
      <c r="A349" s="212" t="s">
        <v>687</v>
      </c>
      <c r="B349" s="213">
        <v>0</v>
      </c>
      <c r="C349" s="213"/>
      <c r="D349" s="213"/>
      <c r="E349" s="213"/>
      <c r="F349" s="213"/>
      <c r="G349" s="213"/>
      <c r="H349" s="213"/>
      <c r="I349" s="213"/>
      <c r="J349" s="205">
        <v>0</v>
      </c>
    </row>
    <row r="350" spans="1:10">
      <c r="A350" s="212" t="s">
        <v>169</v>
      </c>
      <c r="B350" s="213"/>
      <c r="C350" s="213"/>
      <c r="D350" s="213"/>
      <c r="E350" s="213">
        <v>0</v>
      </c>
      <c r="F350" s="213"/>
      <c r="G350" s="213"/>
      <c r="H350" s="213"/>
      <c r="I350" s="213"/>
      <c r="J350" s="205">
        <v>0</v>
      </c>
    </row>
    <row r="351" spans="1:10">
      <c r="A351" s="212" t="s">
        <v>230</v>
      </c>
      <c r="B351" s="213"/>
      <c r="C351" s="213">
        <v>0</v>
      </c>
      <c r="D351" s="213"/>
      <c r="E351" s="213"/>
      <c r="F351" s="213"/>
      <c r="G351" s="213"/>
      <c r="H351" s="213"/>
      <c r="I351" s="213"/>
      <c r="J351" s="205">
        <v>0</v>
      </c>
    </row>
    <row r="352" spans="1:10">
      <c r="A352" s="212" t="s">
        <v>331</v>
      </c>
      <c r="B352" s="213">
        <v>0</v>
      </c>
      <c r="C352" s="213"/>
      <c r="D352" s="213"/>
      <c r="E352" s="213"/>
      <c r="F352" s="213"/>
      <c r="G352" s="213"/>
      <c r="H352" s="213"/>
      <c r="I352" s="213"/>
      <c r="J352" s="205">
        <v>0</v>
      </c>
    </row>
    <row r="353" spans="1:10">
      <c r="A353" s="212" t="s">
        <v>334</v>
      </c>
      <c r="B353" s="213">
        <v>0</v>
      </c>
      <c r="C353" s="213"/>
      <c r="D353" s="213"/>
      <c r="E353" s="213"/>
      <c r="F353" s="213"/>
      <c r="G353" s="213"/>
      <c r="H353" s="213"/>
      <c r="I353" s="213"/>
      <c r="J353" s="205">
        <v>0</v>
      </c>
    </row>
    <row r="354" spans="1:10">
      <c r="A354" s="212" t="s">
        <v>837</v>
      </c>
      <c r="B354" s="213"/>
      <c r="C354" s="213"/>
      <c r="D354" s="213"/>
      <c r="E354" s="213"/>
      <c r="F354" s="213"/>
      <c r="G354" s="213"/>
      <c r="H354" s="213"/>
      <c r="I354" s="213">
        <v>0</v>
      </c>
      <c r="J354" s="205">
        <v>0</v>
      </c>
    </row>
    <row r="355" spans="1:10">
      <c r="A355" s="212" t="s">
        <v>841</v>
      </c>
      <c r="B355" s="213"/>
      <c r="C355" s="213"/>
      <c r="D355" s="213"/>
      <c r="E355" s="213"/>
      <c r="F355" s="213"/>
      <c r="G355" s="213"/>
      <c r="H355" s="213"/>
      <c r="I355" s="213">
        <v>0</v>
      </c>
      <c r="J355" s="205">
        <v>0</v>
      </c>
    </row>
    <row r="356" spans="1:10">
      <c r="A356" s="212" t="s">
        <v>385</v>
      </c>
      <c r="B356" s="213">
        <v>20</v>
      </c>
      <c r="C356" s="213"/>
      <c r="D356" s="213"/>
      <c r="E356" s="213"/>
      <c r="F356" s="213"/>
      <c r="G356" s="213"/>
      <c r="H356" s="213"/>
      <c r="I356" s="213"/>
      <c r="J356" s="205">
        <v>20</v>
      </c>
    </row>
    <row r="357" spans="1:10">
      <c r="A357" s="212" t="s">
        <v>583</v>
      </c>
      <c r="B357" s="213"/>
      <c r="C357" s="213">
        <v>0</v>
      </c>
      <c r="D357" s="213"/>
      <c r="E357" s="213"/>
      <c r="F357" s="213"/>
      <c r="G357" s="213"/>
      <c r="H357" s="213"/>
      <c r="I357" s="213"/>
      <c r="J357" s="205">
        <v>0</v>
      </c>
    </row>
    <row r="358" spans="1:10">
      <c r="A358" s="212" t="s">
        <v>585</v>
      </c>
      <c r="B358" s="213"/>
      <c r="C358" s="213">
        <v>0</v>
      </c>
      <c r="D358" s="213"/>
      <c r="E358" s="213"/>
      <c r="F358" s="213"/>
      <c r="G358" s="213"/>
      <c r="H358" s="213"/>
      <c r="I358" s="213"/>
      <c r="J358" s="205">
        <v>0</v>
      </c>
    </row>
    <row r="359" spans="1:10">
      <c r="A359" s="212" t="s">
        <v>388</v>
      </c>
      <c r="B359" s="213"/>
      <c r="C359" s="213"/>
      <c r="D359" s="213"/>
      <c r="E359" s="213"/>
      <c r="F359" s="213">
        <v>0</v>
      </c>
      <c r="G359" s="213"/>
      <c r="H359" s="213"/>
      <c r="I359" s="213"/>
      <c r="J359" s="205">
        <v>0</v>
      </c>
    </row>
    <row r="360" spans="1:10">
      <c r="A360" s="212" t="s">
        <v>1241</v>
      </c>
      <c r="B360" s="213"/>
      <c r="C360" s="213"/>
      <c r="D360" s="213"/>
      <c r="E360" s="213"/>
      <c r="F360" s="213"/>
      <c r="G360" s="213"/>
      <c r="H360" s="213"/>
      <c r="I360" s="213">
        <v>0</v>
      </c>
      <c r="J360" s="205">
        <v>0</v>
      </c>
    </row>
    <row r="361" spans="1:10">
      <c r="A361" s="212" t="s">
        <v>1220</v>
      </c>
      <c r="B361" s="213"/>
      <c r="C361" s="213"/>
      <c r="D361" s="213"/>
      <c r="E361" s="213"/>
      <c r="F361" s="213"/>
      <c r="G361" s="213"/>
      <c r="H361" s="213"/>
      <c r="I361" s="213">
        <v>0</v>
      </c>
      <c r="J361" s="205">
        <v>0</v>
      </c>
    </row>
    <row r="362" spans="1:10">
      <c r="A362" s="212" t="s">
        <v>1229</v>
      </c>
      <c r="B362" s="213"/>
      <c r="C362" s="213"/>
      <c r="D362" s="213"/>
      <c r="E362" s="213"/>
      <c r="F362" s="213"/>
      <c r="G362" s="213"/>
      <c r="H362" s="213"/>
      <c r="I362" s="213">
        <v>0</v>
      </c>
      <c r="J362" s="205">
        <v>0</v>
      </c>
    </row>
    <row r="363" spans="1:10">
      <c r="A363" s="212" t="s">
        <v>1163</v>
      </c>
      <c r="B363" s="213"/>
      <c r="C363" s="213"/>
      <c r="D363" s="213"/>
      <c r="E363" s="213"/>
      <c r="F363" s="213"/>
      <c r="G363" s="213"/>
      <c r="H363" s="213">
        <v>0</v>
      </c>
      <c r="I363" s="213"/>
      <c r="J363" s="205">
        <v>0</v>
      </c>
    </row>
    <row r="364" spans="1:10">
      <c r="A364" s="212" t="s">
        <v>1213</v>
      </c>
      <c r="B364" s="213"/>
      <c r="C364" s="213"/>
      <c r="D364" s="213"/>
      <c r="E364" s="213"/>
      <c r="F364" s="213">
        <v>0</v>
      </c>
      <c r="G364" s="213"/>
      <c r="H364" s="213"/>
      <c r="I364" s="213"/>
      <c r="J364" s="205">
        <v>0</v>
      </c>
    </row>
    <row r="365" spans="1:10">
      <c r="A365" s="212" t="s">
        <v>1162</v>
      </c>
      <c r="B365" s="213"/>
      <c r="C365" s="213"/>
      <c r="D365" s="213"/>
      <c r="E365" s="213"/>
      <c r="F365" s="213"/>
      <c r="G365" s="213"/>
      <c r="H365" s="213"/>
      <c r="I365" s="213">
        <v>0</v>
      </c>
      <c r="J365" s="205">
        <v>0</v>
      </c>
    </row>
    <row r="366" spans="1:10">
      <c r="A366" s="212" t="s">
        <v>1161</v>
      </c>
      <c r="B366" s="213"/>
      <c r="C366" s="213"/>
      <c r="D366" s="213"/>
      <c r="E366" s="213"/>
      <c r="F366" s="213"/>
      <c r="G366" s="213"/>
      <c r="H366" s="213"/>
      <c r="I366" s="213">
        <v>0</v>
      </c>
      <c r="J366" s="205">
        <v>0</v>
      </c>
    </row>
    <row r="367" spans="1:10">
      <c r="A367" s="212" t="s">
        <v>1218</v>
      </c>
      <c r="B367" s="213"/>
      <c r="C367" s="213"/>
      <c r="D367" s="213"/>
      <c r="E367" s="213"/>
      <c r="F367" s="213"/>
      <c r="G367" s="213"/>
      <c r="H367" s="213"/>
      <c r="I367" s="213">
        <v>0</v>
      </c>
      <c r="J367" s="205">
        <v>0</v>
      </c>
    </row>
    <row r="368" spans="1:10">
      <c r="A368" s="212" t="s">
        <v>1216</v>
      </c>
      <c r="B368" s="213"/>
      <c r="C368" s="213"/>
      <c r="D368" s="213"/>
      <c r="E368" s="213"/>
      <c r="F368" s="213"/>
      <c r="G368" s="213"/>
      <c r="H368" s="213"/>
      <c r="I368" s="213">
        <v>0</v>
      </c>
      <c r="J368" s="205">
        <v>0</v>
      </c>
    </row>
    <row r="369" spans="1:10">
      <c r="A369" s="212" t="s">
        <v>1217</v>
      </c>
      <c r="B369" s="213"/>
      <c r="C369" s="213"/>
      <c r="D369" s="213"/>
      <c r="E369" s="213"/>
      <c r="F369" s="213"/>
      <c r="G369" s="213"/>
      <c r="H369" s="213"/>
      <c r="I369" s="213">
        <v>0</v>
      </c>
      <c r="J369" s="205">
        <v>0</v>
      </c>
    </row>
    <row r="370" spans="1:10">
      <c r="A370" s="212" t="s">
        <v>1214</v>
      </c>
      <c r="B370" s="213"/>
      <c r="C370" s="213"/>
      <c r="D370" s="213"/>
      <c r="E370" s="213"/>
      <c r="F370" s="213"/>
      <c r="G370" s="213"/>
      <c r="H370" s="213"/>
      <c r="I370" s="213">
        <v>0</v>
      </c>
      <c r="J370" s="205">
        <v>0</v>
      </c>
    </row>
    <row r="371" spans="1:10">
      <c r="A371" s="212" t="s">
        <v>1215</v>
      </c>
      <c r="B371" s="213"/>
      <c r="C371" s="213"/>
      <c r="D371" s="213"/>
      <c r="E371" s="213"/>
      <c r="F371" s="213"/>
      <c r="G371" s="213"/>
      <c r="H371" s="213"/>
      <c r="I371" s="213">
        <v>0</v>
      </c>
      <c r="J371" s="205">
        <v>0</v>
      </c>
    </row>
    <row r="372" spans="1:10">
      <c r="A372" s="212" t="s">
        <v>1219</v>
      </c>
      <c r="B372" s="213"/>
      <c r="C372" s="213"/>
      <c r="D372" s="213"/>
      <c r="E372" s="213"/>
      <c r="F372" s="213"/>
      <c r="G372" s="213"/>
      <c r="H372" s="213"/>
      <c r="I372" s="213">
        <v>0</v>
      </c>
      <c r="J372" s="205">
        <v>0</v>
      </c>
    </row>
    <row r="373" spans="1:10" ht="13.5" thickBot="1">
      <c r="A373" s="227" t="s">
        <v>1231</v>
      </c>
      <c r="B373" s="228">
        <v>4368</v>
      </c>
      <c r="C373" s="228">
        <v>3873</v>
      </c>
      <c r="D373" s="228">
        <v>3982</v>
      </c>
      <c r="E373" s="228">
        <v>220</v>
      </c>
      <c r="F373" s="228">
        <v>8</v>
      </c>
      <c r="G373" s="228">
        <v>336</v>
      </c>
      <c r="H373" s="228">
        <v>20</v>
      </c>
      <c r="I373" s="228">
        <v>0</v>
      </c>
      <c r="J373" s="229">
        <v>12807</v>
      </c>
    </row>
    <row r="374" spans="1:10" ht="13.5" thickTop="1"/>
    <row r="375" spans="1:10" ht="13.5" thickTop="1"/>
    <row r="385" spans="1:22">
      <c r="A385" s="206" t="s">
        <v>1221</v>
      </c>
      <c r="B385" s="206" t="s">
        <v>1230</v>
      </c>
    </row>
    <row r="386" spans="1:22">
      <c r="B386" t="s">
        <v>862</v>
      </c>
      <c r="C386" t="s">
        <v>618</v>
      </c>
      <c r="D386" t="s">
        <v>86</v>
      </c>
      <c r="E386" t="s">
        <v>80</v>
      </c>
      <c r="F386" t="s">
        <v>639</v>
      </c>
      <c r="G386" t="s">
        <v>633</v>
      </c>
      <c r="H386" t="s">
        <v>83</v>
      </c>
      <c r="I386" t="s">
        <v>82</v>
      </c>
      <c r="J386" t="s">
        <v>79</v>
      </c>
      <c r="K386" t="s">
        <v>78</v>
      </c>
      <c r="L386" t="s">
        <v>81</v>
      </c>
      <c r="M386" t="s">
        <v>9</v>
      </c>
      <c r="N386" t="s">
        <v>84</v>
      </c>
      <c r="O386" t="s">
        <v>75</v>
      </c>
      <c r="P386" t="s">
        <v>675</v>
      </c>
      <c r="Q386" t="s">
        <v>13</v>
      </c>
      <c r="R386" t="s">
        <v>860</v>
      </c>
      <c r="S386" t="s">
        <v>10</v>
      </c>
      <c r="T386" t="s">
        <v>690</v>
      </c>
      <c r="U386" t="s">
        <v>1241</v>
      </c>
      <c r="V386" t="s">
        <v>1231</v>
      </c>
    </row>
    <row r="390" spans="1:22">
      <c r="A390" s="206" t="s">
        <v>1242</v>
      </c>
    </row>
    <row r="391" spans="1:22">
      <c r="A391" s="212" t="s">
        <v>846</v>
      </c>
      <c r="B391" s="213"/>
      <c r="C391" s="213"/>
      <c r="D391" s="213"/>
      <c r="E391" s="213"/>
      <c r="F391" s="213"/>
      <c r="G391" s="213"/>
      <c r="H391" s="213"/>
      <c r="I391" s="213"/>
      <c r="J391" s="213"/>
      <c r="K391" s="213"/>
      <c r="L391" s="213"/>
      <c r="M391" s="213"/>
      <c r="N391" s="213">
        <v>0</v>
      </c>
      <c r="O391" s="213"/>
      <c r="P391" s="213"/>
      <c r="Q391" s="213"/>
      <c r="R391" s="213"/>
      <c r="S391" s="213"/>
      <c r="T391" s="213"/>
      <c r="U391" s="213"/>
      <c r="V391" s="205">
        <v>0</v>
      </c>
    </row>
    <row r="392" spans="1:22">
      <c r="A392" s="212" t="s">
        <v>428</v>
      </c>
      <c r="B392" s="213"/>
      <c r="C392" s="213"/>
      <c r="D392" s="213"/>
      <c r="E392" s="213"/>
      <c r="F392" s="213"/>
      <c r="G392" s="213"/>
      <c r="H392" s="213"/>
      <c r="I392" s="213"/>
      <c r="J392" s="213"/>
      <c r="K392" s="213"/>
      <c r="L392" s="213"/>
      <c r="M392" s="213"/>
      <c r="N392" s="213"/>
      <c r="O392" s="213"/>
      <c r="P392" s="213"/>
      <c r="Q392" s="213"/>
      <c r="R392" s="213"/>
      <c r="S392" s="213">
        <v>8</v>
      </c>
      <c r="T392" s="213"/>
      <c r="U392" s="213"/>
      <c r="V392" s="205">
        <v>8</v>
      </c>
    </row>
    <row r="393" spans="1:22">
      <c r="A393" s="212" t="s">
        <v>272</v>
      </c>
      <c r="B393" s="213"/>
      <c r="C393" s="213"/>
      <c r="D393" s="213"/>
      <c r="E393" s="213"/>
      <c r="F393" s="213"/>
      <c r="G393" s="213"/>
      <c r="H393" s="213"/>
      <c r="I393" s="213"/>
      <c r="J393" s="213"/>
      <c r="K393" s="213"/>
      <c r="L393" s="213"/>
      <c r="M393" s="213"/>
      <c r="N393" s="213"/>
      <c r="O393" s="213"/>
      <c r="P393" s="213"/>
      <c r="Q393" s="213"/>
      <c r="R393" s="213"/>
      <c r="S393" s="213"/>
      <c r="T393" s="213"/>
      <c r="U393" s="213">
        <v>0</v>
      </c>
      <c r="V393" s="205">
        <v>0</v>
      </c>
    </row>
    <row r="394" spans="1:22">
      <c r="A394" s="212" t="s">
        <v>274</v>
      </c>
      <c r="B394" s="213"/>
      <c r="C394" s="213"/>
      <c r="D394" s="213"/>
      <c r="E394" s="213"/>
      <c r="F394" s="213"/>
      <c r="G394" s="213"/>
      <c r="H394" s="213"/>
      <c r="I394" s="213"/>
      <c r="J394" s="213"/>
      <c r="K394" s="213"/>
      <c r="L394" s="213"/>
      <c r="M394" s="213"/>
      <c r="N394" s="213"/>
      <c r="O394" s="213">
        <v>0</v>
      </c>
      <c r="P394" s="213"/>
      <c r="Q394" s="213"/>
      <c r="R394" s="213"/>
      <c r="S394" s="213"/>
      <c r="T394" s="213"/>
      <c r="U394" s="213"/>
      <c r="V394" s="205">
        <v>0</v>
      </c>
    </row>
    <row r="395" spans="1:22">
      <c r="A395" s="212" t="s">
        <v>677</v>
      </c>
      <c r="B395" s="213"/>
      <c r="C395" s="213"/>
      <c r="D395" s="213"/>
      <c r="E395" s="213"/>
      <c r="F395" s="213"/>
      <c r="G395" s="213"/>
      <c r="H395" s="213"/>
      <c r="I395" s="213"/>
      <c r="J395" s="213"/>
      <c r="K395" s="213"/>
      <c r="L395" s="213"/>
      <c r="M395" s="213"/>
      <c r="N395" s="213"/>
      <c r="O395" s="213">
        <v>0</v>
      </c>
      <c r="P395" s="213"/>
      <c r="Q395" s="213"/>
      <c r="R395" s="213"/>
      <c r="S395" s="213"/>
      <c r="T395" s="213"/>
      <c r="U395" s="213"/>
      <c r="V395" s="205">
        <v>0</v>
      </c>
    </row>
    <row r="396" spans="1:22">
      <c r="A396" s="212" t="s">
        <v>337</v>
      </c>
      <c r="B396" s="213"/>
      <c r="C396" s="213"/>
      <c r="D396" s="213"/>
      <c r="E396" s="213"/>
      <c r="F396" s="213"/>
      <c r="G396" s="213"/>
      <c r="H396" s="213">
        <v>0</v>
      </c>
      <c r="I396" s="213"/>
      <c r="J396" s="213"/>
      <c r="K396" s="213"/>
      <c r="L396" s="213"/>
      <c r="M396" s="213"/>
      <c r="N396" s="213"/>
      <c r="O396" s="213"/>
      <c r="P396" s="213"/>
      <c r="Q396" s="213"/>
      <c r="R396" s="213"/>
      <c r="S396" s="213"/>
      <c r="T396" s="213"/>
      <c r="U396" s="213"/>
      <c r="V396" s="205">
        <v>0</v>
      </c>
    </row>
    <row r="397" spans="1:22">
      <c r="A397" s="212" t="s">
        <v>339</v>
      </c>
      <c r="B397" s="213"/>
      <c r="C397" s="213"/>
      <c r="D397" s="213"/>
      <c r="E397" s="213"/>
      <c r="F397" s="213"/>
      <c r="G397" s="213"/>
      <c r="H397" s="213">
        <v>0</v>
      </c>
      <c r="I397" s="213"/>
      <c r="J397" s="213"/>
      <c r="K397" s="213"/>
      <c r="L397" s="213"/>
      <c r="M397" s="213"/>
      <c r="N397" s="213"/>
      <c r="O397" s="213"/>
      <c r="P397" s="213"/>
      <c r="Q397" s="213"/>
      <c r="R397" s="213"/>
      <c r="S397" s="213"/>
      <c r="T397" s="213"/>
      <c r="U397" s="213"/>
      <c r="V397" s="205">
        <v>0</v>
      </c>
    </row>
    <row r="398" spans="1:22">
      <c r="A398" s="212" t="s">
        <v>678</v>
      </c>
      <c r="B398" s="213"/>
      <c r="C398" s="213"/>
      <c r="D398" s="213"/>
      <c r="E398" s="213"/>
      <c r="F398" s="213"/>
      <c r="G398" s="213"/>
      <c r="H398" s="213">
        <v>0</v>
      </c>
      <c r="I398" s="213"/>
      <c r="J398" s="213"/>
      <c r="K398" s="213"/>
      <c r="L398" s="213"/>
      <c r="M398" s="213"/>
      <c r="N398" s="213"/>
      <c r="O398" s="213"/>
      <c r="P398" s="213"/>
      <c r="Q398" s="213"/>
      <c r="R398" s="213"/>
      <c r="S398" s="213"/>
      <c r="T398" s="213"/>
      <c r="U398" s="213"/>
      <c r="V398" s="205">
        <v>0</v>
      </c>
    </row>
    <row r="399" spans="1:22">
      <c r="A399" s="212" t="s">
        <v>835</v>
      </c>
      <c r="B399" s="213"/>
      <c r="C399" s="213"/>
      <c r="D399" s="213"/>
      <c r="E399" s="213"/>
      <c r="F399" s="213"/>
      <c r="G399" s="213"/>
      <c r="H399" s="213"/>
      <c r="I399" s="213"/>
      <c r="J399" s="213"/>
      <c r="K399" s="213"/>
      <c r="L399" s="213"/>
      <c r="M399" s="213"/>
      <c r="N399" s="213"/>
      <c r="O399" s="213"/>
      <c r="P399" s="213"/>
      <c r="Q399" s="213"/>
      <c r="R399" s="213"/>
      <c r="S399" s="213"/>
      <c r="T399" s="213"/>
      <c r="U399" s="213">
        <v>160</v>
      </c>
      <c r="V399" s="205">
        <v>160</v>
      </c>
    </row>
    <row r="400" spans="1:22">
      <c r="A400" s="212" t="s">
        <v>834</v>
      </c>
      <c r="B400" s="213"/>
      <c r="C400" s="213"/>
      <c r="D400" s="213"/>
      <c r="E400" s="213"/>
      <c r="F400" s="213"/>
      <c r="G400" s="213"/>
      <c r="H400" s="213"/>
      <c r="I400" s="213"/>
      <c r="J400" s="213"/>
      <c r="K400" s="213"/>
      <c r="L400" s="213"/>
      <c r="M400" s="213"/>
      <c r="N400" s="213"/>
      <c r="O400" s="213"/>
      <c r="P400" s="213"/>
      <c r="Q400" s="213"/>
      <c r="R400" s="213"/>
      <c r="S400" s="213"/>
      <c r="T400" s="213">
        <v>28</v>
      </c>
      <c r="U400" s="213"/>
      <c r="V400" s="205">
        <v>28</v>
      </c>
    </row>
    <row r="401" spans="1:22">
      <c r="A401" s="212" t="s">
        <v>308</v>
      </c>
      <c r="B401" s="213"/>
      <c r="C401" s="213"/>
      <c r="D401" s="213"/>
      <c r="E401" s="213"/>
      <c r="F401" s="213"/>
      <c r="G401" s="213"/>
      <c r="H401" s="213"/>
      <c r="I401" s="213"/>
      <c r="J401" s="213"/>
      <c r="K401" s="213"/>
      <c r="L401" s="213">
        <v>120</v>
      </c>
      <c r="M401" s="213"/>
      <c r="N401" s="213"/>
      <c r="O401" s="213"/>
      <c r="P401" s="213"/>
      <c r="Q401" s="213"/>
      <c r="R401" s="213"/>
      <c r="S401" s="213"/>
      <c r="T401" s="213"/>
      <c r="U401" s="213"/>
      <c r="V401" s="205">
        <v>120</v>
      </c>
    </row>
    <row r="402" spans="1:22">
      <c r="A402" s="212" t="s">
        <v>838</v>
      </c>
      <c r="B402" s="213"/>
      <c r="C402" s="213"/>
      <c r="D402" s="213"/>
      <c r="E402" s="213"/>
      <c r="F402" s="213"/>
      <c r="G402" s="213"/>
      <c r="H402" s="213"/>
      <c r="I402" s="213"/>
      <c r="J402" s="213"/>
      <c r="K402" s="213"/>
      <c r="L402" s="213"/>
      <c r="M402" s="213"/>
      <c r="N402" s="213"/>
      <c r="O402" s="213">
        <v>0</v>
      </c>
      <c r="P402" s="213"/>
      <c r="Q402" s="213"/>
      <c r="R402" s="213"/>
      <c r="S402" s="213"/>
      <c r="T402" s="213"/>
      <c r="U402" s="213"/>
      <c r="V402" s="205">
        <v>0</v>
      </c>
    </row>
    <row r="403" spans="1:22">
      <c r="A403" s="212" t="s">
        <v>1159</v>
      </c>
      <c r="B403" s="213"/>
      <c r="C403" s="213"/>
      <c r="D403" s="213"/>
      <c r="E403" s="213"/>
      <c r="F403" s="213"/>
      <c r="G403" s="213"/>
      <c r="H403" s="213"/>
      <c r="I403" s="213"/>
      <c r="J403" s="213"/>
      <c r="K403" s="213"/>
      <c r="L403" s="213"/>
      <c r="M403" s="213"/>
      <c r="N403" s="213"/>
      <c r="O403" s="213"/>
      <c r="P403" s="213"/>
      <c r="Q403" s="213"/>
      <c r="R403" s="213">
        <v>80</v>
      </c>
      <c r="S403" s="213"/>
      <c r="T403" s="213"/>
      <c r="U403" s="213"/>
      <c r="V403" s="205">
        <v>80</v>
      </c>
    </row>
    <row r="404" spans="1:22">
      <c r="A404" s="212" t="s">
        <v>391</v>
      </c>
      <c r="B404" s="213"/>
      <c r="C404" s="213"/>
      <c r="D404" s="213"/>
      <c r="E404" s="213"/>
      <c r="F404" s="213"/>
      <c r="G404" s="213"/>
      <c r="H404" s="213">
        <v>60</v>
      </c>
      <c r="I404" s="213"/>
      <c r="J404" s="213"/>
      <c r="K404" s="213"/>
      <c r="L404" s="213"/>
      <c r="M404" s="213"/>
      <c r="N404" s="213"/>
      <c r="O404" s="213"/>
      <c r="P404" s="213"/>
      <c r="Q404" s="213"/>
      <c r="R404" s="213"/>
      <c r="S404" s="213"/>
      <c r="T404" s="213"/>
      <c r="U404" s="213"/>
      <c r="V404" s="205">
        <v>60</v>
      </c>
    </row>
    <row r="405" spans="1:22">
      <c r="A405" s="212" t="s">
        <v>601</v>
      </c>
      <c r="B405" s="213"/>
      <c r="C405" s="213"/>
      <c r="D405" s="213"/>
      <c r="E405" s="213"/>
      <c r="F405" s="213"/>
      <c r="G405" s="213"/>
      <c r="H405" s="213">
        <v>0</v>
      </c>
      <c r="I405" s="213"/>
      <c r="J405" s="213"/>
      <c r="K405" s="213"/>
      <c r="L405" s="213"/>
      <c r="M405" s="213"/>
      <c r="N405" s="213"/>
      <c r="O405" s="213"/>
      <c r="P405" s="213"/>
      <c r="Q405" s="213"/>
      <c r="R405" s="213"/>
      <c r="S405" s="213"/>
      <c r="T405" s="213"/>
      <c r="U405" s="213"/>
      <c r="V405" s="205">
        <v>0</v>
      </c>
    </row>
    <row r="406" spans="1:22">
      <c r="A406" s="212" t="s">
        <v>679</v>
      </c>
      <c r="B406" s="213"/>
      <c r="C406" s="213"/>
      <c r="D406" s="213"/>
      <c r="E406" s="213"/>
      <c r="F406" s="213"/>
      <c r="G406" s="213"/>
      <c r="H406" s="213">
        <v>0</v>
      </c>
      <c r="I406" s="213"/>
      <c r="J406" s="213"/>
      <c r="K406" s="213"/>
      <c r="L406" s="213"/>
      <c r="M406" s="213"/>
      <c r="N406" s="213"/>
      <c r="O406" s="213"/>
      <c r="P406" s="213"/>
      <c r="Q406" s="213"/>
      <c r="R406" s="213"/>
      <c r="S406" s="213"/>
      <c r="T406" s="213"/>
      <c r="U406" s="213"/>
      <c r="V406" s="205">
        <v>0</v>
      </c>
    </row>
    <row r="407" spans="1:22">
      <c r="A407" s="212" t="s">
        <v>430</v>
      </c>
      <c r="B407" s="213"/>
      <c r="C407" s="213"/>
      <c r="D407" s="213"/>
      <c r="E407" s="213"/>
      <c r="F407" s="213"/>
      <c r="G407" s="213"/>
      <c r="H407" s="213"/>
      <c r="I407" s="213"/>
      <c r="J407" s="213"/>
      <c r="K407" s="213"/>
      <c r="L407" s="213">
        <v>96</v>
      </c>
      <c r="M407" s="213"/>
      <c r="N407" s="213"/>
      <c r="O407" s="213"/>
      <c r="P407" s="213"/>
      <c r="Q407" s="213"/>
      <c r="R407" s="213"/>
      <c r="S407" s="213"/>
      <c r="T407" s="213"/>
      <c r="U407" s="213"/>
      <c r="V407" s="205">
        <v>96</v>
      </c>
    </row>
    <row r="408" spans="1:22">
      <c r="A408" s="212" t="s">
        <v>432</v>
      </c>
      <c r="B408" s="213"/>
      <c r="C408" s="213"/>
      <c r="D408" s="213"/>
      <c r="E408" s="213">
        <v>180</v>
      </c>
      <c r="F408" s="213"/>
      <c r="G408" s="213"/>
      <c r="H408" s="213"/>
      <c r="I408" s="213"/>
      <c r="J408" s="213"/>
      <c r="K408" s="213"/>
      <c r="L408" s="213"/>
      <c r="M408" s="213"/>
      <c r="N408" s="213"/>
      <c r="O408" s="213"/>
      <c r="P408" s="213"/>
      <c r="Q408" s="213"/>
      <c r="R408" s="213"/>
      <c r="S408" s="213"/>
      <c r="T408" s="213"/>
      <c r="U408" s="213"/>
      <c r="V408" s="205">
        <v>180</v>
      </c>
    </row>
    <row r="409" spans="1:22">
      <c r="A409" s="212" t="s">
        <v>434</v>
      </c>
      <c r="B409" s="213"/>
      <c r="C409" s="213"/>
      <c r="D409" s="213">
        <v>60</v>
      </c>
      <c r="E409" s="213"/>
      <c r="F409" s="213"/>
      <c r="G409" s="213"/>
      <c r="H409" s="213"/>
      <c r="I409" s="213"/>
      <c r="J409" s="213"/>
      <c r="K409" s="213"/>
      <c r="L409" s="213"/>
      <c r="M409" s="213"/>
      <c r="N409" s="213"/>
      <c r="O409" s="213"/>
      <c r="P409" s="213"/>
      <c r="Q409" s="213"/>
      <c r="R409" s="213"/>
      <c r="S409" s="213"/>
      <c r="T409" s="213"/>
      <c r="U409" s="213"/>
      <c r="V409" s="205">
        <v>60</v>
      </c>
    </row>
    <row r="410" spans="1:22">
      <c r="A410" s="212" t="s">
        <v>172</v>
      </c>
      <c r="B410" s="213"/>
      <c r="C410" s="213"/>
      <c r="D410" s="213"/>
      <c r="E410" s="213"/>
      <c r="F410" s="213"/>
      <c r="G410" s="213"/>
      <c r="H410" s="213"/>
      <c r="I410" s="213"/>
      <c r="J410" s="213"/>
      <c r="K410" s="213"/>
      <c r="L410" s="213"/>
      <c r="M410" s="213"/>
      <c r="N410" s="213"/>
      <c r="O410" s="213">
        <v>0</v>
      </c>
      <c r="P410" s="213"/>
      <c r="Q410" s="213"/>
      <c r="R410" s="213"/>
      <c r="S410" s="213"/>
      <c r="T410" s="213"/>
      <c r="U410" s="213"/>
      <c r="V410" s="205">
        <v>0</v>
      </c>
    </row>
    <row r="411" spans="1:22">
      <c r="A411" s="212" t="s">
        <v>174</v>
      </c>
      <c r="B411" s="213"/>
      <c r="C411" s="213"/>
      <c r="D411" s="213"/>
      <c r="E411" s="213"/>
      <c r="F411" s="213"/>
      <c r="G411" s="213"/>
      <c r="H411" s="213"/>
      <c r="I411" s="213"/>
      <c r="J411" s="213"/>
      <c r="K411" s="213"/>
      <c r="L411" s="213"/>
      <c r="M411" s="213"/>
      <c r="N411" s="213"/>
      <c r="O411" s="213">
        <v>0</v>
      </c>
      <c r="P411" s="213"/>
      <c r="Q411" s="213"/>
      <c r="R411" s="213"/>
      <c r="S411" s="213"/>
      <c r="T411" s="213"/>
      <c r="U411" s="213"/>
      <c r="V411" s="205">
        <v>0</v>
      </c>
    </row>
    <row r="412" spans="1:22">
      <c r="A412" s="212" t="s">
        <v>436</v>
      </c>
      <c r="B412" s="213"/>
      <c r="C412" s="213"/>
      <c r="D412" s="213"/>
      <c r="E412" s="213"/>
      <c r="F412" s="213"/>
      <c r="G412" s="213"/>
      <c r="H412" s="213"/>
      <c r="I412" s="213"/>
      <c r="J412" s="213"/>
      <c r="K412" s="213"/>
      <c r="L412" s="213"/>
      <c r="M412" s="213"/>
      <c r="N412" s="213"/>
      <c r="O412" s="213"/>
      <c r="P412" s="213"/>
      <c r="Q412" s="213"/>
      <c r="R412" s="213"/>
      <c r="S412" s="213">
        <v>0</v>
      </c>
      <c r="T412" s="213"/>
      <c r="U412" s="213"/>
      <c r="V412" s="205">
        <v>0</v>
      </c>
    </row>
    <row r="413" spans="1:22">
      <c r="A413" s="212" t="s">
        <v>863</v>
      </c>
      <c r="B413" s="213"/>
      <c r="C413" s="213"/>
      <c r="D413" s="213"/>
      <c r="E413" s="213"/>
      <c r="F413" s="213"/>
      <c r="G413" s="213"/>
      <c r="H413" s="213"/>
      <c r="I413" s="213"/>
      <c r="J413" s="213"/>
      <c r="K413" s="213"/>
      <c r="L413" s="213"/>
      <c r="M413" s="213"/>
      <c r="N413" s="213"/>
      <c r="O413" s="213"/>
      <c r="P413" s="213"/>
      <c r="Q413" s="213"/>
      <c r="R413" s="213">
        <v>140</v>
      </c>
      <c r="S413" s="213"/>
      <c r="T413" s="213"/>
      <c r="U413" s="213"/>
      <c r="V413" s="205">
        <v>140</v>
      </c>
    </row>
    <row r="414" spans="1:22">
      <c r="A414" s="212" t="s">
        <v>1083</v>
      </c>
      <c r="B414" s="213"/>
      <c r="C414" s="213"/>
      <c r="D414" s="213"/>
      <c r="E414" s="213"/>
      <c r="F414" s="213"/>
      <c r="G414" s="213"/>
      <c r="H414" s="213"/>
      <c r="I414" s="213"/>
      <c r="J414" s="213"/>
      <c r="K414" s="213"/>
      <c r="L414" s="213"/>
      <c r="M414" s="213"/>
      <c r="N414" s="213"/>
      <c r="O414" s="213"/>
      <c r="P414" s="213"/>
      <c r="Q414" s="213"/>
      <c r="R414" s="213"/>
      <c r="S414" s="213"/>
      <c r="T414" s="213"/>
      <c r="U414" s="213">
        <v>0</v>
      </c>
      <c r="V414" s="205">
        <v>0</v>
      </c>
    </row>
    <row r="415" spans="1:22">
      <c r="A415" s="212" t="s">
        <v>438</v>
      </c>
      <c r="B415" s="213"/>
      <c r="C415" s="213"/>
      <c r="D415" s="213"/>
      <c r="E415" s="213"/>
      <c r="F415" s="213"/>
      <c r="G415" s="213"/>
      <c r="H415" s="213"/>
      <c r="I415" s="213"/>
      <c r="J415" s="213"/>
      <c r="K415" s="213"/>
      <c r="L415" s="213"/>
      <c r="M415" s="213"/>
      <c r="N415" s="213"/>
      <c r="O415" s="213">
        <v>0</v>
      </c>
      <c r="P415" s="213"/>
      <c r="Q415" s="213"/>
      <c r="R415" s="213"/>
      <c r="S415" s="213"/>
      <c r="T415" s="213"/>
      <c r="U415" s="213"/>
      <c r="V415" s="205">
        <v>0</v>
      </c>
    </row>
    <row r="416" spans="1:22">
      <c r="A416" s="212" t="s">
        <v>440</v>
      </c>
      <c r="B416" s="213"/>
      <c r="C416" s="213"/>
      <c r="D416" s="213"/>
      <c r="E416" s="213"/>
      <c r="F416" s="213"/>
      <c r="G416" s="213"/>
      <c r="H416" s="213"/>
      <c r="I416" s="213"/>
      <c r="J416" s="213"/>
      <c r="K416" s="213"/>
      <c r="L416" s="213">
        <v>112</v>
      </c>
      <c r="M416" s="213"/>
      <c r="N416" s="213"/>
      <c r="O416" s="213"/>
      <c r="P416" s="213"/>
      <c r="Q416" s="213"/>
      <c r="R416" s="213"/>
      <c r="S416" s="213"/>
      <c r="T416" s="213"/>
      <c r="U416" s="213"/>
      <c r="V416" s="205">
        <v>112</v>
      </c>
    </row>
    <row r="417" spans="1:22">
      <c r="A417" s="212" t="s">
        <v>199</v>
      </c>
      <c r="B417" s="213"/>
      <c r="C417" s="213"/>
      <c r="D417" s="213"/>
      <c r="E417" s="213"/>
      <c r="F417" s="213"/>
      <c r="G417" s="213"/>
      <c r="H417" s="213"/>
      <c r="I417" s="213">
        <v>0</v>
      </c>
      <c r="J417" s="213"/>
      <c r="K417" s="213"/>
      <c r="L417" s="213"/>
      <c r="M417" s="213"/>
      <c r="N417" s="213"/>
      <c r="O417" s="213"/>
      <c r="P417" s="213"/>
      <c r="Q417" s="213"/>
      <c r="R417" s="213"/>
      <c r="S417" s="213"/>
      <c r="T417" s="213"/>
      <c r="U417" s="213"/>
      <c r="V417" s="205">
        <v>0</v>
      </c>
    </row>
    <row r="418" spans="1:22">
      <c r="A418" s="212" t="s">
        <v>311</v>
      </c>
      <c r="B418" s="213"/>
      <c r="C418" s="213"/>
      <c r="D418" s="213"/>
      <c r="E418" s="213">
        <v>132</v>
      </c>
      <c r="F418" s="213"/>
      <c r="G418" s="213"/>
      <c r="H418" s="213"/>
      <c r="I418" s="213"/>
      <c r="J418" s="213"/>
      <c r="K418" s="213"/>
      <c r="L418" s="213"/>
      <c r="M418" s="213"/>
      <c r="N418" s="213"/>
      <c r="O418" s="213"/>
      <c r="P418" s="213"/>
      <c r="Q418" s="213"/>
      <c r="R418" s="213"/>
      <c r="S418" s="213"/>
      <c r="T418" s="213"/>
      <c r="U418" s="213"/>
      <c r="V418" s="205">
        <v>132</v>
      </c>
    </row>
    <row r="419" spans="1:22">
      <c r="A419" s="212" t="s">
        <v>194</v>
      </c>
      <c r="B419" s="213"/>
      <c r="C419" s="213"/>
      <c r="D419" s="213"/>
      <c r="E419" s="213"/>
      <c r="F419" s="213"/>
      <c r="G419" s="213"/>
      <c r="H419" s="213"/>
      <c r="I419" s="213"/>
      <c r="J419" s="213"/>
      <c r="K419" s="213"/>
      <c r="L419" s="213"/>
      <c r="M419" s="213"/>
      <c r="N419" s="213">
        <v>0</v>
      </c>
      <c r="O419" s="213"/>
      <c r="P419" s="213"/>
      <c r="Q419" s="213"/>
      <c r="R419" s="213"/>
      <c r="S419" s="213"/>
      <c r="T419" s="213"/>
      <c r="U419" s="213"/>
      <c r="V419" s="205">
        <v>0</v>
      </c>
    </row>
    <row r="420" spans="1:22">
      <c r="A420" s="212" t="s">
        <v>442</v>
      </c>
      <c r="B420" s="213"/>
      <c r="C420" s="213"/>
      <c r="D420" s="213"/>
      <c r="E420" s="213"/>
      <c r="F420" s="213"/>
      <c r="G420" s="213"/>
      <c r="H420" s="213"/>
      <c r="I420" s="213"/>
      <c r="J420" s="213"/>
      <c r="K420" s="213">
        <v>20</v>
      </c>
      <c r="L420" s="213"/>
      <c r="M420" s="213"/>
      <c r="N420" s="213"/>
      <c r="O420" s="213"/>
      <c r="P420" s="213"/>
      <c r="Q420" s="213"/>
      <c r="R420" s="213"/>
      <c r="S420" s="213"/>
      <c r="T420" s="213"/>
      <c r="U420" s="213"/>
      <c r="V420" s="205">
        <v>20</v>
      </c>
    </row>
    <row r="421" spans="1:22">
      <c r="A421" s="212" t="s">
        <v>444</v>
      </c>
      <c r="B421" s="213"/>
      <c r="C421" s="213"/>
      <c r="D421" s="213">
        <v>44</v>
      </c>
      <c r="E421" s="213"/>
      <c r="F421" s="213"/>
      <c r="G421" s="213"/>
      <c r="H421" s="213"/>
      <c r="I421" s="213"/>
      <c r="J421" s="213"/>
      <c r="K421" s="213"/>
      <c r="L421" s="213"/>
      <c r="M421" s="213"/>
      <c r="N421" s="213"/>
      <c r="O421" s="213"/>
      <c r="P421" s="213"/>
      <c r="Q421" s="213"/>
      <c r="R421" s="213"/>
      <c r="S421" s="213"/>
      <c r="T421" s="213"/>
      <c r="U421" s="213"/>
      <c r="V421" s="205">
        <v>44</v>
      </c>
    </row>
    <row r="422" spans="1:22">
      <c r="A422" s="212" t="s">
        <v>446</v>
      </c>
      <c r="B422" s="213"/>
      <c r="C422" s="213"/>
      <c r="D422" s="213">
        <v>40</v>
      </c>
      <c r="E422" s="213"/>
      <c r="F422" s="213"/>
      <c r="G422" s="213"/>
      <c r="H422" s="213"/>
      <c r="I422" s="213"/>
      <c r="J422" s="213"/>
      <c r="K422" s="213"/>
      <c r="L422" s="213"/>
      <c r="M422" s="213"/>
      <c r="N422" s="213"/>
      <c r="O422" s="213"/>
      <c r="P422" s="213"/>
      <c r="Q422" s="213"/>
      <c r="R422" s="213"/>
      <c r="S422" s="213"/>
      <c r="T422" s="213"/>
      <c r="U422" s="213"/>
      <c r="V422" s="205">
        <v>40</v>
      </c>
    </row>
    <row r="423" spans="1:22">
      <c r="A423" s="212" t="s">
        <v>232</v>
      </c>
      <c r="B423" s="213"/>
      <c r="C423" s="213"/>
      <c r="D423" s="213"/>
      <c r="E423" s="213"/>
      <c r="F423" s="213"/>
      <c r="G423" s="213"/>
      <c r="H423" s="213"/>
      <c r="I423" s="213"/>
      <c r="J423" s="213"/>
      <c r="K423" s="213"/>
      <c r="L423" s="213"/>
      <c r="M423" s="213"/>
      <c r="N423" s="213"/>
      <c r="O423" s="213"/>
      <c r="P423" s="213"/>
      <c r="Q423" s="213"/>
      <c r="R423" s="213"/>
      <c r="S423" s="213"/>
      <c r="T423" s="213">
        <v>8</v>
      </c>
      <c r="U423" s="213"/>
      <c r="V423" s="205">
        <v>8</v>
      </c>
    </row>
    <row r="424" spans="1:22">
      <c r="A424" s="212" t="s">
        <v>234</v>
      </c>
      <c r="B424" s="213"/>
      <c r="C424" s="213"/>
      <c r="D424" s="213"/>
      <c r="E424" s="213"/>
      <c r="F424" s="213"/>
      <c r="G424" s="213"/>
      <c r="H424" s="213"/>
      <c r="I424" s="213"/>
      <c r="J424" s="213">
        <v>256</v>
      </c>
      <c r="K424" s="213"/>
      <c r="L424" s="213"/>
      <c r="M424" s="213"/>
      <c r="N424" s="213"/>
      <c r="O424" s="213"/>
      <c r="P424" s="213"/>
      <c r="Q424" s="213"/>
      <c r="R424" s="213"/>
      <c r="S424" s="213"/>
      <c r="T424" s="213"/>
      <c r="U424" s="213"/>
      <c r="V424" s="205">
        <v>256</v>
      </c>
    </row>
    <row r="425" spans="1:22">
      <c r="A425" s="212" t="s">
        <v>236</v>
      </c>
      <c r="B425" s="213"/>
      <c r="C425" s="213"/>
      <c r="D425" s="213"/>
      <c r="E425" s="213"/>
      <c r="F425" s="213"/>
      <c r="G425" s="213"/>
      <c r="H425" s="213"/>
      <c r="I425" s="213"/>
      <c r="J425" s="213"/>
      <c r="K425" s="213"/>
      <c r="L425" s="213"/>
      <c r="M425" s="213"/>
      <c r="N425" s="213"/>
      <c r="O425" s="213">
        <v>0</v>
      </c>
      <c r="P425" s="213"/>
      <c r="Q425" s="213"/>
      <c r="R425" s="213"/>
      <c r="S425" s="213"/>
      <c r="T425" s="213"/>
      <c r="U425" s="213"/>
      <c r="V425" s="205">
        <v>0</v>
      </c>
    </row>
    <row r="426" spans="1:22">
      <c r="A426" s="212" t="s">
        <v>680</v>
      </c>
      <c r="B426" s="213"/>
      <c r="C426" s="213"/>
      <c r="D426" s="213"/>
      <c r="E426" s="213"/>
      <c r="F426" s="213"/>
      <c r="G426" s="213"/>
      <c r="H426" s="213"/>
      <c r="I426" s="213"/>
      <c r="J426" s="213"/>
      <c r="K426" s="213"/>
      <c r="L426" s="213"/>
      <c r="M426" s="213"/>
      <c r="N426" s="213"/>
      <c r="O426" s="213">
        <v>0</v>
      </c>
      <c r="P426" s="213"/>
      <c r="Q426" s="213"/>
      <c r="R426" s="213"/>
      <c r="S426" s="213"/>
      <c r="T426" s="213"/>
      <c r="U426" s="213"/>
      <c r="V426" s="205">
        <v>0</v>
      </c>
    </row>
    <row r="427" spans="1:22">
      <c r="A427" s="212" t="s">
        <v>237</v>
      </c>
      <c r="B427" s="213"/>
      <c r="C427" s="213"/>
      <c r="D427" s="213"/>
      <c r="E427" s="213"/>
      <c r="F427" s="213"/>
      <c r="G427" s="213"/>
      <c r="H427" s="213"/>
      <c r="I427" s="213"/>
      <c r="J427" s="213"/>
      <c r="K427" s="213"/>
      <c r="L427" s="213"/>
      <c r="M427" s="213"/>
      <c r="N427" s="213"/>
      <c r="O427" s="213">
        <v>0</v>
      </c>
      <c r="P427" s="213"/>
      <c r="Q427" s="213"/>
      <c r="R427" s="213"/>
      <c r="S427" s="213"/>
      <c r="T427" s="213"/>
      <c r="U427" s="213"/>
      <c r="V427" s="205">
        <v>0</v>
      </c>
    </row>
    <row r="428" spans="1:22">
      <c r="A428" s="212" t="s">
        <v>239</v>
      </c>
      <c r="B428" s="213"/>
      <c r="C428" s="213"/>
      <c r="D428" s="213"/>
      <c r="E428" s="213"/>
      <c r="F428" s="213"/>
      <c r="G428" s="213"/>
      <c r="H428" s="213"/>
      <c r="I428" s="213"/>
      <c r="J428" s="213"/>
      <c r="K428" s="213"/>
      <c r="L428" s="213"/>
      <c r="M428" s="213"/>
      <c r="N428" s="213"/>
      <c r="O428" s="213">
        <v>0</v>
      </c>
      <c r="P428" s="213"/>
      <c r="Q428" s="213"/>
      <c r="R428" s="213"/>
      <c r="S428" s="213"/>
      <c r="T428" s="213"/>
      <c r="U428" s="213"/>
      <c r="V428" s="205">
        <v>0</v>
      </c>
    </row>
    <row r="429" spans="1:22">
      <c r="A429" s="212" t="s">
        <v>861</v>
      </c>
      <c r="B429" s="213"/>
      <c r="C429" s="213"/>
      <c r="D429" s="213"/>
      <c r="E429" s="213"/>
      <c r="F429" s="213"/>
      <c r="G429" s="213"/>
      <c r="H429" s="213"/>
      <c r="I429" s="213"/>
      <c r="J429" s="213"/>
      <c r="K429" s="213"/>
      <c r="L429" s="213"/>
      <c r="M429" s="213"/>
      <c r="N429" s="213"/>
      <c r="O429" s="213"/>
      <c r="P429" s="213"/>
      <c r="Q429" s="213"/>
      <c r="R429" s="213"/>
      <c r="S429" s="213"/>
      <c r="T429" s="213">
        <v>20</v>
      </c>
      <c r="U429" s="213"/>
      <c r="V429" s="205">
        <v>20</v>
      </c>
    </row>
    <row r="430" spans="1:22">
      <c r="A430" s="212" t="s">
        <v>313</v>
      </c>
      <c r="B430" s="213"/>
      <c r="C430" s="213"/>
      <c r="D430" s="213"/>
      <c r="E430" s="213"/>
      <c r="F430" s="213"/>
      <c r="G430" s="213"/>
      <c r="H430" s="213"/>
      <c r="I430" s="213"/>
      <c r="J430" s="213">
        <v>20</v>
      </c>
      <c r="K430" s="213"/>
      <c r="L430" s="213"/>
      <c r="M430" s="213"/>
      <c r="N430" s="213"/>
      <c r="O430" s="213"/>
      <c r="P430" s="213"/>
      <c r="Q430" s="213"/>
      <c r="R430" s="213"/>
      <c r="S430" s="213"/>
      <c r="T430" s="213"/>
      <c r="U430" s="213"/>
      <c r="V430" s="205">
        <v>20</v>
      </c>
    </row>
    <row r="431" spans="1:22">
      <c r="A431" s="212" t="s">
        <v>316</v>
      </c>
      <c r="B431" s="213"/>
      <c r="C431" s="213"/>
      <c r="D431" s="213"/>
      <c r="E431" s="213"/>
      <c r="F431" s="213"/>
      <c r="G431" s="213"/>
      <c r="H431" s="213"/>
      <c r="I431" s="213"/>
      <c r="J431" s="213">
        <v>0</v>
      </c>
      <c r="K431" s="213"/>
      <c r="L431" s="213"/>
      <c r="M431" s="213"/>
      <c r="N431" s="213"/>
      <c r="O431" s="213"/>
      <c r="P431" s="213"/>
      <c r="Q431" s="213"/>
      <c r="R431" s="213"/>
      <c r="S431" s="213"/>
      <c r="T431" s="213"/>
      <c r="U431" s="213"/>
      <c r="V431" s="205">
        <v>0</v>
      </c>
    </row>
    <row r="432" spans="1:22">
      <c r="A432" s="212" t="s">
        <v>691</v>
      </c>
      <c r="B432" s="213"/>
      <c r="C432" s="213"/>
      <c r="D432" s="213"/>
      <c r="E432" s="213"/>
      <c r="F432" s="213"/>
      <c r="G432" s="213"/>
      <c r="H432" s="213"/>
      <c r="I432" s="213"/>
      <c r="J432" s="213">
        <v>0</v>
      </c>
      <c r="K432" s="213"/>
      <c r="L432" s="213"/>
      <c r="M432" s="213"/>
      <c r="N432" s="213"/>
      <c r="O432" s="213"/>
      <c r="P432" s="213"/>
      <c r="Q432" s="213"/>
      <c r="R432" s="213"/>
      <c r="S432" s="213"/>
      <c r="T432" s="213"/>
      <c r="U432" s="213"/>
      <c r="V432" s="205">
        <v>0</v>
      </c>
    </row>
    <row r="433" spans="1:22">
      <c r="A433" s="212" t="s">
        <v>784</v>
      </c>
      <c r="B433" s="213"/>
      <c r="C433" s="213"/>
      <c r="D433" s="213"/>
      <c r="E433" s="213"/>
      <c r="F433" s="213"/>
      <c r="G433" s="213"/>
      <c r="H433" s="213"/>
      <c r="I433" s="213"/>
      <c r="J433" s="213">
        <v>260</v>
      </c>
      <c r="K433" s="213"/>
      <c r="L433" s="213"/>
      <c r="M433" s="213"/>
      <c r="N433" s="213"/>
      <c r="O433" s="213"/>
      <c r="P433" s="213"/>
      <c r="Q433" s="213"/>
      <c r="R433" s="213"/>
      <c r="S433" s="213"/>
      <c r="T433" s="213"/>
      <c r="U433" s="213"/>
      <c r="V433" s="205">
        <v>260</v>
      </c>
    </row>
    <row r="434" spans="1:22">
      <c r="A434" s="212" t="s">
        <v>448</v>
      </c>
      <c r="B434" s="213"/>
      <c r="C434" s="213"/>
      <c r="D434" s="213"/>
      <c r="E434" s="213"/>
      <c r="F434" s="213"/>
      <c r="G434" s="213"/>
      <c r="H434" s="213"/>
      <c r="I434" s="213"/>
      <c r="J434" s="213"/>
      <c r="K434" s="213"/>
      <c r="L434" s="213"/>
      <c r="M434" s="213"/>
      <c r="N434" s="213"/>
      <c r="O434" s="213"/>
      <c r="P434" s="213"/>
      <c r="Q434" s="213"/>
      <c r="R434" s="213"/>
      <c r="S434" s="213"/>
      <c r="T434" s="213">
        <v>0</v>
      </c>
      <c r="U434" s="213"/>
      <c r="V434" s="205">
        <v>0</v>
      </c>
    </row>
    <row r="435" spans="1:22">
      <c r="A435" s="212" t="s">
        <v>317</v>
      </c>
      <c r="B435" s="213"/>
      <c r="C435" s="213"/>
      <c r="D435" s="213"/>
      <c r="E435" s="213"/>
      <c r="F435" s="213"/>
      <c r="G435" s="213"/>
      <c r="H435" s="213"/>
      <c r="I435" s="213"/>
      <c r="J435" s="213"/>
      <c r="K435" s="213"/>
      <c r="L435" s="213"/>
      <c r="M435" s="213"/>
      <c r="N435" s="213"/>
      <c r="O435" s="213"/>
      <c r="P435" s="213"/>
      <c r="Q435" s="213"/>
      <c r="R435" s="213"/>
      <c r="S435" s="213"/>
      <c r="T435" s="213">
        <v>0</v>
      </c>
      <c r="U435" s="213"/>
      <c r="V435" s="205">
        <v>0</v>
      </c>
    </row>
    <row r="436" spans="1:22">
      <c r="A436" s="212" t="s">
        <v>1107</v>
      </c>
      <c r="B436" s="213"/>
      <c r="C436" s="213"/>
      <c r="D436" s="213"/>
      <c r="E436" s="213"/>
      <c r="F436" s="213"/>
      <c r="G436" s="213"/>
      <c r="H436" s="213"/>
      <c r="I436" s="213"/>
      <c r="J436" s="213"/>
      <c r="K436" s="213"/>
      <c r="L436" s="213"/>
      <c r="M436" s="213"/>
      <c r="N436" s="213"/>
      <c r="O436" s="213"/>
      <c r="P436" s="213"/>
      <c r="Q436" s="213"/>
      <c r="R436" s="213"/>
      <c r="S436" s="213"/>
      <c r="T436" s="213"/>
      <c r="U436" s="213">
        <v>0</v>
      </c>
      <c r="V436" s="205">
        <v>0</v>
      </c>
    </row>
    <row r="437" spans="1:22">
      <c r="A437" s="212" t="s">
        <v>450</v>
      </c>
      <c r="B437" s="213"/>
      <c r="C437" s="213"/>
      <c r="D437" s="213"/>
      <c r="E437" s="213">
        <v>8</v>
      </c>
      <c r="F437" s="213"/>
      <c r="G437" s="213"/>
      <c r="H437" s="213"/>
      <c r="I437" s="213"/>
      <c r="J437" s="213"/>
      <c r="K437" s="213"/>
      <c r="L437" s="213"/>
      <c r="M437" s="213"/>
      <c r="N437" s="213"/>
      <c r="O437" s="213"/>
      <c r="P437" s="213"/>
      <c r="Q437" s="213"/>
      <c r="R437" s="213"/>
      <c r="S437" s="213"/>
      <c r="T437" s="213"/>
      <c r="U437" s="213"/>
      <c r="V437" s="205">
        <v>8</v>
      </c>
    </row>
    <row r="438" spans="1:22">
      <c r="A438" s="212" t="s">
        <v>319</v>
      </c>
      <c r="B438" s="213"/>
      <c r="C438" s="213"/>
      <c r="D438" s="213"/>
      <c r="E438" s="213"/>
      <c r="F438" s="213"/>
      <c r="G438" s="213"/>
      <c r="H438" s="213"/>
      <c r="I438" s="213"/>
      <c r="J438" s="213"/>
      <c r="K438" s="213">
        <v>40</v>
      </c>
      <c r="L438" s="213"/>
      <c r="M438" s="213"/>
      <c r="N438" s="213"/>
      <c r="O438" s="213"/>
      <c r="P438" s="213"/>
      <c r="Q438" s="213"/>
      <c r="R438" s="213"/>
      <c r="S438" s="213"/>
      <c r="T438" s="213"/>
      <c r="U438" s="213"/>
      <c r="V438" s="205">
        <v>40</v>
      </c>
    </row>
    <row r="439" spans="1:22">
      <c r="A439" s="212" t="s">
        <v>452</v>
      </c>
      <c r="B439" s="213"/>
      <c r="C439" s="213"/>
      <c r="D439" s="213"/>
      <c r="E439" s="213"/>
      <c r="F439" s="213"/>
      <c r="G439" s="213"/>
      <c r="H439" s="213"/>
      <c r="I439" s="213"/>
      <c r="J439" s="213"/>
      <c r="K439" s="213"/>
      <c r="L439" s="213">
        <v>96</v>
      </c>
      <c r="M439" s="213"/>
      <c r="N439" s="213"/>
      <c r="O439" s="213"/>
      <c r="P439" s="213"/>
      <c r="Q439" s="213"/>
      <c r="R439" s="213"/>
      <c r="S439" s="213"/>
      <c r="T439" s="213"/>
      <c r="U439" s="213"/>
      <c r="V439" s="205">
        <v>96</v>
      </c>
    </row>
    <row r="440" spans="1:22">
      <c r="A440" s="212" t="s">
        <v>410</v>
      </c>
      <c r="B440" s="213">
        <v>200</v>
      </c>
      <c r="C440" s="213"/>
      <c r="D440" s="213"/>
      <c r="E440" s="213"/>
      <c r="F440" s="213"/>
      <c r="G440" s="213"/>
      <c r="H440" s="213"/>
      <c r="I440" s="213"/>
      <c r="J440" s="213"/>
      <c r="K440" s="213"/>
      <c r="L440" s="213"/>
      <c r="M440" s="213"/>
      <c r="N440" s="213"/>
      <c r="O440" s="213"/>
      <c r="P440" s="213"/>
      <c r="Q440" s="213"/>
      <c r="R440" s="213"/>
      <c r="S440" s="213"/>
      <c r="T440" s="213"/>
      <c r="U440" s="213"/>
      <c r="V440" s="205">
        <v>200</v>
      </c>
    </row>
    <row r="441" spans="1:22">
      <c r="A441" s="212" t="s">
        <v>241</v>
      </c>
      <c r="B441" s="213"/>
      <c r="C441" s="213"/>
      <c r="D441" s="213"/>
      <c r="E441" s="213"/>
      <c r="F441" s="213"/>
      <c r="G441" s="213"/>
      <c r="H441" s="213"/>
      <c r="I441" s="213"/>
      <c r="J441" s="213"/>
      <c r="K441" s="213"/>
      <c r="L441" s="213"/>
      <c r="M441" s="213"/>
      <c r="N441" s="213"/>
      <c r="O441" s="213"/>
      <c r="P441" s="213"/>
      <c r="Q441" s="213"/>
      <c r="R441" s="213"/>
      <c r="S441" s="213"/>
      <c r="T441" s="213">
        <v>8</v>
      </c>
      <c r="U441" s="213"/>
      <c r="V441" s="205">
        <v>8</v>
      </c>
    </row>
    <row r="442" spans="1:22">
      <c r="A442" s="212" t="s">
        <v>855</v>
      </c>
      <c r="B442" s="213"/>
      <c r="C442" s="213"/>
      <c r="D442" s="213"/>
      <c r="E442" s="213"/>
      <c r="F442" s="213"/>
      <c r="G442" s="213"/>
      <c r="H442" s="213"/>
      <c r="I442" s="213"/>
      <c r="J442" s="213"/>
      <c r="K442" s="213"/>
      <c r="L442" s="213"/>
      <c r="M442" s="213"/>
      <c r="N442" s="213"/>
      <c r="O442" s="213"/>
      <c r="P442" s="213"/>
      <c r="Q442" s="213">
        <v>176</v>
      </c>
      <c r="R442" s="213"/>
      <c r="S442" s="213"/>
      <c r="T442" s="213"/>
      <c r="U442" s="213"/>
      <c r="V442" s="205">
        <v>176</v>
      </c>
    </row>
    <row r="443" spans="1:22">
      <c r="A443" s="212" t="s">
        <v>276</v>
      </c>
      <c r="B443" s="213">
        <v>0</v>
      </c>
      <c r="C443" s="213"/>
      <c r="D443" s="213"/>
      <c r="E443" s="213"/>
      <c r="F443" s="213"/>
      <c r="G443" s="213"/>
      <c r="H443" s="213"/>
      <c r="I443" s="213"/>
      <c r="J443" s="213"/>
      <c r="K443" s="213"/>
      <c r="L443" s="213"/>
      <c r="M443" s="213"/>
      <c r="N443" s="213"/>
      <c r="O443" s="213"/>
      <c r="P443" s="213"/>
      <c r="Q443" s="213"/>
      <c r="R443" s="213"/>
      <c r="S443" s="213"/>
      <c r="T443" s="213"/>
      <c r="U443" s="213"/>
      <c r="V443" s="205">
        <v>0</v>
      </c>
    </row>
    <row r="444" spans="1:22">
      <c r="A444" s="212" t="s">
        <v>783</v>
      </c>
      <c r="B444" s="213"/>
      <c r="C444" s="213"/>
      <c r="D444" s="213"/>
      <c r="E444" s="213"/>
      <c r="F444" s="213"/>
      <c r="G444" s="213"/>
      <c r="H444" s="213"/>
      <c r="I444" s="213"/>
      <c r="J444" s="213"/>
      <c r="K444" s="213"/>
      <c r="L444" s="213"/>
      <c r="M444" s="213"/>
      <c r="N444" s="213"/>
      <c r="O444" s="213"/>
      <c r="P444" s="213"/>
      <c r="Q444" s="213"/>
      <c r="R444" s="213"/>
      <c r="S444" s="213"/>
      <c r="T444" s="213">
        <v>0</v>
      </c>
      <c r="U444" s="213"/>
      <c r="V444" s="205">
        <v>0</v>
      </c>
    </row>
    <row r="445" spans="1:22">
      <c r="A445" s="212" t="s">
        <v>602</v>
      </c>
      <c r="B445" s="213"/>
      <c r="C445" s="213"/>
      <c r="D445" s="213"/>
      <c r="E445" s="213"/>
      <c r="F445" s="213"/>
      <c r="G445" s="213"/>
      <c r="H445" s="213"/>
      <c r="I445" s="213"/>
      <c r="J445" s="213"/>
      <c r="K445" s="213"/>
      <c r="L445" s="213"/>
      <c r="M445" s="213"/>
      <c r="N445" s="213"/>
      <c r="O445" s="213">
        <v>0</v>
      </c>
      <c r="P445" s="213"/>
      <c r="Q445" s="213"/>
      <c r="R445" s="213"/>
      <c r="S445" s="213"/>
      <c r="T445" s="213"/>
      <c r="U445" s="213"/>
      <c r="V445" s="205">
        <v>0</v>
      </c>
    </row>
    <row r="446" spans="1:22">
      <c r="A446" s="212" t="s">
        <v>279</v>
      </c>
      <c r="B446" s="213"/>
      <c r="C446" s="213"/>
      <c r="D446" s="213">
        <v>0</v>
      </c>
      <c r="E446" s="213"/>
      <c r="F446" s="213"/>
      <c r="G446" s="213"/>
      <c r="H446" s="213"/>
      <c r="I446" s="213"/>
      <c r="J446" s="213"/>
      <c r="K446" s="213"/>
      <c r="L446" s="213"/>
      <c r="M446" s="213"/>
      <c r="N446" s="213"/>
      <c r="O446" s="213"/>
      <c r="P446" s="213"/>
      <c r="Q446" s="213"/>
      <c r="R446" s="213"/>
      <c r="S446" s="213"/>
      <c r="T446" s="213"/>
      <c r="U446" s="213"/>
      <c r="V446" s="205">
        <v>0</v>
      </c>
    </row>
    <row r="447" spans="1:22">
      <c r="A447" s="212" t="s">
        <v>456</v>
      </c>
      <c r="B447" s="213"/>
      <c r="C447" s="213"/>
      <c r="D447" s="213"/>
      <c r="E447" s="213">
        <v>32</v>
      </c>
      <c r="F447" s="213"/>
      <c r="G447" s="213"/>
      <c r="H447" s="213"/>
      <c r="I447" s="213"/>
      <c r="J447" s="213"/>
      <c r="K447" s="213"/>
      <c r="L447" s="213"/>
      <c r="M447" s="213"/>
      <c r="N447" s="213"/>
      <c r="O447" s="213"/>
      <c r="P447" s="213"/>
      <c r="Q447" s="213"/>
      <c r="R447" s="213"/>
      <c r="S447" s="213"/>
      <c r="T447" s="213"/>
      <c r="U447" s="213"/>
      <c r="V447" s="205">
        <v>32</v>
      </c>
    </row>
    <row r="448" spans="1:22">
      <c r="A448" s="212" t="s">
        <v>340</v>
      </c>
      <c r="B448" s="213"/>
      <c r="C448" s="213"/>
      <c r="D448" s="213"/>
      <c r="E448" s="213"/>
      <c r="F448" s="213"/>
      <c r="G448" s="213"/>
      <c r="H448" s="213"/>
      <c r="I448" s="213"/>
      <c r="J448" s="213"/>
      <c r="K448" s="213"/>
      <c r="L448" s="213">
        <v>60</v>
      </c>
      <c r="M448" s="213"/>
      <c r="N448" s="213"/>
      <c r="O448" s="213"/>
      <c r="P448" s="213"/>
      <c r="Q448" s="213"/>
      <c r="R448" s="213"/>
      <c r="S448" s="213"/>
      <c r="T448" s="213"/>
      <c r="U448" s="213"/>
      <c r="V448" s="205">
        <v>60</v>
      </c>
    </row>
    <row r="449" spans="1:22">
      <c r="A449" s="212" t="s">
        <v>424</v>
      </c>
      <c r="B449" s="213"/>
      <c r="C449" s="213"/>
      <c r="D449" s="213"/>
      <c r="E449" s="213"/>
      <c r="F449" s="213"/>
      <c r="G449" s="213"/>
      <c r="H449" s="213"/>
      <c r="I449" s="213"/>
      <c r="J449" s="213"/>
      <c r="K449" s="213"/>
      <c r="L449" s="213">
        <v>0</v>
      </c>
      <c r="M449" s="213"/>
      <c r="N449" s="213"/>
      <c r="O449" s="213"/>
      <c r="P449" s="213"/>
      <c r="Q449" s="213"/>
      <c r="R449" s="213"/>
      <c r="S449" s="213"/>
      <c r="T449" s="213"/>
      <c r="U449" s="213"/>
      <c r="V449" s="205">
        <v>0</v>
      </c>
    </row>
    <row r="450" spans="1:22">
      <c r="A450" s="212" t="s">
        <v>425</v>
      </c>
      <c r="B450" s="213"/>
      <c r="C450" s="213"/>
      <c r="D450" s="213"/>
      <c r="E450" s="213"/>
      <c r="F450" s="213"/>
      <c r="G450" s="213"/>
      <c r="H450" s="213"/>
      <c r="I450" s="213"/>
      <c r="J450" s="213"/>
      <c r="K450" s="213"/>
      <c r="L450" s="213">
        <v>0</v>
      </c>
      <c r="M450" s="213"/>
      <c r="N450" s="213"/>
      <c r="O450" s="213"/>
      <c r="P450" s="213"/>
      <c r="Q450" s="213"/>
      <c r="R450" s="213"/>
      <c r="S450" s="213"/>
      <c r="T450" s="213"/>
      <c r="U450" s="213"/>
      <c r="V450" s="205">
        <v>0</v>
      </c>
    </row>
    <row r="451" spans="1:22">
      <c r="A451" s="212" t="s">
        <v>459</v>
      </c>
      <c r="B451" s="213"/>
      <c r="C451" s="213"/>
      <c r="D451" s="213">
        <v>0</v>
      </c>
      <c r="E451" s="213"/>
      <c r="F451" s="213"/>
      <c r="G451" s="213"/>
      <c r="H451" s="213"/>
      <c r="I451" s="213"/>
      <c r="J451" s="213"/>
      <c r="K451" s="213"/>
      <c r="L451" s="213"/>
      <c r="M451" s="213"/>
      <c r="N451" s="213"/>
      <c r="O451" s="213"/>
      <c r="P451" s="213"/>
      <c r="Q451" s="213"/>
      <c r="R451" s="213"/>
      <c r="S451" s="213"/>
      <c r="T451" s="213"/>
      <c r="U451" s="213"/>
      <c r="V451" s="205">
        <v>0</v>
      </c>
    </row>
    <row r="452" spans="1:22">
      <c r="A452" s="212" t="s">
        <v>845</v>
      </c>
      <c r="B452" s="213"/>
      <c r="C452" s="213"/>
      <c r="D452" s="213"/>
      <c r="E452" s="213"/>
      <c r="F452" s="213"/>
      <c r="G452" s="213"/>
      <c r="H452" s="213"/>
      <c r="I452" s="213"/>
      <c r="J452" s="213"/>
      <c r="K452" s="213"/>
      <c r="L452" s="213"/>
      <c r="M452" s="213"/>
      <c r="N452" s="213"/>
      <c r="O452" s="213"/>
      <c r="P452" s="213"/>
      <c r="Q452" s="213"/>
      <c r="R452" s="213"/>
      <c r="S452" s="213">
        <v>0</v>
      </c>
      <c r="T452" s="213"/>
      <c r="U452" s="213"/>
      <c r="V452" s="205">
        <v>0</v>
      </c>
    </row>
    <row r="453" spans="1:22">
      <c r="A453" s="212" t="s">
        <v>282</v>
      </c>
      <c r="B453" s="213"/>
      <c r="C453" s="213"/>
      <c r="D453" s="213"/>
      <c r="E453" s="213"/>
      <c r="F453" s="213"/>
      <c r="G453" s="213"/>
      <c r="H453" s="213"/>
      <c r="I453" s="213"/>
      <c r="J453" s="213"/>
      <c r="K453" s="213"/>
      <c r="L453" s="213"/>
      <c r="M453" s="213"/>
      <c r="N453" s="213"/>
      <c r="O453" s="213"/>
      <c r="P453" s="213"/>
      <c r="Q453" s="213"/>
      <c r="R453" s="213">
        <v>0</v>
      </c>
      <c r="S453" s="213"/>
      <c r="T453" s="213"/>
      <c r="U453" s="213"/>
      <c r="V453" s="205">
        <v>0</v>
      </c>
    </row>
    <row r="454" spans="1:22">
      <c r="A454" s="212" t="s">
        <v>461</v>
      </c>
      <c r="B454" s="213"/>
      <c r="C454" s="213"/>
      <c r="D454" s="213">
        <v>20</v>
      </c>
      <c r="E454" s="213"/>
      <c r="F454" s="213"/>
      <c r="G454" s="213"/>
      <c r="H454" s="213"/>
      <c r="I454" s="213"/>
      <c r="J454" s="213"/>
      <c r="K454" s="213"/>
      <c r="L454" s="213"/>
      <c r="M454" s="213"/>
      <c r="N454" s="213"/>
      <c r="O454" s="213"/>
      <c r="P454" s="213"/>
      <c r="Q454" s="213"/>
      <c r="R454" s="213"/>
      <c r="S454" s="213"/>
      <c r="T454" s="213"/>
      <c r="U454" s="213"/>
      <c r="V454" s="205">
        <v>20</v>
      </c>
    </row>
    <row r="455" spans="1:22">
      <c r="A455" s="212" t="s">
        <v>463</v>
      </c>
      <c r="B455" s="213"/>
      <c r="C455" s="213"/>
      <c r="D455" s="213"/>
      <c r="E455" s="213"/>
      <c r="F455" s="213"/>
      <c r="G455" s="213"/>
      <c r="H455" s="213"/>
      <c r="I455" s="213"/>
      <c r="J455" s="213"/>
      <c r="K455" s="213"/>
      <c r="L455" s="213"/>
      <c r="M455" s="213"/>
      <c r="N455" s="213"/>
      <c r="O455" s="213">
        <v>0</v>
      </c>
      <c r="P455" s="213"/>
      <c r="Q455" s="213"/>
      <c r="R455" s="213"/>
      <c r="S455" s="213"/>
      <c r="T455" s="213"/>
      <c r="U455" s="213"/>
      <c r="V455" s="205">
        <v>0</v>
      </c>
    </row>
    <row r="456" spans="1:22">
      <c r="A456" s="212" t="s">
        <v>465</v>
      </c>
      <c r="B456" s="213"/>
      <c r="C456" s="213"/>
      <c r="D456" s="213"/>
      <c r="E456" s="213"/>
      <c r="F456" s="213"/>
      <c r="G456" s="213"/>
      <c r="H456" s="213"/>
      <c r="I456" s="213"/>
      <c r="J456" s="213"/>
      <c r="K456" s="213"/>
      <c r="L456" s="213">
        <v>0</v>
      </c>
      <c r="M456" s="213"/>
      <c r="N456" s="213"/>
      <c r="O456" s="213"/>
      <c r="P456" s="213"/>
      <c r="Q456" s="213"/>
      <c r="R456" s="213"/>
      <c r="S456" s="213"/>
      <c r="T456" s="213"/>
      <c r="U456" s="213"/>
      <c r="V456" s="205">
        <v>0</v>
      </c>
    </row>
    <row r="457" spans="1:22">
      <c r="A457" s="212" t="s">
        <v>1158</v>
      </c>
      <c r="B457" s="213"/>
      <c r="C457" s="213"/>
      <c r="D457" s="213"/>
      <c r="E457" s="213"/>
      <c r="F457" s="213"/>
      <c r="G457" s="213"/>
      <c r="H457" s="213"/>
      <c r="I457" s="213"/>
      <c r="J457" s="213"/>
      <c r="K457" s="213"/>
      <c r="L457" s="213"/>
      <c r="M457" s="213"/>
      <c r="N457" s="213"/>
      <c r="O457" s="213"/>
      <c r="P457" s="213"/>
      <c r="Q457" s="213"/>
      <c r="R457" s="213"/>
      <c r="S457" s="213"/>
      <c r="T457" s="213"/>
      <c r="U457" s="213">
        <v>0</v>
      </c>
      <c r="V457" s="205">
        <v>0</v>
      </c>
    </row>
    <row r="458" spans="1:22">
      <c r="A458" s="212" t="s">
        <v>285</v>
      </c>
      <c r="B458" s="213"/>
      <c r="C458" s="213"/>
      <c r="D458" s="213"/>
      <c r="E458" s="213"/>
      <c r="F458" s="213"/>
      <c r="G458" s="213"/>
      <c r="H458" s="213"/>
      <c r="I458" s="213"/>
      <c r="J458" s="213"/>
      <c r="K458" s="213">
        <v>60</v>
      </c>
      <c r="L458" s="213"/>
      <c r="M458" s="213"/>
      <c r="N458" s="213"/>
      <c r="O458" s="213"/>
      <c r="P458" s="213"/>
      <c r="Q458" s="213"/>
      <c r="R458" s="213"/>
      <c r="S458" s="213"/>
      <c r="T458" s="213"/>
      <c r="U458" s="213"/>
      <c r="V458" s="205">
        <v>60</v>
      </c>
    </row>
    <row r="459" spans="1:22">
      <c r="A459" s="212" t="s">
        <v>843</v>
      </c>
      <c r="B459" s="213"/>
      <c r="C459" s="213">
        <v>470</v>
      </c>
      <c r="D459" s="213"/>
      <c r="E459" s="213"/>
      <c r="F459" s="213"/>
      <c r="G459" s="213"/>
      <c r="H459" s="213"/>
      <c r="I459" s="213"/>
      <c r="J459" s="213"/>
      <c r="K459" s="213"/>
      <c r="L459" s="213"/>
      <c r="M459" s="213"/>
      <c r="N459" s="213"/>
      <c r="O459" s="213"/>
      <c r="P459" s="213"/>
      <c r="Q459" s="213"/>
      <c r="R459" s="213"/>
      <c r="S459" s="213"/>
      <c r="T459" s="213"/>
      <c r="U459" s="213"/>
      <c r="V459" s="205">
        <v>470</v>
      </c>
    </row>
    <row r="460" spans="1:22">
      <c r="A460" s="212" t="s">
        <v>467</v>
      </c>
      <c r="B460" s="213"/>
      <c r="C460" s="213"/>
      <c r="D460" s="213"/>
      <c r="E460" s="213"/>
      <c r="F460" s="213"/>
      <c r="G460" s="213"/>
      <c r="H460" s="213"/>
      <c r="I460" s="213"/>
      <c r="J460" s="213"/>
      <c r="K460" s="213"/>
      <c r="L460" s="213"/>
      <c r="M460" s="213"/>
      <c r="N460" s="213"/>
      <c r="O460" s="213"/>
      <c r="P460" s="213"/>
      <c r="Q460" s="213"/>
      <c r="R460" s="213"/>
      <c r="S460" s="213"/>
      <c r="T460" s="213">
        <v>0</v>
      </c>
      <c r="U460" s="213"/>
      <c r="V460" s="205">
        <v>0</v>
      </c>
    </row>
    <row r="461" spans="1:22">
      <c r="A461" s="212" t="s">
        <v>412</v>
      </c>
      <c r="B461" s="213"/>
      <c r="C461" s="213"/>
      <c r="D461" s="213"/>
      <c r="E461" s="213"/>
      <c r="F461" s="213"/>
      <c r="G461" s="213"/>
      <c r="H461" s="213"/>
      <c r="I461" s="213"/>
      <c r="J461" s="213"/>
      <c r="K461" s="213">
        <v>200</v>
      </c>
      <c r="L461" s="213"/>
      <c r="M461" s="213"/>
      <c r="N461" s="213"/>
      <c r="O461" s="213"/>
      <c r="P461" s="213"/>
      <c r="Q461" s="213"/>
      <c r="R461" s="213"/>
      <c r="S461" s="213"/>
      <c r="T461" s="213"/>
      <c r="U461" s="213"/>
      <c r="V461" s="205">
        <v>200</v>
      </c>
    </row>
    <row r="462" spans="1:22">
      <c r="A462" s="212" t="s">
        <v>124</v>
      </c>
      <c r="B462" s="213"/>
      <c r="C462" s="213"/>
      <c r="D462" s="213"/>
      <c r="E462" s="213"/>
      <c r="F462" s="213"/>
      <c r="G462" s="213"/>
      <c r="H462" s="213"/>
      <c r="I462" s="213"/>
      <c r="J462" s="213"/>
      <c r="K462" s="213">
        <v>0</v>
      </c>
      <c r="L462" s="213"/>
      <c r="M462" s="213"/>
      <c r="N462" s="213"/>
      <c r="O462" s="213"/>
      <c r="P462" s="213"/>
      <c r="Q462" s="213"/>
      <c r="R462" s="213"/>
      <c r="S462" s="213"/>
      <c r="T462" s="213"/>
      <c r="U462" s="213"/>
      <c r="V462" s="205">
        <v>0</v>
      </c>
    </row>
    <row r="463" spans="1:22">
      <c r="A463" s="212" t="s">
        <v>127</v>
      </c>
      <c r="B463" s="213"/>
      <c r="C463" s="213"/>
      <c r="D463" s="213"/>
      <c r="E463" s="213"/>
      <c r="F463" s="213"/>
      <c r="G463" s="213"/>
      <c r="H463" s="213"/>
      <c r="I463" s="213"/>
      <c r="J463" s="213"/>
      <c r="K463" s="213"/>
      <c r="L463" s="213"/>
      <c r="M463" s="213"/>
      <c r="N463" s="213"/>
      <c r="O463" s="213"/>
      <c r="P463" s="213"/>
      <c r="Q463" s="213"/>
      <c r="R463" s="213"/>
      <c r="S463" s="213"/>
      <c r="T463" s="213">
        <v>0</v>
      </c>
      <c r="U463" s="213"/>
      <c r="V463" s="205">
        <v>0</v>
      </c>
    </row>
    <row r="464" spans="1:22">
      <c r="A464" s="212" t="s">
        <v>201</v>
      </c>
      <c r="B464" s="213"/>
      <c r="C464" s="213"/>
      <c r="D464" s="213"/>
      <c r="E464" s="213"/>
      <c r="F464" s="213"/>
      <c r="G464" s="213"/>
      <c r="H464" s="213"/>
      <c r="I464" s="213"/>
      <c r="J464" s="213"/>
      <c r="K464" s="213"/>
      <c r="L464" s="213"/>
      <c r="M464" s="213"/>
      <c r="N464" s="213"/>
      <c r="O464" s="213"/>
      <c r="P464" s="213"/>
      <c r="Q464" s="213"/>
      <c r="R464" s="213"/>
      <c r="S464" s="213"/>
      <c r="T464" s="213">
        <v>0</v>
      </c>
      <c r="U464" s="213"/>
      <c r="V464" s="205">
        <v>0</v>
      </c>
    </row>
    <row r="465" spans="1:22">
      <c r="A465" s="212" t="s">
        <v>130</v>
      </c>
      <c r="B465" s="213"/>
      <c r="C465" s="213"/>
      <c r="D465" s="213"/>
      <c r="E465" s="213"/>
      <c r="F465" s="213"/>
      <c r="G465" s="213"/>
      <c r="H465" s="213"/>
      <c r="I465" s="213"/>
      <c r="J465" s="213"/>
      <c r="K465" s="213"/>
      <c r="L465" s="213"/>
      <c r="M465" s="213"/>
      <c r="N465" s="213"/>
      <c r="O465" s="213"/>
      <c r="P465" s="213"/>
      <c r="Q465" s="213"/>
      <c r="R465" s="213"/>
      <c r="S465" s="213"/>
      <c r="T465" s="213">
        <v>0</v>
      </c>
      <c r="U465" s="213"/>
      <c r="V465" s="205">
        <v>0</v>
      </c>
    </row>
    <row r="466" spans="1:22">
      <c r="A466" s="212" t="s">
        <v>203</v>
      </c>
      <c r="B466" s="213"/>
      <c r="C466" s="213"/>
      <c r="D466" s="213"/>
      <c r="E466" s="213"/>
      <c r="F466" s="213"/>
      <c r="G466" s="213"/>
      <c r="H466" s="213"/>
      <c r="I466" s="213"/>
      <c r="J466" s="213"/>
      <c r="K466" s="213"/>
      <c r="L466" s="213"/>
      <c r="M466" s="213"/>
      <c r="N466" s="213"/>
      <c r="O466" s="213"/>
      <c r="P466" s="213"/>
      <c r="Q466" s="213"/>
      <c r="R466" s="213"/>
      <c r="S466" s="213"/>
      <c r="T466" s="213">
        <v>0</v>
      </c>
      <c r="U466" s="213"/>
      <c r="V466" s="205">
        <v>0</v>
      </c>
    </row>
    <row r="467" spans="1:22">
      <c r="A467" s="212" t="s">
        <v>133</v>
      </c>
      <c r="B467" s="213"/>
      <c r="C467" s="213"/>
      <c r="D467" s="213"/>
      <c r="E467" s="213"/>
      <c r="F467" s="213"/>
      <c r="G467" s="213"/>
      <c r="H467" s="213"/>
      <c r="I467" s="213"/>
      <c r="J467" s="213"/>
      <c r="K467" s="213"/>
      <c r="L467" s="213"/>
      <c r="M467" s="213"/>
      <c r="N467" s="213"/>
      <c r="O467" s="213"/>
      <c r="P467" s="213"/>
      <c r="Q467" s="213"/>
      <c r="R467" s="213"/>
      <c r="S467" s="213"/>
      <c r="T467" s="213">
        <v>0</v>
      </c>
      <c r="U467" s="213"/>
      <c r="V467" s="205">
        <v>0</v>
      </c>
    </row>
    <row r="468" spans="1:22">
      <c r="A468" s="212" t="s">
        <v>205</v>
      </c>
      <c r="B468" s="213"/>
      <c r="C468" s="213"/>
      <c r="D468" s="213"/>
      <c r="E468" s="213"/>
      <c r="F468" s="213"/>
      <c r="G468" s="213"/>
      <c r="H468" s="213"/>
      <c r="I468" s="213"/>
      <c r="J468" s="213"/>
      <c r="K468" s="213"/>
      <c r="L468" s="213"/>
      <c r="M468" s="213"/>
      <c r="N468" s="213"/>
      <c r="O468" s="213"/>
      <c r="P468" s="213"/>
      <c r="Q468" s="213"/>
      <c r="R468" s="213"/>
      <c r="S468" s="213"/>
      <c r="T468" s="213">
        <v>0</v>
      </c>
      <c r="U468" s="213"/>
      <c r="V468" s="205">
        <v>0</v>
      </c>
    </row>
    <row r="469" spans="1:22">
      <c r="A469" s="212" t="s">
        <v>178</v>
      </c>
      <c r="B469" s="213"/>
      <c r="C469" s="213"/>
      <c r="D469" s="213"/>
      <c r="E469" s="213"/>
      <c r="F469" s="213"/>
      <c r="G469" s="213"/>
      <c r="H469" s="213"/>
      <c r="I469" s="213"/>
      <c r="J469" s="213"/>
      <c r="K469" s="213"/>
      <c r="L469" s="213"/>
      <c r="M469" s="213"/>
      <c r="N469" s="213"/>
      <c r="O469" s="213"/>
      <c r="P469" s="213"/>
      <c r="Q469" s="213"/>
      <c r="R469" s="213"/>
      <c r="S469" s="213">
        <v>0</v>
      </c>
      <c r="T469" s="213"/>
      <c r="U469" s="213"/>
      <c r="V469" s="205">
        <v>0</v>
      </c>
    </row>
    <row r="470" spans="1:22">
      <c r="A470" s="212" t="s">
        <v>136</v>
      </c>
      <c r="B470" s="213"/>
      <c r="C470" s="213"/>
      <c r="D470" s="213"/>
      <c r="E470" s="213"/>
      <c r="F470" s="213"/>
      <c r="G470" s="213"/>
      <c r="H470" s="213"/>
      <c r="I470" s="213"/>
      <c r="J470" s="213"/>
      <c r="K470" s="213"/>
      <c r="L470" s="213"/>
      <c r="M470" s="213"/>
      <c r="N470" s="213"/>
      <c r="O470" s="213"/>
      <c r="P470" s="213"/>
      <c r="Q470" s="213"/>
      <c r="R470" s="213"/>
      <c r="S470" s="213"/>
      <c r="T470" s="213">
        <v>0</v>
      </c>
      <c r="U470" s="213"/>
      <c r="V470" s="205">
        <v>0</v>
      </c>
    </row>
    <row r="471" spans="1:22">
      <c r="A471" s="212" t="s">
        <v>180</v>
      </c>
      <c r="B471" s="213"/>
      <c r="C471" s="213"/>
      <c r="D471" s="213"/>
      <c r="E471" s="213"/>
      <c r="F471" s="213"/>
      <c r="G471" s="213"/>
      <c r="H471" s="213"/>
      <c r="I471" s="213"/>
      <c r="J471" s="213"/>
      <c r="K471" s="213"/>
      <c r="L471" s="213"/>
      <c r="M471" s="213"/>
      <c r="N471" s="213"/>
      <c r="O471" s="213"/>
      <c r="P471" s="213"/>
      <c r="Q471" s="213"/>
      <c r="R471" s="213"/>
      <c r="S471" s="213"/>
      <c r="T471" s="213">
        <v>0</v>
      </c>
      <c r="U471" s="213"/>
      <c r="V471" s="205">
        <v>0</v>
      </c>
    </row>
    <row r="472" spans="1:22">
      <c r="A472" s="212" t="s">
        <v>393</v>
      </c>
      <c r="B472" s="213"/>
      <c r="C472" s="213"/>
      <c r="D472" s="213"/>
      <c r="E472" s="213"/>
      <c r="F472" s="213"/>
      <c r="G472" s="213"/>
      <c r="H472" s="213"/>
      <c r="I472" s="213"/>
      <c r="J472" s="213"/>
      <c r="K472" s="213">
        <v>68</v>
      </c>
      <c r="L472" s="213"/>
      <c r="M472" s="213"/>
      <c r="N472" s="213"/>
      <c r="O472" s="213"/>
      <c r="P472" s="213"/>
      <c r="Q472" s="213"/>
      <c r="R472" s="213"/>
      <c r="S472" s="213"/>
      <c r="T472" s="213"/>
      <c r="U472" s="213"/>
      <c r="V472" s="205">
        <v>68</v>
      </c>
    </row>
    <row r="473" spans="1:22">
      <c r="A473" s="212" t="s">
        <v>396</v>
      </c>
      <c r="B473" s="213"/>
      <c r="C473" s="213"/>
      <c r="D473" s="213"/>
      <c r="E473" s="213"/>
      <c r="F473" s="213"/>
      <c r="G473" s="213"/>
      <c r="H473" s="213"/>
      <c r="I473" s="213"/>
      <c r="J473" s="213"/>
      <c r="K473" s="213">
        <v>0</v>
      </c>
      <c r="L473" s="213"/>
      <c r="M473" s="213"/>
      <c r="N473" s="213"/>
      <c r="O473" s="213"/>
      <c r="P473" s="213"/>
      <c r="Q473" s="213"/>
      <c r="R473" s="213"/>
      <c r="S473" s="213"/>
      <c r="T473" s="213"/>
      <c r="U473" s="213"/>
      <c r="V473" s="205">
        <v>0</v>
      </c>
    </row>
    <row r="474" spans="1:22">
      <c r="A474" s="212" t="s">
        <v>397</v>
      </c>
      <c r="B474" s="213"/>
      <c r="C474" s="213"/>
      <c r="D474" s="213"/>
      <c r="E474" s="213"/>
      <c r="F474" s="213"/>
      <c r="G474" s="213"/>
      <c r="H474" s="213"/>
      <c r="I474" s="213"/>
      <c r="J474" s="213"/>
      <c r="K474" s="213">
        <v>0</v>
      </c>
      <c r="L474" s="213"/>
      <c r="M474" s="213"/>
      <c r="N474" s="213"/>
      <c r="O474" s="213"/>
      <c r="P474" s="213"/>
      <c r="Q474" s="213"/>
      <c r="R474" s="213"/>
      <c r="S474" s="213"/>
      <c r="T474" s="213"/>
      <c r="U474" s="213"/>
      <c r="V474" s="205">
        <v>0</v>
      </c>
    </row>
    <row r="475" spans="1:22">
      <c r="A475" s="212" t="s">
        <v>785</v>
      </c>
      <c r="B475" s="213"/>
      <c r="C475" s="213"/>
      <c r="D475" s="213"/>
      <c r="E475" s="213"/>
      <c r="F475" s="213"/>
      <c r="G475" s="213"/>
      <c r="H475" s="213"/>
      <c r="I475" s="213"/>
      <c r="J475" s="213"/>
      <c r="K475" s="213"/>
      <c r="L475" s="213"/>
      <c r="M475" s="213"/>
      <c r="N475" s="213"/>
      <c r="O475" s="213"/>
      <c r="P475" s="213"/>
      <c r="Q475" s="213"/>
      <c r="R475" s="213"/>
      <c r="S475" s="213"/>
      <c r="T475" s="213">
        <v>0</v>
      </c>
      <c r="U475" s="213"/>
      <c r="V475" s="205">
        <v>0</v>
      </c>
    </row>
    <row r="476" spans="1:22">
      <c r="A476" s="212" t="s">
        <v>1096</v>
      </c>
      <c r="B476" s="213"/>
      <c r="C476" s="213"/>
      <c r="D476" s="213"/>
      <c r="E476" s="213"/>
      <c r="F476" s="213"/>
      <c r="G476" s="213"/>
      <c r="H476" s="213"/>
      <c r="I476" s="213"/>
      <c r="J476" s="213"/>
      <c r="K476" s="213"/>
      <c r="L476" s="213"/>
      <c r="M476" s="213"/>
      <c r="N476" s="213"/>
      <c r="O476" s="213"/>
      <c r="P476" s="213"/>
      <c r="Q476" s="213"/>
      <c r="R476" s="213"/>
      <c r="S476" s="213"/>
      <c r="T476" s="213"/>
      <c r="U476" s="213">
        <v>0</v>
      </c>
      <c r="V476" s="205">
        <v>0</v>
      </c>
    </row>
    <row r="477" spans="1:22">
      <c r="A477" s="212" t="s">
        <v>415</v>
      </c>
      <c r="B477" s="213"/>
      <c r="C477" s="213"/>
      <c r="D477" s="213"/>
      <c r="E477" s="213"/>
      <c r="F477" s="213"/>
      <c r="G477" s="213"/>
      <c r="H477" s="213"/>
      <c r="I477" s="213"/>
      <c r="J477" s="213"/>
      <c r="K477" s="213"/>
      <c r="L477" s="213"/>
      <c r="M477" s="213"/>
      <c r="N477" s="213"/>
      <c r="O477" s="213"/>
      <c r="P477" s="213"/>
      <c r="Q477" s="213"/>
      <c r="R477" s="213"/>
      <c r="S477" s="213"/>
      <c r="T477" s="213">
        <v>0</v>
      </c>
      <c r="U477" s="213"/>
      <c r="V477" s="205">
        <v>0</v>
      </c>
    </row>
    <row r="478" spans="1:22">
      <c r="A478" s="212" t="s">
        <v>693</v>
      </c>
      <c r="B478" s="213"/>
      <c r="C478" s="213"/>
      <c r="D478" s="213"/>
      <c r="E478" s="213"/>
      <c r="F478" s="213"/>
      <c r="G478" s="213"/>
      <c r="H478" s="213"/>
      <c r="I478" s="213"/>
      <c r="J478" s="213"/>
      <c r="K478" s="213"/>
      <c r="L478" s="213"/>
      <c r="M478" s="213"/>
      <c r="N478" s="213"/>
      <c r="O478" s="213">
        <v>0</v>
      </c>
      <c r="P478" s="213"/>
      <c r="Q478" s="213"/>
      <c r="R478" s="213"/>
      <c r="S478" s="213"/>
      <c r="T478" s="213"/>
      <c r="U478" s="213"/>
      <c r="V478" s="205">
        <v>0</v>
      </c>
    </row>
    <row r="479" spans="1:22">
      <c r="A479" s="212" t="s">
        <v>418</v>
      </c>
      <c r="B479" s="213"/>
      <c r="C479" s="213"/>
      <c r="D479" s="213"/>
      <c r="E479" s="213"/>
      <c r="F479" s="213"/>
      <c r="G479" s="213"/>
      <c r="H479" s="213"/>
      <c r="I479" s="213"/>
      <c r="J479" s="213"/>
      <c r="K479" s="213"/>
      <c r="L479" s="213"/>
      <c r="M479" s="213"/>
      <c r="N479" s="213"/>
      <c r="O479" s="213">
        <v>0</v>
      </c>
      <c r="P479" s="213"/>
      <c r="Q479" s="213"/>
      <c r="R479" s="213"/>
      <c r="S479" s="213"/>
      <c r="T479" s="213"/>
      <c r="U479" s="213"/>
      <c r="V479" s="205">
        <v>0</v>
      </c>
    </row>
    <row r="480" spans="1:22">
      <c r="A480" s="212" t="s">
        <v>470</v>
      </c>
      <c r="B480" s="213"/>
      <c r="C480" s="213"/>
      <c r="D480" s="213"/>
      <c r="E480" s="213"/>
      <c r="F480" s="213"/>
      <c r="G480" s="213"/>
      <c r="H480" s="213"/>
      <c r="I480" s="213"/>
      <c r="J480" s="213"/>
      <c r="K480" s="213">
        <v>20</v>
      </c>
      <c r="L480" s="213"/>
      <c r="M480" s="213"/>
      <c r="N480" s="213"/>
      <c r="O480" s="213"/>
      <c r="P480" s="213"/>
      <c r="Q480" s="213"/>
      <c r="R480" s="213"/>
      <c r="S480" s="213"/>
      <c r="T480" s="213"/>
      <c r="U480" s="213"/>
      <c r="V480" s="205">
        <v>20</v>
      </c>
    </row>
    <row r="481" spans="1:22">
      <c r="A481" s="212" t="s">
        <v>1082</v>
      </c>
      <c r="B481" s="213"/>
      <c r="C481" s="213"/>
      <c r="D481" s="213"/>
      <c r="E481" s="213"/>
      <c r="F481" s="213"/>
      <c r="G481" s="213"/>
      <c r="H481" s="213"/>
      <c r="I481" s="213">
        <v>0</v>
      </c>
      <c r="J481" s="213"/>
      <c r="K481" s="213"/>
      <c r="L481" s="213"/>
      <c r="M481" s="213"/>
      <c r="N481" s="213"/>
      <c r="O481" s="213"/>
      <c r="P481" s="213"/>
      <c r="Q481" s="213"/>
      <c r="R481" s="213"/>
      <c r="S481" s="213"/>
      <c r="T481" s="213"/>
      <c r="U481" s="213"/>
      <c r="V481" s="205">
        <v>0</v>
      </c>
    </row>
    <row r="482" spans="1:22">
      <c r="A482" s="212" t="s">
        <v>832</v>
      </c>
      <c r="B482" s="213"/>
      <c r="C482" s="213"/>
      <c r="D482" s="213"/>
      <c r="E482" s="213"/>
      <c r="F482" s="213"/>
      <c r="G482" s="213"/>
      <c r="H482" s="213"/>
      <c r="I482" s="213"/>
      <c r="J482" s="213"/>
      <c r="K482" s="213"/>
      <c r="L482" s="213"/>
      <c r="M482" s="213"/>
      <c r="N482" s="213"/>
      <c r="O482" s="213"/>
      <c r="P482" s="213"/>
      <c r="Q482" s="213"/>
      <c r="R482" s="213"/>
      <c r="S482" s="213"/>
      <c r="T482" s="213">
        <v>0</v>
      </c>
      <c r="U482" s="213"/>
      <c r="V482" s="205">
        <v>0</v>
      </c>
    </row>
    <row r="483" spans="1:22">
      <c r="A483" s="212" t="s">
        <v>244</v>
      </c>
      <c r="B483" s="213"/>
      <c r="C483" s="213"/>
      <c r="D483" s="213"/>
      <c r="E483" s="213"/>
      <c r="F483" s="213"/>
      <c r="G483" s="213"/>
      <c r="H483" s="213"/>
      <c r="I483" s="213"/>
      <c r="J483" s="213">
        <v>240</v>
      </c>
      <c r="K483" s="213"/>
      <c r="L483" s="213"/>
      <c r="M483" s="213"/>
      <c r="N483" s="213"/>
      <c r="O483" s="213"/>
      <c r="P483" s="213"/>
      <c r="Q483" s="213"/>
      <c r="R483" s="213"/>
      <c r="S483" s="213"/>
      <c r="T483" s="213"/>
      <c r="U483" s="213"/>
      <c r="V483" s="205">
        <v>240</v>
      </c>
    </row>
    <row r="484" spans="1:22">
      <c r="A484" s="212" t="s">
        <v>865</v>
      </c>
      <c r="B484" s="213"/>
      <c r="C484" s="213"/>
      <c r="D484" s="213"/>
      <c r="E484" s="213"/>
      <c r="F484" s="213"/>
      <c r="G484" s="213"/>
      <c r="H484" s="213"/>
      <c r="I484" s="213"/>
      <c r="J484" s="213"/>
      <c r="K484" s="213"/>
      <c r="L484" s="213"/>
      <c r="M484" s="213"/>
      <c r="N484" s="213"/>
      <c r="O484" s="213"/>
      <c r="P484" s="213"/>
      <c r="Q484" s="213">
        <v>544</v>
      </c>
      <c r="R484" s="213"/>
      <c r="S484" s="213"/>
      <c r="T484" s="213"/>
      <c r="U484" s="213"/>
      <c r="V484" s="205">
        <v>544</v>
      </c>
    </row>
    <row r="485" spans="1:22">
      <c r="A485" s="212" t="s">
        <v>249</v>
      </c>
      <c r="B485" s="213"/>
      <c r="C485" s="213"/>
      <c r="D485" s="213"/>
      <c r="E485" s="213"/>
      <c r="F485" s="213"/>
      <c r="G485" s="213"/>
      <c r="H485" s="213"/>
      <c r="I485" s="213"/>
      <c r="J485" s="213"/>
      <c r="K485" s="213"/>
      <c r="L485" s="213"/>
      <c r="M485" s="213"/>
      <c r="N485" s="213"/>
      <c r="O485" s="213"/>
      <c r="P485" s="213"/>
      <c r="Q485" s="213"/>
      <c r="R485" s="213"/>
      <c r="S485" s="213"/>
      <c r="T485" s="213">
        <v>0</v>
      </c>
      <c r="U485" s="213"/>
      <c r="V485" s="205">
        <v>0</v>
      </c>
    </row>
    <row r="486" spans="1:22">
      <c r="A486" s="212" t="s">
        <v>196</v>
      </c>
      <c r="B486" s="213"/>
      <c r="C486" s="213"/>
      <c r="D486" s="213"/>
      <c r="E486" s="213"/>
      <c r="F486" s="213"/>
      <c r="G486" s="213"/>
      <c r="H486" s="213"/>
      <c r="I486" s="213"/>
      <c r="J486" s="213"/>
      <c r="K486" s="213"/>
      <c r="L486" s="213"/>
      <c r="M486" s="213"/>
      <c r="N486" s="213"/>
      <c r="O486" s="213"/>
      <c r="P486" s="213"/>
      <c r="Q486" s="213"/>
      <c r="R486" s="213"/>
      <c r="S486" s="213">
        <v>0</v>
      </c>
      <c r="T486" s="213"/>
      <c r="U486" s="213"/>
      <c r="V486" s="205">
        <v>0</v>
      </c>
    </row>
    <row r="487" spans="1:22">
      <c r="A487" s="212" t="s">
        <v>473</v>
      </c>
      <c r="B487" s="213"/>
      <c r="C487" s="213"/>
      <c r="D487" s="213"/>
      <c r="E487" s="213"/>
      <c r="F487" s="213"/>
      <c r="G487" s="213"/>
      <c r="H487" s="213"/>
      <c r="I487" s="213">
        <v>0</v>
      </c>
      <c r="J487" s="213"/>
      <c r="K487" s="213"/>
      <c r="L487" s="213"/>
      <c r="M487" s="213"/>
      <c r="N487" s="213"/>
      <c r="O487" s="213"/>
      <c r="P487" s="213"/>
      <c r="Q487" s="213"/>
      <c r="R487" s="213"/>
      <c r="S487" s="213"/>
      <c r="T487" s="213"/>
      <c r="U487" s="213"/>
      <c r="V487" s="205">
        <v>0</v>
      </c>
    </row>
    <row r="488" spans="1:22">
      <c r="A488" s="212" t="s">
        <v>866</v>
      </c>
      <c r="B488" s="213"/>
      <c r="C488" s="213"/>
      <c r="D488" s="213"/>
      <c r="E488" s="213"/>
      <c r="F488" s="213"/>
      <c r="G488" s="213"/>
      <c r="H488" s="213"/>
      <c r="I488" s="213"/>
      <c r="J488" s="213"/>
      <c r="K488" s="213">
        <v>0</v>
      </c>
      <c r="L488" s="213"/>
      <c r="M488" s="213"/>
      <c r="N488" s="213"/>
      <c r="O488" s="213"/>
      <c r="P488" s="213"/>
      <c r="Q488" s="213"/>
      <c r="R488" s="213"/>
      <c r="S488" s="213"/>
      <c r="T488" s="213"/>
      <c r="U488" s="213"/>
      <c r="V488" s="205">
        <v>0</v>
      </c>
    </row>
    <row r="489" spans="1:22">
      <c r="A489" s="212" t="s">
        <v>867</v>
      </c>
      <c r="B489" s="213"/>
      <c r="C489" s="213"/>
      <c r="D489" s="213"/>
      <c r="E489" s="213"/>
      <c r="F489" s="213"/>
      <c r="G489" s="213"/>
      <c r="H489" s="213"/>
      <c r="I489" s="213"/>
      <c r="J489" s="213"/>
      <c r="K489" s="213">
        <v>0</v>
      </c>
      <c r="L489" s="213"/>
      <c r="M489" s="213"/>
      <c r="N489" s="213"/>
      <c r="O489" s="213"/>
      <c r="P489" s="213"/>
      <c r="Q489" s="213"/>
      <c r="R489" s="213"/>
      <c r="S489" s="213"/>
      <c r="T489" s="213"/>
      <c r="U489" s="213"/>
      <c r="V489" s="205">
        <v>0</v>
      </c>
    </row>
    <row r="490" spans="1:22">
      <c r="A490" s="212" t="s">
        <v>844</v>
      </c>
      <c r="B490" s="213"/>
      <c r="C490" s="213"/>
      <c r="D490" s="213"/>
      <c r="E490" s="213"/>
      <c r="F490" s="213"/>
      <c r="G490" s="213"/>
      <c r="H490" s="213"/>
      <c r="I490" s="213"/>
      <c r="J490" s="213"/>
      <c r="K490" s="213"/>
      <c r="L490" s="213"/>
      <c r="M490" s="213"/>
      <c r="N490" s="213"/>
      <c r="O490" s="213">
        <v>0</v>
      </c>
      <c r="P490" s="213"/>
      <c r="Q490" s="213"/>
      <c r="R490" s="213"/>
      <c r="S490" s="213"/>
      <c r="T490" s="213"/>
      <c r="U490" s="213"/>
      <c r="V490" s="205">
        <v>0</v>
      </c>
    </row>
    <row r="491" spans="1:22">
      <c r="A491" s="212" t="s">
        <v>475</v>
      </c>
      <c r="B491" s="213"/>
      <c r="C491" s="213"/>
      <c r="D491" s="213"/>
      <c r="E491" s="213"/>
      <c r="F491" s="213"/>
      <c r="G491" s="213"/>
      <c r="H491" s="213"/>
      <c r="I491" s="213"/>
      <c r="J491" s="213"/>
      <c r="K491" s="213"/>
      <c r="L491" s="213"/>
      <c r="M491" s="213"/>
      <c r="N491" s="213"/>
      <c r="O491" s="213"/>
      <c r="P491" s="213"/>
      <c r="Q491" s="213"/>
      <c r="R491" s="213">
        <v>312</v>
      </c>
      <c r="S491" s="213"/>
      <c r="T491" s="213"/>
      <c r="U491" s="213"/>
      <c r="V491" s="205">
        <v>312</v>
      </c>
    </row>
    <row r="492" spans="1:22">
      <c r="A492" s="212" t="s">
        <v>477</v>
      </c>
      <c r="B492" s="213"/>
      <c r="C492" s="213"/>
      <c r="D492" s="213"/>
      <c r="E492" s="213">
        <v>320</v>
      </c>
      <c r="F492" s="213"/>
      <c r="G492" s="213"/>
      <c r="H492" s="213"/>
      <c r="I492" s="213"/>
      <c r="J492" s="213"/>
      <c r="K492" s="213"/>
      <c r="L492" s="213"/>
      <c r="M492" s="213"/>
      <c r="N492" s="213"/>
      <c r="O492" s="213"/>
      <c r="P492" s="213"/>
      <c r="Q492" s="213"/>
      <c r="R492" s="213"/>
      <c r="S492" s="213"/>
      <c r="T492" s="213"/>
      <c r="U492" s="213"/>
      <c r="V492" s="205">
        <v>320</v>
      </c>
    </row>
    <row r="493" spans="1:22">
      <c r="A493" s="212" t="s">
        <v>121</v>
      </c>
      <c r="B493" s="213"/>
      <c r="C493" s="213"/>
      <c r="D493" s="213"/>
      <c r="E493" s="213"/>
      <c r="F493" s="213"/>
      <c r="G493" s="213"/>
      <c r="H493" s="213"/>
      <c r="I493" s="213"/>
      <c r="J493" s="213"/>
      <c r="K493" s="213"/>
      <c r="L493" s="213"/>
      <c r="M493" s="213"/>
      <c r="N493" s="213"/>
      <c r="O493" s="213"/>
      <c r="P493" s="213"/>
      <c r="Q493" s="213"/>
      <c r="R493" s="213"/>
      <c r="S493" s="213"/>
      <c r="T493" s="213">
        <v>0</v>
      </c>
      <c r="U493" s="213"/>
      <c r="V493" s="205">
        <v>0</v>
      </c>
    </row>
    <row r="494" spans="1:22">
      <c r="A494" s="212" t="s">
        <v>142</v>
      </c>
      <c r="B494" s="213"/>
      <c r="C494" s="213"/>
      <c r="D494" s="213"/>
      <c r="E494" s="213">
        <v>68</v>
      </c>
      <c r="F494" s="213"/>
      <c r="G494" s="213"/>
      <c r="H494" s="213"/>
      <c r="I494" s="213"/>
      <c r="J494" s="213"/>
      <c r="K494" s="213"/>
      <c r="L494" s="213"/>
      <c r="M494" s="213"/>
      <c r="N494" s="213"/>
      <c r="O494" s="213"/>
      <c r="P494" s="213"/>
      <c r="Q494" s="213"/>
      <c r="R494" s="213"/>
      <c r="S494" s="213"/>
      <c r="T494" s="213"/>
      <c r="U494" s="213"/>
      <c r="V494" s="205">
        <v>68</v>
      </c>
    </row>
    <row r="495" spans="1:22">
      <c r="A495" s="212" t="s">
        <v>479</v>
      </c>
      <c r="B495" s="213"/>
      <c r="C495" s="213"/>
      <c r="D495" s="213">
        <v>160</v>
      </c>
      <c r="E495" s="213"/>
      <c r="F495" s="213"/>
      <c r="G495" s="213"/>
      <c r="H495" s="213"/>
      <c r="I495" s="213"/>
      <c r="J495" s="213"/>
      <c r="K495" s="213"/>
      <c r="L495" s="213"/>
      <c r="M495" s="213"/>
      <c r="N495" s="213"/>
      <c r="O495" s="213"/>
      <c r="P495" s="213"/>
      <c r="Q495" s="213"/>
      <c r="R495" s="213"/>
      <c r="S495" s="213"/>
      <c r="T495" s="213"/>
      <c r="U495" s="213"/>
      <c r="V495" s="205">
        <v>160</v>
      </c>
    </row>
    <row r="496" spans="1:22">
      <c r="A496" s="212" t="s">
        <v>288</v>
      </c>
      <c r="B496" s="213"/>
      <c r="C496" s="213"/>
      <c r="D496" s="213"/>
      <c r="E496" s="213">
        <v>0</v>
      </c>
      <c r="F496" s="213"/>
      <c r="G496" s="213"/>
      <c r="H496" s="213"/>
      <c r="I496" s="213"/>
      <c r="J496" s="213"/>
      <c r="K496" s="213"/>
      <c r="L496" s="213"/>
      <c r="M496" s="213"/>
      <c r="N496" s="213"/>
      <c r="O496" s="213"/>
      <c r="P496" s="213"/>
      <c r="Q496" s="213"/>
      <c r="R496" s="213"/>
      <c r="S496" s="213"/>
      <c r="T496" s="213"/>
      <c r="U496" s="213"/>
      <c r="V496" s="205">
        <v>0</v>
      </c>
    </row>
    <row r="497" spans="1:22">
      <c r="A497" s="212" t="s">
        <v>591</v>
      </c>
      <c r="B497" s="213"/>
      <c r="C497" s="213"/>
      <c r="D497" s="213"/>
      <c r="E497" s="213"/>
      <c r="F497" s="213"/>
      <c r="G497" s="213"/>
      <c r="H497" s="213"/>
      <c r="I497" s="213"/>
      <c r="J497" s="213"/>
      <c r="K497" s="213"/>
      <c r="L497" s="213"/>
      <c r="M497" s="213"/>
      <c r="N497" s="213"/>
      <c r="O497" s="213"/>
      <c r="P497" s="213"/>
      <c r="Q497" s="213"/>
      <c r="R497" s="213"/>
      <c r="S497" s="213"/>
      <c r="T497" s="213">
        <v>0</v>
      </c>
      <c r="U497" s="213"/>
      <c r="V497" s="205">
        <v>0</v>
      </c>
    </row>
    <row r="498" spans="1:22">
      <c r="A498" s="212" t="s">
        <v>593</v>
      </c>
      <c r="B498" s="213"/>
      <c r="C498" s="213"/>
      <c r="D498" s="213"/>
      <c r="E498" s="213"/>
      <c r="F498" s="213"/>
      <c r="G498" s="213"/>
      <c r="H498" s="213"/>
      <c r="I498" s="213"/>
      <c r="J498" s="213"/>
      <c r="K498" s="213"/>
      <c r="L498" s="213"/>
      <c r="M498" s="213"/>
      <c r="N498" s="213"/>
      <c r="O498" s="213"/>
      <c r="P498" s="213"/>
      <c r="Q498" s="213"/>
      <c r="R498" s="213"/>
      <c r="S498" s="213"/>
      <c r="T498" s="213">
        <v>0</v>
      </c>
      <c r="U498" s="213"/>
      <c r="V498" s="205">
        <v>0</v>
      </c>
    </row>
    <row r="499" spans="1:22">
      <c r="A499" s="212" t="s">
        <v>595</v>
      </c>
      <c r="B499" s="213"/>
      <c r="C499" s="213"/>
      <c r="D499" s="213"/>
      <c r="E499" s="213"/>
      <c r="F499" s="213"/>
      <c r="G499" s="213"/>
      <c r="H499" s="213"/>
      <c r="I499" s="213"/>
      <c r="J499" s="213"/>
      <c r="K499" s="213"/>
      <c r="L499" s="213"/>
      <c r="M499" s="213"/>
      <c r="N499" s="213"/>
      <c r="O499" s="213"/>
      <c r="P499" s="213"/>
      <c r="Q499" s="213"/>
      <c r="R499" s="213"/>
      <c r="S499" s="213"/>
      <c r="T499" s="213">
        <v>0</v>
      </c>
      <c r="U499" s="213"/>
      <c r="V499" s="205">
        <v>0</v>
      </c>
    </row>
    <row r="500" spans="1:22">
      <c r="A500" s="212" t="s">
        <v>597</v>
      </c>
      <c r="B500" s="213"/>
      <c r="C500" s="213"/>
      <c r="D500" s="213"/>
      <c r="E500" s="213"/>
      <c r="F500" s="213"/>
      <c r="G500" s="213"/>
      <c r="H500" s="213"/>
      <c r="I500" s="213"/>
      <c r="J500" s="213"/>
      <c r="K500" s="213"/>
      <c r="L500" s="213"/>
      <c r="M500" s="213"/>
      <c r="N500" s="213"/>
      <c r="O500" s="213"/>
      <c r="P500" s="213"/>
      <c r="Q500" s="213"/>
      <c r="R500" s="213"/>
      <c r="S500" s="213"/>
      <c r="T500" s="213">
        <v>0</v>
      </c>
      <c r="U500" s="213"/>
      <c r="V500" s="205">
        <v>0</v>
      </c>
    </row>
    <row r="501" spans="1:22">
      <c r="A501" s="212" t="s">
        <v>910</v>
      </c>
      <c r="B501" s="213"/>
      <c r="C501" s="213"/>
      <c r="D501" s="213">
        <v>640</v>
      </c>
      <c r="E501" s="213"/>
      <c r="F501" s="213"/>
      <c r="G501" s="213"/>
      <c r="H501" s="213"/>
      <c r="I501" s="213"/>
      <c r="J501" s="213"/>
      <c r="K501" s="213"/>
      <c r="L501" s="213"/>
      <c r="M501" s="213"/>
      <c r="N501" s="213"/>
      <c r="O501" s="213"/>
      <c r="P501" s="213"/>
      <c r="Q501" s="213"/>
      <c r="R501" s="213"/>
      <c r="S501" s="213"/>
      <c r="T501" s="213"/>
      <c r="U501" s="213"/>
      <c r="V501" s="205">
        <v>640</v>
      </c>
    </row>
    <row r="502" spans="1:22">
      <c r="A502" s="212" t="s">
        <v>481</v>
      </c>
      <c r="B502" s="213"/>
      <c r="C502" s="213"/>
      <c r="D502" s="213">
        <v>240</v>
      </c>
      <c r="E502" s="213"/>
      <c r="F502" s="213"/>
      <c r="G502" s="213"/>
      <c r="H502" s="213"/>
      <c r="I502" s="213"/>
      <c r="J502" s="213"/>
      <c r="K502" s="213"/>
      <c r="L502" s="213"/>
      <c r="M502" s="213"/>
      <c r="N502" s="213"/>
      <c r="O502" s="213"/>
      <c r="P502" s="213"/>
      <c r="Q502" s="213"/>
      <c r="R502" s="213"/>
      <c r="S502" s="213"/>
      <c r="T502" s="213"/>
      <c r="U502" s="213"/>
      <c r="V502" s="205">
        <v>240</v>
      </c>
    </row>
    <row r="503" spans="1:22">
      <c r="A503" s="212" t="s">
        <v>484</v>
      </c>
      <c r="B503" s="213"/>
      <c r="C503" s="213"/>
      <c r="D503" s="213">
        <v>120</v>
      </c>
      <c r="E503" s="213"/>
      <c r="F503" s="213"/>
      <c r="G503" s="213"/>
      <c r="H503" s="213"/>
      <c r="I503" s="213"/>
      <c r="J503" s="213"/>
      <c r="K503" s="213"/>
      <c r="L503" s="213"/>
      <c r="M503" s="213"/>
      <c r="N503" s="213"/>
      <c r="O503" s="213"/>
      <c r="P503" s="213"/>
      <c r="Q503" s="213"/>
      <c r="R503" s="213"/>
      <c r="S503" s="213"/>
      <c r="T503" s="213"/>
      <c r="U503" s="213"/>
      <c r="V503" s="205">
        <v>120</v>
      </c>
    </row>
    <row r="504" spans="1:22">
      <c r="A504" s="212" t="s">
        <v>291</v>
      </c>
      <c r="B504" s="213"/>
      <c r="C504" s="213"/>
      <c r="D504" s="213">
        <v>0</v>
      </c>
      <c r="E504" s="213"/>
      <c r="F504" s="213"/>
      <c r="G504" s="213"/>
      <c r="H504" s="213"/>
      <c r="I504" s="213"/>
      <c r="J504" s="213"/>
      <c r="K504" s="213"/>
      <c r="L504" s="213"/>
      <c r="M504" s="213"/>
      <c r="N504" s="213"/>
      <c r="O504" s="213"/>
      <c r="P504" s="213"/>
      <c r="Q504" s="213"/>
      <c r="R504" s="213"/>
      <c r="S504" s="213"/>
      <c r="T504" s="213"/>
      <c r="U504" s="213"/>
      <c r="V504" s="205">
        <v>0</v>
      </c>
    </row>
    <row r="505" spans="1:22">
      <c r="A505" s="212" t="s">
        <v>487</v>
      </c>
      <c r="B505" s="213"/>
      <c r="C505" s="213"/>
      <c r="D505" s="213">
        <v>184</v>
      </c>
      <c r="E505" s="213"/>
      <c r="F505" s="213"/>
      <c r="G505" s="213"/>
      <c r="H505" s="213"/>
      <c r="I505" s="213"/>
      <c r="J505" s="213"/>
      <c r="K505" s="213"/>
      <c r="L505" s="213"/>
      <c r="M505" s="213"/>
      <c r="N505" s="213"/>
      <c r="O505" s="213"/>
      <c r="P505" s="213"/>
      <c r="Q505" s="213"/>
      <c r="R505" s="213"/>
      <c r="S505" s="213"/>
      <c r="T505" s="213"/>
      <c r="U505" s="213"/>
      <c r="V505" s="205">
        <v>184</v>
      </c>
    </row>
    <row r="506" spans="1:22">
      <c r="A506" s="212" t="s">
        <v>489</v>
      </c>
      <c r="B506" s="213"/>
      <c r="C506" s="213"/>
      <c r="D506" s="213">
        <v>240</v>
      </c>
      <c r="E506" s="213"/>
      <c r="F506" s="213"/>
      <c r="G506" s="213"/>
      <c r="H506" s="213"/>
      <c r="I506" s="213"/>
      <c r="J506" s="213"/>
      <c r="K506" s="213"/>
      <c r="L506" s="213"/>
      <c r="M506" s="213"/>
      <c r="N506" s="213"/>
      <c r="O506" s="213"/>
      <c r="P506" s="213"/>
      <c r="Q506" s="213"/>
      <c r="R506" s="213"/>
      <c r="S506" s="213"/>
      <c r="T506" s="213"/>
      <c r="U506" s="213"/>
      <c r="V506" s="205">
        <v>240</v>
      </c>
    </row>
    <row r="507" spans="1:22">
      <c r="A507" s="212" t="s">
        <v>491</v>
      </c>
      <c r="B507" s="213"/>
      <c r="C507" s="213"/>
      <c r="D507" s="213">
        <v>320</v>
      </c>
      <c r="E507" s="213"/>
      <c r="F507" s="213"/>
      <c r="G507" s="213"/>
      <c r="H507" s="213"/>
      <c r="I507" s="213"/>
      <c r="J507" s="213"/>
      <c r="K507" s="213"/>
      <c r="L507" s="213"/>
      <c r="M507" s="213"/>
      <c r="N507" s="213"/>
      <c r="O507" s="213"/>
      <c r="P507" s="213"/>
      <c r="Q507" s="213"/>
      <c r="R507" s="213"/>
      <c r="S507" s="213"/>
      <c r="T507" s="213"/>
      <c r="U507" s="213"/>
      <c r="V507" s="205">
        <v>320</v>
      </c>
    </row>
    <row r="508" spans="1:22">
      <c r="A508" s="212" t="s">
        <v>398</v>
      </c>
      <c r="B508" s="213"/>
      <c r="C508" s="213"/>
      <c r="D508" s="213">
        <v>0</v>
      </c>
      <c r="E508" s="213"/>
      <c r="F508" s="213"/>
      <c r="G508" s="213"/>
      <c r="H508" s="213"/>
      <c r="I508" s="213"/>
      <c r="J508" s="213"/>
      <c r="K508" s="213"/>
      <c r="L508" s="213"/>
      <c r="M508" s="213"/>
      <c r="N508" s="213"/>
      <c r="O508" s="213"/>
      <c r="P508" s="213"/>
      <c r="Q508" s="213"/>
      <c r="R508" s="213"/>
      <c r="S508" s="213"/>
      <c r="T508" s="213"/>
      <c r="U508" s="213"/>
      <c r="V508" s="205">
        <v>0</v>
      </c>
    </row>
    <row r="509" spans="1:22">
      <c r="A509" s="212" t="s">
        <v>343</v>
      </c>
      <c r="B509" s="213"/>
      <c r="C509" s="213"/>
      <c r="D509" s="213"/>
      <c r="E509" s="213"/>
      <c r="F509" s="213"/>
      <c r="G509" s="213"/>
      <c r="H509" s="213">
        <v>0</v>
      </c>
      <c r="I509" s="213"/>
      <c r="J509" s="213"/>
      <c r="K509" s="213"/>
      <c r="L509" s="213"/>
      <c r="M509" s="213"/>
      <c r="N509" s="213"/>
      <c r="O509" s="213"/>
      <c r="P509" s="213"/>
      <c r="Q509" s="213"/>
      <c r="R509" s="213"/>
      <c r="S509" s="213"/>
      <c r="T509" s="213"/>
      <c r="U509" s="213"/>
      <c r="V509" s="205">
        <v>0</v>
      </c>
    </row>
    <row r="510" spans="1:22">
      <c r="A510" s="212" t="s">
        <v>346</v>
      </c>
      <c r="B510" s="213"/>
      <c r="C510" s="213"/>
      <c r="D510" s="213"/>
      <c r="E510" s="213"/>
      <c r="F510" s="213"/>
      <c r="G510" s="213"/>
      <c r="H510" s="213">
        <v>0</v>
      </c>
      <c r="I510" s="213"/>
      <c r="J510" s="213"/>
      <c r="K510" s="213"/>
      <c r="L510" s="213"/>
      <c r="M510" s="213"/>
      <c r="N510" s="213"/>
      <c r="O510" s="213"/>
      <c r="P510" s="213"/>
      <c r="Q510" s="213"/>
      <c r="R510" s="213"/>
      <c r="S510" s="213"/>
      <c r="T510" s="213"/>
      <c r="U510" s="213"/>
      <c r="V510" s="205">
        <v>0</v>
      </c>
    </row>
    <row r="511" spans="1:22">
      <c r="A511" s="212" t="s">
        <v>681</v>
      </c>
      <c r="B511" s="213"/>
      <c r="C511" s="213"/>
      <c r="D511" s="213"/>
      <c r="E511" s="213"/>
      <c r="F511" s="213"/>
      <c r="G511" s="213"/>
      <c r="H511" s="213">
        <v>0</v>
      </c>
      <c r="I511" s="213"/>
      <c r="J511" s="213"/>
      <c r="K511" s="213"/>
      <c r="L511" s="213"/>
      <c r="M511" s="213"/>
      <c r="N511" s="213"/>
      <c r="O511" s="213"/>
      <c r="P511" s="213"/>
      <c r="Q511" s="213"/>
      <c r="R511" s="213"/>
      <c r="S511" s="213"/>
      <c r="T511" s="213"/>
      <c r="U511" s="213"/>
      <c r="V511" s="205">
        <v>0</v>
      </c>
    </row>
    <row r="512" spans="1:22">
      <c r="A512" s="212" t="s">
        <v>818</v>
      </c>
      <c r="B512" s="213"/>
      <c r="C512" s="213"/>
      <c r="D512" s="213"/>
      <c r="E512" s="213"/>
      <c r="F512" s="213"/>
      <c r="G512" s="213"/>
      <c r="H512" s="213"/>
      <c r="I512" s="213"/>
      <c r="J512" s="213"/>
      <c r="K512" s="213"/>
      <c r="L512" s="213"/>
      <c r="M512" s="213">
        <v>280</v>
      </c>
      <c r="N512" s="213"/>
      <c r="O512" s="213"/>
      <c r="P512" s="213"/>
      <c r="Q512" s="213"/>
      <c r="R512" s="213"/>
      <c r="S512" s="213"/>
      <c r="T512" s="213"/>
      <c r="U512" s="213"/>
      <c r="V512" s="205">
        <v>280</v>
      </c>
    </row>
    <row r="513" spans="1:22">
      <c r="A513" s="212" t="s">
        <v>493</v>
      </c>
      <c r="B513" s="213"/>
      <c r="C513" s="213"/>
      <c r="D513" s="213"/>
      <c r="E513" s="213"/>
      <c r="F513" s="213"/>
      <c r="G513" s="213"/>
      <c r="H513" s="213"/>
      <c r="I513" s="213"/>
      <c r="J513" s="213"/>
      <c r="K513" s="213"/>
      <c r="L513" s="213"/>
      <c r="M513" s="213">
        <v>0</v>
      </c>
      <c r="N513" s="213"/>
      <c r="O513" s="213"/>
      <c r="P513" s="213"/>
      <c r="Q513" s="213"/>
      <c r="R513" s="213"/>
      <c r="S513" s="213"/>
      <c r="T513" s="213"/>
      <c r="U513" s="213"/>
      <c r="V513" s="205">
        <v>0</v>
      </c>
    </row>
    <row r="514" spans="1:22">
      <c r="A514" s="212" t="s">
        <v>495</v>
      </c>
      <c r="B514" s="213"/>
      <c r="C514" s="213"/>
      <c r="D514" s="213"/>
      <c r="E514" s="213"/>
      <c r="F514" s="213"/>
      <c r="G514" s="213"/>
      <c r="H514" s="213"/>
      <c r="I514" s="213"/>
      <c r="J514" s="213"/>
      <c r="K514" s="213"/>
      <c r="L514" s="213"/>
      <c r="M514" s="213"/>
      <c r="N514" s="213"/>
      <c r="O514" s="213">
        <v>0</v>
      </c>
      <c r="P514" s="213"/>
      <c r="Q514" s="213"/>
      <c r="R514" s="213"/>
      <c r="S514" s="213"/>
      <c r="T514" s="213"/>
      <c r="U514" s="213"/>
      <c r="V514" s="205">
        <v>0</v>
      </c>
    </row>
    <row r="515" spans="1:22">
      <c r="A515" s="212" t="s">
        <v>347</v>
      </c>
      <c r="B515" s="213"/>
      <c r="C515" s="213"/>
      <c r="D515" s="213"/>
      <c r="E515" s="213"/>
      <c r="F515" s="213"/>
      <c r="G515" s="213"/>
      <c r="H515" s="213"/>
      <c r="I515" s="213"/>
      <c r="J515" s="213"/>
      <c r="K515" s="213"/>
      <c r="L515" s="213">
        <v>0</v>
      </c>
      <c r="M515" s="213"/>
      <c r="N515" s="213"/>
      <c r="O515" s="213"/>
      <c r="P515" s="213"/>
      <c r="Q515" s="213"/>
      <c r="R515" s="213"/>
      <c r="S515" s="213"/>
      <c r="T515" s="213"/>
      <c r="U515" s="213"/>
      <c r="V515" s="205">
        <v>0</v>
      </c>
    </row>
    <row r="516" spans="1:22">
      <c r="A516" s="212" t="s">
        <v>350</v>
      </c>
      <c r="B516" s="213"/>
      <c r="C516" s="213"/>
      <c r="D516" s="213"/>
      <c r="E516" s="213"/>
      <c r="F516" s="213"/>
      <c r="G516" s="213"/>
      <c r="H516" s="213"/>
      <c r="I516" s="213"/>
      <c r="J516" s="213"/>
      <c r="K516" s="213"/>
      <c r="L516" s="213">
        <v>0</v>
      </c>
      <c r="M516" s="213"/>
      <c r="N516" s="213"/>
      <c r="O516" s="213"/>
      <c r="P516" s="213"/>
      <c r="Q516" s="213"/>
      <c r="R516" s="213"/>
      <c r="S516" s="213"/>
      <c r="T516" s="213"/>
      <c r="U516" s="213"/>
      <c r="V516" s="205">
        <v>0</v>
      </c>
    </row>
    <row r="517" spans="1:22">
      <c r="A517" s="212" t="s">
        <v>497</v>
      </c>
      <c r="B517" s="213">
        <v>0</v>
      </c>
      <c r="C517" s="213"/>
      <c r="D517" s="213"/>
      <c r="E517" s="213"/>
      <c r="F517" s="213"/>
      <c r="G517" s="213"/>
      <c r="H517" s="213"/>
      <c r="I517" s="213"/>
      <c r="J517" s="213"/>
      <c r="K517" s="213"/>
      <c r="L517" s="213"/>
      <c r="M517" s="213"/>
      <c r="N517" s="213"/>
      <c r="O517" s="213"/>
      <c r="P517" s="213"/>
      <c r="Q517" s="213"/>
      <c r="R517" s="213"/>
      <c r="S517" s="213"/>
      <c r="T517" s="213"/>
      <c r="U517" s="213"/>
      <c r="V517" s="205">
        <v>0</v>
      </c>
    </row>
    <row r="518" spans="1:22">
      <c r="A518" s="212" t="s">
        <v>353</v>
      </c>
      <c r="B518" s="213"/>
      <c r="C518" s="213"/>
      <c r="D518" s="213"/>
      <c r="E518" s="213"/>
      <c r="F518" s="213"/>
      <c r="G518" s="213"/>
      <c r="H518" s="213"/>
      <c r="I518" s="213"/>
      <c r="J518" s="213"/>
      <c r="K518" s="213"/>
      <c r="L518" s="213">
        <v>120</v>
      </c>
      <c r="M518" s="213"/>
      <c r="N518" s="213"/>
      <c r="O518" s="213"/>
      <c r="P518" s="213"/>
      <c r="Q518" s="213"/>
      <c r="R518" s="213"/>
      <c r="S518" s="213"/>
      <c r="T518" s="213"/>
      <c r="U518" s="213"/>
      <c r="V518" s="205">
        <v>120</v>
      </c>
    </row>
    <row r="519" spans="1:22">
      <c r="A519" s="212" t="s">
        <v>356</v>
      </c>
      <c r="B519" s="213"/>
      <c r="C519" s="213"/>
      <c r="D519" s="213"/>
      <c r="E519" s="213"/>
      <c r="F519" s="213"/>
      <c r="G519" s="213"/>
      <c r="H519" s="213"/>
      <c r="I519" s="213"/>
      <c r="J519" s="213"/>
      <c r="K519" s="213"/>
      <c r="L519" s="213">
        <v>0</v>
      </c>
      <c r="M519" s="213"/>
      <c r="N519" s="213"/>
      <c r="O519" s="213"/>
      <c r="P519" s="213"/>
      <c r="Q519" s="213"/>
      <c r="R519" s="213"/>
      <c r="S519" s="213"/>
      <c r="T519" s="213"/>
      <c r="U519" s="213"/>
      <c r="V519" s="205">
        <v>0</v>
      </c>
    </row>
    <row r="520" spans="1:22">
      <c r="A520" s="212" t="s">
        <v>682</v>
      </c>
      <c r="B520" s="213"/>
      <c r="C520" s="213"/>
      <c r="D520" s="213"/>
      <c r="E520" s="213"/>
      <c r="F520" s="213"/>
      <c r="G520" s="213"/>
      <c r="H520" s="213"/>
      <c r="I520" s="213"/>
      <c r="J520" s="213"/>
      <c r="K520" s="213"/>
      <c r="L520" s="213">
        <v>0</v>
      </c>
      <c r="M520" s="213"/>
      <c r="N520" s="213"/>
      <c r="O520" s="213"/>
      <c r="P520" s="213"/>
      <c r="Q520" s="213"/>
      <c r="R520" s="213"/>
      <c r="S520" s="213"/>
      <c r="T520" s="213"/>
      <c r="U520" s="213"/>
      <c r="V520" s="205">
        <v>0</v>
      </c>
    </row>
    <row r="521" spans="1:22">
      <c r="A521" s="212" t="s">
        <v>147</v>
      </c>
      <c r="B521" s="213"/>
      <c r="C521" s="213"/>
      <c r="D521" s="213"/>
      <c r="E521" s="213"/>
      <c r="F521" s="213"/>
      <c r="G521" s="213"/>
      <c r="H521" s="213"/>
      <c r="I521" s="213"/>
      <c r="J521" s="213"/>
      <c r="K521" s="213"/>
      <c r="L521" s="213"/>
      <c r="M521" s="213"/>
      <c r="N521" s="213"/>
      <c r="O521" s="213">
        <v>0</v>
      </c>
      <c r="P521" s="213"/>
      <c r="Q521" s="213"/>
      <c r="R521" s="213"/>
      <c r="S521" s="213"/>
      <c r="T521" s="213"/>
      <c r="U521" s="213"/>
      <c r="V521" s="205">
        <v>0</v>
      </c>
    </row>
    <row r="522" spans="1:22">
      <c r="A522" s="212" t="s">
        <v>1084</v>
      </c>
      <c r="B522" s="213"/>
      <c r="C522" s="213"/>
      <c r="D522" s="213"/>
      <c r="E522" s="213"/>
      <c r="F522" s="213"/>
      <c r="G522" s="213"/>
      <c r="H522" s="213"/>
      <c r="I522" s="213"/>
      <c r="J522" s="213"/>
      <c r="K522" s="213"/>
      <c r="L522" s="213"/>
      <c r="M522" s="213"/>
      <c r="N522" s="213">
        <v>0</v>
      </c>
      <c r="O522" s="213"/>
      <c r="P522" s="213"/>
      <c r="Q522" s="213"/>
      <c r="R522" s="213"/>
      <c r="S522" s="213"/>
      <c r="T522" s="213"/>
      <c r="U522" s="213"/>
      <c r="V522" s="205">
        <v>0</v>
      </c>
    </row>
    <row r="523" spans="1:22">
      <c r="A523" s="212" t="s">
        <v>149</v>
      </c>
      <c r="B523" s="213"/>
      <c r="C523" s="213"/>
      <c r="D523" s="213"/>
      <c r="E523" s="213"/>
      <c r="F523" s="213"/>
      <c r="G523" s="213"/>
      <c r="H523" s="213"/>
      <c r="I523" s="213"/>
      <c r="J523" s="213"/>
      <c r="K523" s="213"/>
      <c r="L523" s="213"/>
      <c r="M523" s="213">
        <v>80</v>
      </c>
      <c r="N523" s="213"/>
      <c r="O523" s="213"/>
      <c r="P523" s="213"/>
      <c r="Q523" s="213"/>
      <c r="R523" s="213"/>
      <c r="S523" s="213"/>
      <c r="T523" s="213"/>
      <c r="U523" s="213"/>
      <c r="V523" s="205">
        <v>80</v>
      </c>
    </row>
    <row r="524" spans="1:22">
      <c r="A524" s="212" t="s">
        <v>499</v>
      </c>
      <c r="B524" s="213"/>
      <c r="C524" s="213"/>
      <c r="D524" s="213"/>
      <c r="E524" s="213">
        <v>32</v>
      </c>
      <c r="F524" s="213"/>
      <c r="G524" s="213"/>
      <c r="H524" s="213"/>
      <c r="I524" s="213"/>
      <c r="J524" s="213"/>
      <c r="K524" s="213"/>
      <c r="L524" s="213"/>
      <c r="M524" s="213"/>
      <c r="N524" s="213"/>
      <c r="O524" s="213"/>
      <c r="P524" s="213"/>
      <c r="Q524" s="213"/>
      <c r="R524" s="213"/>
      <c r="S524" s="213"/>
      <c r="T524" s="213"/>
      <c r="U524" s="213"/>
      <c r="V524" s="205">
        <v>32</v>
      </c>
    </row>
    <row r="525" spans="1:22">
      <c r="A525" s="212" t="s">
        <v>151</v>
      </c>
      <c r="B525" s="213"/>
      <c r="C525" s="213"/>
      <c r="D525" s="213"/>
      <c r="E525" s="213"/>
      <c r="F525" s="213"/>
      <c r="G525" s="213"/>
      <c r="H525" s="213"/>
      <c r="I525" s="213"/>
      <c r="J525" s="213"/>
      <c r="K525" s="213"/>
      <c r="L525" s="213">
        <v>232</v>
      </c>
      <c r="M525" s="213"/>
      <c r="N525" s="213"/>
      <c r="O525" s="213"/>
      <c r="P525" s="213"/>
      <c r="Q525" s="213"/>
      <c r="R525" s="213"/>
      <c r="S525" s="213"/>
      <c r="T525" s="213"/>
      <c r="U525" s="213"/>
      <c r="V525" s="205">
        <v>232</v>
      </c>
    </row>
    <row r="526" spans="1:22">
      <c r="A526" s="212" t="s">
        <v>357</v>
      </c>
      <c r="B526" s="213"/>
      <c r="C526" s="213"/>
      <c r="D526" s="213"/>
      <c r="E526" s="213"/>
      <c r="F526" s="213"/>
      <c r="G526" s="213"/>
      <c r="H526" s="213">
        <v>216</v>
      </c>
      <c r="I526" s="213"/>
      <c r="J526" s="213"/>
      <c r="K526" s="213"/>
      <c r="L526" s="213"/>
      <c r="M526" s="213"/>
      <c r="N526" s="213"/>
      <c r="O526" s="213"/>
      <c r="P526" s="213"/>
      <c r="Q526" s="213"/>
      <c r="R526" s="213"/>
      <c r="S526" s="213"/>
      <c r="T526" s="213"/>
      <c r="U526" s="213"/>
      <c r="V526" s="205">
        <v>216</v>
      </c>
    </row>
    <row r="527" spans="1:22">
      <c r="A527" s="212" t="s">
        <v>360</v>
      </c>
      <c r="B527" s="213"/>
      <c r="C527" s="213"/>
      <c r="D527" s="213"/>
      <c r="E527" s="213"/>
      <c r="F527" s="213"/>
      <c r="G527" s="213"/>
      <c r="H527" s="213">
        <v>0</v>
      </c>
      <c r="I527" s="213"/>
      <c r="J527" s="213"/>
      <c r="K527" s="213"/>
      <c r="L527" s="213"/>
      <c r="M527" s="213"/>
      <c r="N527" s="213"/>
      <c r="O527" s="213"/>
      <c r="P527" s="213"/>
      <c r="Q527" s="213"/>
      <c r="R527" s="213"/>
      <c r="S527" s="213"/>
      <c r="T527" s="213"/>
      <c r="U527" s="213"/>
      <c r="V527" s="205">
        <v>0</v>
      </c>
    </row>
    <row r="528" spans="1:22">
      <c r="A528" s="212" t="s">
        <v>683</v>
      </c>
      <c r="B528" s="213"/>
      <c r="C528" s="213"/>
      <c r="D528" s="213"/>
      <c r="E528" s="213"/>
      <c r="F528" s="213"/>
      <c r="G528" s="213"/>
      <c r="H528" s="213">
        <v>0</v>
      </c>
      <c r="I528" s="213"/>
      <c r="J528" s="213"/>
      <c r="K528" s="213"/>
      <c r="L528" s="213"/>
      <c r="M528" s="213"/>
      <c r="N528" s="213"/>
      <c r="O528" s="213"/>
      <c r="P528" s="213"/>
      <c r="Q528" s="213"/>
      <c r="R528" s="213"/>
      <c r="S528" s="213"/>
      <c r="T528" s="213"/>
      <c r="U528" s="213"/>
      <c r="V528" s="205">
        <v>0</v>
      </c>
    </row>
    <row r="529" spans="1:22">
      <c r="A529" s="212" t="s">
        <v>502</v>
      </c>
      <c r="B529" s="213"/>
      <c r="C529" s="213"/>
      <c r="D529" s="213"/>
      <c r="E529" s="213"/>
      <c r="F529" s="213"/>
      <c r="G529" s="213">
        <v>124</v>
      </c>
      <c r="H529" s="213"/>
      <c r="I529" s="213"/>
      <c r="J529" s="213"/>
      <c r="K529" s="213"/>
      <c r="L529" s="213"/>
      <c r="M529" s="213"/>
      <c r="N529" s="213"/>
      <c r="O529" s="213"/>
      <c r="P529" s="213"/>
      <c r="Q529" s="213"/>
      <c r="R529" s="213"/>
      <c r="S529" s="213"/>
      <c r="T529" s="213"/>
      <c r="U529" s="213"/>
      <c r="V529" s="205">
        <v>124</v>
      </c>
    </row>
    <row r="530" spans="1:22">
      <c r="A530" s="212" t="s">
        <v>504</v>
      </c>
      <c r="B530" s="213"/>
      <c r="C530" s="213"/>
      <c r="D530" s="213"/>
      <c r="E530" s="213"/>
      <c r="F530" s="213"/>
      <c r="G530" s="213">
        <v>0</v>
      </c>
      <c r="H530" s="213"/>
      <c r="I530" s="213"/>
      <c r="J530" s="213"/>
      <c r="K530" s="213"/>
      <c r="L530" s="213"/>
      <c r="M530" s="213"/>
      <c r="N530" s="213"/>
      <c r="O530" s="213"/>
      <c r="P530" s="213"/>
      <c r="Q530" s="213"/>
      <c r="R530" s="213"/>
      <c r="S530" s="213"/>
      <c r="T530" s="213"/>
      <c r="U530" s="213"/>
      <c r="V530" s="205">
        <v>0</v>
      </c>
    </row>
    <row r="531" spans="1:22">
      <c r="A531" s="212" t="s">
        <v>401</v>
      </c>
      <c r="B531" s="213"/>
      <c r="C531" s="213"/>
      <c r="D531" s="213"/>
      <c r="E531" s="213"/>
      <c r="F531" s="213"/>
      <c r="G531" s="213"/>
      <c r="H531" s="213">
        <v>216</v>
      </c>
      <c r="I531" s="213"/>
      <c r="J531" s="213"/>
      <c r="K531" s="213"/>
      <c r="L531" s="213"/>
      <c r="M531" s="213"/>
      <c r="N531" s="213"/>
      <c r="O531" s="213"/>
      <c r="P531" s="213"/>
      <c r="Q531" s="213"/>
      <c r="R531" s="213"/>
      <c r="S531" s="213"/>
      <c r="T531" s="213"/>
      <c r="U531" s="213"/>
      <c r="V531" s="205">
        <v>216</v>
      </c>
    </row>
    <row r="532" spans="1:22">
      <c r="A532" s="212" t="s">
        <v>404</v>
      </c>
      <c r="B532" s="213"/>
      <c r="C532" s="213"/>
      <c r="D532" s="213"/>
      <c r="E532" s="213"/>
      <c r="F532" s="213"/>
      <c r="G532" s="213"/>
      <c r="H532" s="213">
        <v>0</v>
      </c>
      <c r="I532" s="213"/>
      <c r="J532" s="213"/>
      <c r="K532" s="213"/>
      <c r="L532" s="213"/>
      <c r="M532" s="213"/>
      <c r="N532" s="213"/>
      <c r="O532" s="213"/>
      <c r="P532" s="213"/>
      <c r="Q532" s="213"/>
      <c r="R532" s="213"/>
      <c r="S532" s="213"/>
      <c r="T532" s="213"/>
      <c r="U532" s="213"/>
      <c r="V532" s="205">
        <v>0</v>
      </c>
    </row>
    <row r="533" spans="1:22">
      <c r="A533" s="212" t="s">
        <v>405</v>
      </c>
      <c r="B533" s="213"/>
      <c r="C533" s="213"/>
      <c r="D533" s="213"/>
      <c r="E533" s="213"/>
      <c r="F533" s="213"/>
      <c r="G533" s="213"/>
      <c r="H533" s="213">
        <v>0</v>
      </c>
      <c r="I533" s="213"/>
      <c r="J533" s="213"/>
      <c r="K533" s="213"/>
      <c r="L533" s="213"/>
      <c r="M533" s="213"/>
      <c r="N533" s="213"/>
      <c r="O533" s="213"/>
      <c r="P533" s="213"/>
      <c r="Q533" s="213"/>
      <c r="R533" s="213"/>
      <c r="S533" s="213"/>
      <c r="T533" s="213"/>
      <c r="U533" s="213"/>
      <c r="V533" s="205">
        <v>0</v>
      </c>
    </row>
    <row r="534" spans="1:22">
      <c r="A534" s="212" t="s">
        <v>505</v>
      </c>
      <c r="B534" s="213"/>
      <c r="C534" s="213"/>
      <c r="D534" s="213"/>
      <c r="E534" s="213">
        <v>0</v>
      </c>
      <c r="F534" s="213"/>
      <c r="G534" s="213"/>
      <c r="H534" s="213"/>
      <c r="I534" s="213"/>
      <c r="J534" s="213"/>
      <c r="K534" s="213"/>
      <c r="L534" s="213"/>
      <c r="M534" s="213"/>
      <c r="N534" s="213"/>
      <c r="O534" s="213"/>
      <c r="P534" s="213"/>
      <c r="Q534" s="213"/>
      <c r="R534" s="213"/>
      <c r="S534" s="213"/>
      <c r="T534" s="213"/>
      <c r="U534" s="213"/>
      <c r="V534" s="205">
        <v>0</v>
      </c>
    </row>
    <row r="535" spans="1:22">
      <c r="A535" s="212" t="s">
        <v>507</v>
      </c>
      <c r="B535" s="213"/>
      <c r="C535" s="213"/>
      <c r="D535" s="213">
        <v>56</v>
      </c>
      <c r="E535" s="213"/>
      <c r="F535" s="213"/>
      <c r="G535" s="213"/>
      <c r="H535" s="213"/>
      <c r="I535" s="213"/>
      <c r="J535" s="213"/>
      <c r="K535" s="213"/>
      <c r="L535" s="213"/>
      <c r="M535" s="213"/>
      <c r="N535" s="213"/>
      <c r="O535" s="213"/>
      <c r="P535" s="213"/>
      <c r="Q535" s="213"/>
      <c r="R535" s="213"/>
      <c r="S535" s="213"/>
      <c r="T535" s="213"/>
      <c r="U535" s="213"/>
      <c r="V535" s="205">
        <v>56</v>
      </c>
    </row>
    <row r="536" spans="1:22">
      <c r="A536" s="212" t="s">
        <v>361</v>
      </c>
      <c r="B536" s="213"/>
      <c r="C536" s="213"/>
      <c r="D536" s="213"/>
      <c r="E536" s="213"/>
      <c r="F536" s="213"/>
      <c r="G536" s="213"/>
      <c r="H536" s="213"/>
      <c r="I536" s="213"/>
      <c r="J536" s="213"/>
      <c r="K536" s="213"/>
      <c r="L536" s="213">
        <v>8</v>
      </c>
      <c r="M536" s="213"/>
      <c r="N536" s="213"/>
      <c r="O536" s="213"/>
      <c r="P536" s="213"/>
      <c r="Q536" s="213"/>
      <c r="R536" s="213"/>
      <c r="S536" s="213"/>
      <c r="T536" s="213"/>
      <c r="U536" s="213"/>
      <c r="V536" s="205">
        <v>8</v>
      </c>
    </row>
    <row r="537" spans="1:22">
      <c r="A537" s="212" t="s">
        <v>509</v>
      </c>
      <c r="B537" s="213"/>
      <c r="C537" s="213"/>
      <c r="D537" s="213"/>
      <c r="E537" s="213"/>
      <c r="F537" s="213"/>
      <c r="G537" s="213"/>
      <c r="H537" s="213"/>
      <c r="I537" s="213"/>
      <c r="J537" s="213"/>
      <c r="K537" s="213"/>
      <c r="L537" s="213">
        <v>32</v>
      </c>
      <c r="M537" s="213"/>
      <c r="N537" s="213"/>
      <c r="O537" s="213"/>
      <c r="P537" s="213"/>
      <c r="Q537" s="213"/>
      <c r="R537" s="213"/>
      <c r="S537" s="213"/>
      <c r="T537" s="213"/>
      <c r="U537" s="213"/>
      <c r="V537" s="205">
        <v>32</v>
      </c>
    </row>
    <row r="538" spans="1:22">
      <c r="A538" s="212" t="s">
        <v>909</v>
      </c>
      <c r="B538" s="213"/>
      <c r="C538" s="213"/>
      <c r="D538" s="213"/>
      <c r="E538" s="213"/>
      <c r="F538" s="213"/>
      <c r="G538" s="213"/>
      <c r="H538" s="213"/>
      <c r="I538" s="213"/>
      <c r="J538" s="213"/>
      <c r="K538" s="213"/>
      <c r="L538" s="213"/>
      <c r="M538" s="213">
        <v>8</v>
      </c>
      <c r="N538" s="213"/>
      <c r="O538" s="213"/>
      <c r="P538" s="213"/>
      <c r="Q538" s="213"/>
      <c r="R538" s="213"/>
      <c r="S538" s="213"/>
      <c r="T538" s="213"/>
      <c r="U538" s="213"/>
      <c r="V538" s="205">
        <v>8</v>
      </c>
    </row>
    <row r="539" spans="1:22">
      <c r="A539" s="212" t="s">
        <v>513</v>
      </c>
      <c r="B539" s="213"/>
      <c r="C539" s="213"/>
      <c r="D539" s="213">
        <v>0</v>
      </c>
      <c r="E539" s="213"/>
      <c r="F539" s="213"/>
      <c r="G539" s="213"/>
      <c r="H539" s="213"/>
      <c r="I539" s="213"/>
      <c r="J539" s="213"/>
      <c r="K539" s="213"/>
      <c r="L539" s="213"/>
      <c r="M539" s="213"/>
      <c r="N539" s="213"/>
      <c r="O539" s="213"/>
      <c r="P539" s="213"/>
      <c r="Q539" s="213"/>
      <c r="R539" s="213"/>
      <c r="S539" s="213"/>
      <c r="T539" s="213"/>
      <c r="U539" s="213"/>
      <c r="V539" s="205">
        <v>0</v>
      </c>
    </row>
    <row r="540" spans="1:22">
      <c r="A540" s="212" t="s">
        <v>516</v>
      </c>
      <c r="B540" s="213">
        <v>0</v>
      </c>
      <c r="C540" s="213"/>
      <c r="D540" s="213"/>
      <c r="E540" s="213"/>
      <c r="F540" s="213"/>
      <c r="G540" s="213"/>
      <c r="H540" s="213"/>
      <c r="I540" s="213"/>
      <c r="J540" s="213"/>
      <c r="K540" s="213"/>
      <c r="L540" s="213"/>
      <c r="M540" s="213"/>
      <c r="N540" s="213"/>
      <c r="O540" s="213"/>
      <c r="P540" s="213"/>
      <c r="Q540" s="213"/>
      <c r="R540" s="213"/>
      <c r="S540" s="213"/>
      <c r="T540" s="213"/>
      <c r="U540" s="213"/>
      <c r="V540" s="205">
        <v>0</v>
      </c>
    </row>
    <row r="541" spans="1:22">
      <c r="A541" s="212" t="s">
        <v>518</v>
      </c>
      <c r="B541" s="213"/>
      <c r="C541" s="213"/>
      <c r="D541" s="213"/>
      <c r="E541" s="213"/>
      <c r="F541" s="213"/>
      <c r="G541" s="213"/>
      <c r="H541" s="213"/>
      <c r="I541" s="213"/>
      <c r="J541" s="213"/>
      <c r="K541" s="213"/>
      <c r="L541" s="213"/>
      <c r="M541" s="213">
        <v>0</v>
      </c>
      <c r="N541" s="213"/>
      <c r="O541" s="213"/>
      <c r="P541" s="213"/>
      <c r="Q541" s="213"/>
      <c r="R541" s="213"/>
      <c r="S541" s="213"/>
      <c r="T541" s="213"/>
      <c r="U541" s="213"/>
      <c r="V541" s="205">
        <v>0</v>
      </c>
    </row>
    <row r="542" spans="1:22">
      <c r="A542" s="212" t="s">
        <v>153</v>
      </c>
      <c r="B542" s="213"/>
      <c r="C542" s="213"/>
      <c r="D542" s="213"/>
      <c r="E542" s="213"/>
      <c r="F542" s="213"/>
      <c r="G542" s="213"/>
      <c r="H542" s="213"/>
      <c r="I542" s="213"/>
      <c r="J542" s="213"/>
      <c r="K542" s="213"/>
      <c r="L542" s="213"/>
      <c r="M542" s="213"/>
      <c r="N542" s="213"/>
      <c r="O542" s="213">
        <v>0</v>
      </c>
      <c r="P542" s="213"/>
      <c r="Q542" s="213"/>
      <c r="R542" s="213"/>
      <c r="S542" s="213"/>
      <c r="T542" s="213"/>
      <c r="U542" s="213"/>
      <c r="V542" s="205">
        <v>0</v>
      </c>
    </row>
    <row r="543" spans="1:22">
      <c r="A543" s="212" t="s">
        <v>321</v>
      </c>
      <c r="B543" s="213"/>
      <c r="C543" s="213"/>
      <c r="D543" s="213"/>
      <c r="E543" s="213"/>
      <c r="F543" s="213"/>
      <c r="G543" s="213"/>
      <c r="H543" s="213"/>
      <c r="I543" s="213"/>
      <c r="J543" s="213">
        <v>420</v>
      </c>
      <c r="K543" s="213"/>
      <c r="L543" s="213"/>
      <c r="M543" s="213"/>
      <c r="N543" s="213"/>
      <c r="O543" s="213"/>
      <c r="P543" s="213"/>
      <c r="Q543" s="213"/>
      <c r="R543" s="213"/>
      <c r="S543" s="213"/>
      <c r="T543" s="213"/>
      <c r="U543" s="213"/>
      <c r="V543" s="205">
        <v>420</v>
      </c>
    </row>
    <row r="544" spans="1:22">
      <c r="A544" s="212" t="s">
        <v>324</v>
      </c>
      <c r="B544" s="213"/>
      <c r="C544" s="213"/>
      <c r="D544" s="213"/>
      <c r="E544" s="213"/>
      <c r="F544" s="213"/>
      <c r="G544" s="213"/>
      <c r="H544" s="213"/>
      <c r="I544" s="213"/>
      <c r="J544" s="213">
        <v>0</v>
      </c>
      <c r="K544" s="213"/>
      <c r="L544" s="213"/>
      <c r="M544" s="213"/>
      <c r="N544" s="213"/>
      <c r="O544" s="213"/>
      <c r="P544" s="213"/>
      <c r="Q544" s="213"/>
      <c r="R544" s="213"/>
      <c r="S544" s="213"/>
      <c r="T544" s="213"/>
      <c r="U544" s="213"/>
      <c r="V544" s="205">
        <v>0</v>
      </c>
    </row>
    <row r="545" spans="1:22">
      <c r="A545" s="212" t="s">
        <v>684</v>
      </c>
      <c r="B545" s="213"/>
      <c r="C545" s="213"/>
      <c r="D545" s="213"/>
      <c r="E545" s="213"/>
      <c r="F545" s="213"/>
      <c r="G545" s="213"/>
      <c r="H545" s="213"/>
      <c r="I545" s="213"/>
      <c r="J545" s="213">
        <v>0</v>
      </c>
      <c r="K545" s="213"/>
      <c r="L545" s="213"/>
      <c r="M545" s="213"/>
      <c r="N545" s="213"/>
      <c r="O545" s="213"/>
      <c r="P545" s="213"/>
      <c r="Q545" s="213"/>
      <c r="R545" s="213"/>
      <c r="S545" s="213"/>
      <c r="T545" s="213"/>
      <c r="U545" s="213"/>
      <c r="V545" s="205">
        <v>0</v>
      </c>
    </row>
    <row r="546" spans="1:22">
      <c r="A546" s="212" t="s">
        <v>294</v>
      </c>
      <c r="B546" s="213"/>
      <c r="C546" s="213"/>
      <c r="D546" s="213"/>
      <c r="E546" s="213"/>
      <c r="F546" s="213"/>
      <c r="G546" s="213"/>
      <c r="H546" s="213"/>
      <c r="I546" s="213"/>
      <c r="J546" s="213"/>
      <c r="K546" s="213"/>
      <c r="L546" s="213">
        <v>216</v>
      </c>
      <c r="M546" s="213"/>
      <c r="N546" s="213"/>
      <c r="O546" s="213"/>
      <c r="P546" s="213"/>
      <c r="Q546" s="213"/>
      <c r="R546" s="213"/>
      <c r="S546" s="213"/>
      <c r="T546" s="213"/>
      <c r="U546" s="213"/>
      <c r="V546" s="205">
        <v>216</v>
      </c>
    </row>
    <row r="547" spans="1:22">
      <c r="A547" s="212" t="s">
        <v>520</v>
      </c>
      <c r="B547" s="213"/>
      <c r="C547" s="213"/>
      <c r="D547" s="213"/>
      <c r="E547" s="213"/>
      <c r="F547" s="213"/>
      <c r="G547" s="213"/>
      <c r="H547" s="213"/>
      <c r="I547" s="213"/>
      <c r="J547" s="213"/>
      <c r="K547" s="213"/>
      <c r="L547" s="213">
        <v>68</v>
      </c>
      <c r="M547" s="213"/>
      <c r="N547" s="213"/>
      <c r="O547" s="213"/>
      <c r="P547" s="213"/>
      <c r="Q547" s="213"/>
      <c r="R547" s="213"/>
      <c r="S547" s="213"/>
      <c r="T547" s="213"/>
      <c r="U547" s="213"/>
      <c r="V547" s="205">
        <v>68</v>
      </c>
    </row>
    <row r="548" spans="1:22">
      <c r="A548" s="212" t="s">
        <v>522</v>
      </c>
      <c r="B548" s="213"/>
      <c r="C548" s="213"/>
      <c r="D548" s="213"/>
      <c r="E548" s="213"/>
      <c r="F548" s="213"/>
      <c r="G548" s="213"/>
      <c r="H548" s="213"/>
      <c r="I548" s="213"/>
      <c r="J548" s="213"/>
      <c r="K548" s="213"/>
      <c r="L548" s="213">
        <v>32</v>
      </c>
      <c r="M548" s="213"/>
      <c r="N548" s="213"/>
      <c r="O548" s="213"/>
      <c r="P548" s="213"/>
      <c r="Q548" s="213"/>
      <c r="R548" s="213"/>
      <c r="S548" s="213"/>
      <c r="T548" s="213"/>
      <c r="U548" s="213"/>
      <c r="V548" s="205">
        <v>32</v>
      </c>
    </row>
    <row r="549" spans="1:22">
      <c r="A549" s="212" t="s">
        <v>419</v>
      </c>
      <c r="B549" s="213"/>
      <c r="C549" s="213"/>
      <c r="D549" s="213"/>
      <c r="E549" s="213"/>
      <c r="F549" s="213"/>
      <c r="G549" s="213"/>
      <c r="H549" s="213"/>
      <c r="I549" s="213"/>
      <c r="J549" s="213"/>
      <c r="K549" s="213">
        <v>40</v>
      </c>
      <c r="L549" s="213"/>
      <c r="M549" s="213"/>
      <c r="N549" s="213"/>
      <c r="O549" s="213"/>
      <c r="P549" s="213"/>
      <c r="Q549" s="213"/>
      <c r="R549" s="213"/>
      <c r="S549" s="213"/>
      <c r="T549" s="213"/>
      <c r="U549" s="213"/>
      <c r="V549" s="205">
        <v>40</v>
      </c>
    </row>
    <row r="550" spans="1:22">
      <c r="A550" s="212" t="s">
        <v>208</v>
      </c>
      <c r="B550" s="213"/>
      <c r="C550" s="213"/>
      <c r="D550" s="213"/>
      <c r="E550" s="213"/>
      <c r="F550" s="213"/>
      <c r="G550" s="213"/>
      <c r="H550" s="213"/>
      <c r="I550" s="213"/>
      <c r="J550" s="213"/>
      <c r="K550" s="213"/>
      <c r="L550" s="213"/>
      <c r="M550" s="213"/>
      <c r="N550" s="213"/>
      <c r="O550" s="213"/>
      <c r="P550" s="213"/>
      <c r="Q550" s="213"/>
      <c r="R550" s="213"/>
      <c r="S550" s="213">
        <v>0</v>
      </c>
      <c r="T550" s="213"/>
      <c r="U550" s="213"/>
      <c r="V550" s="205">
        <v>0</v>
      </c>
    </row>
    <row r="551" spans="1:22">
      <c r="A551" s="212" t="s">
        <v>851</v>
      </c>
      <c r="B551" s="213"/>
      <c r="C551" s="213"/>
      <c r="D551" s="213"/>
      <c r="E551" s="213"/>
      <c r="F551" s="213"/>
      <c r="G551" s="213"/>
      <c r="H551" s="213"/>
      <c r="I551" s="213"/>
      <c r="J551" s="213"/>
      <c r="K551" s="213"/>
      <c r="L551" s="213"/>
      <c r="M551" s="213"/>
      <c r="N551" s="213"/>
      <c r="O551" s="213"/>
      <c r="P551" s="213"/>
      <c r="Q551" s="213"/>
      <c r="R551" s="213"/>
      <c r="S551" s="213">
        <v>0</v>
      </c>
      <c r="T551" s="213"/>
      <c r="U551" s="213"/>
      <c r="V551" s="205">
        <v>0</v>
      </c>
    </row>
    <row r="552" spans="1:22">
      <c r="A552" s="212" t="s">
        <v>211</v>
      </c>
      <c r="B552" s="213"/>
      <c r="C552" s="213"/>
      <c r="D552" s="213"/>
      <c r="E552" s="213"/>
      <c r="F552" s="213"/>
      <c r="G552" s="213"/>
      <c r="H552" s="213"/>
      <c r="I552" s="213"/>
      <c r="J552" s="213"/>
      <c r="K552" s="213"/>
      <c r="L552" s="213"/>
      <c r="M552" s="213"/>
      <c r="N552" s="213">
        <v>0</v>
      </c>
      <c r="O552" s="213"/>
      <c r="P552" s="213"/>
      <c r="Q552" s="213"/>
      <c r="R552" s="213"/>
      <c r="S552" s="213"/>
      <c r="T552" s="213"/>
      <c r="U552" s="213"/>
      <c r="V552" s="205">
        <v>0</v>
      </c>
    </row>
    <row r="553" spans="1:22">
      <c r="A553" s="212" t="s">
        <v>213</v>
      </c>
      <c r="B553" s="213"/>
      <c r="C553" s="213"/>
      <c r="D553" s="213"/>
      <c r="E553" s="213"/>
      <c r="F553" s="213"/>
      <c r="G553" s="213"/>
      <c r="H553" s="213"/>
      <c r="I553" s="213">
        <v>0</v>
      </c>
      <c r="J553" s="213"/>
      <c r="K553" s="213"/>
      <c r="L553" s="213"/>
      <c r="M553" s="213"/>
      <c r="N553" s="213"/>
      <c r="O553" s="213"/>
      <c r="P553" s="213"/>
      <c r="Q553" s="213"/>
      <c r="R553" s="213"/>
      <c r="S553" s="213"/>
      <c r="T553" s="213"/>
      <c r="U553" s="213"/>
      <c r="V553" s="205">
        <v>0</v>
      </c>
    </row>
    <row r="554" spans="1:22">
      <c r="A554" s="212" t="s">
        <v>182</v>
      </c>
      <c r="B554" s="213"/>
      <c r="C554" s="213"/>
      <c r="D554" s="213"/>
      <c r="E554" s="213"/>
      <c r="F554" s="213"/>
      <c r="G554" s="213"/>
      <c r="H554" s="213"/>
      <c r="I554" s="213"/>
      <c r="J554" s="213"/>
      <c r="K554" s="213"/>
      <c r="L554" s="213"/>
      <c r="M554" s="213"/>
      <c r="N554" s="213">
        <v>0</v>
      </c>
      <c r="O554" s="213"/>
      <c r="P554" s="213"/>
      <c r="Q554" s="213"/>
      <c r="R554" s="213"/>
      <c r="S554" s="213"/>
      <c r="T554" s="213"/>
      <c r="U554" s="213"/>
      <c r="V554" s="205">
        <v>0</v>
      </c>
    </row>
    <row r="555" spans="1:22">
      <c r="A555" s="212" t="s">
        <v>185</v>
      </c>
      <c r="B555" s="213"/>
      <c r="C555" s="213"/>
      <c r="D555" s="213"/>
      <c r="E555" s="213"/>
      <c r="F555" s="213"/>
      <c r="G555" s="213"/>
      <c r="H555" s="213"/>
      <c r="I555" s="213"/>
      <c r="J555" s="213"/>
      <c r="K555" s="213"/>
      <c r="L555" s="213"/>
      <c r="M555" s="213"/>
      <c r="N555" s="213"/>
      <c r="O555" s="213"/>
      <c r="P555" s="213">
        <v>0</v>
      </c>
      <c r="Q555" s="213"/>
      <c r="R555" s="213"/>
      <c r="S555" s="213"/>
      <c r="T555" s="213"/>
      <c r="U555" s="213"/>
      <c r="V555" s="205">
        <v>0</v>
      </c>
    </row>
    <row r="556" spans="1:22">
      <c r="A556" s="212" t="s">
        <v>187</v>
      </c>
      <c r="B556" s="213"/>
      <c r="C556" s="213"/>
      <c r="D556" s="213"/>
      <c r="E556" s="213"/>
      <c r="F556" s="213"/>
      <c r="G556" s="213"/>
      <c r="H556" s="213"/>
      <c r="I556" s="213"/>
      <c r="J556" s="213"/>
      <c r="K556" s="213"/>
      <c r="L556" s="213"/>
      <c r="M556" s="213"/>
      <c r="N556" s="213"/>
      <c r="O556" s="213"/>
      <c r="P556" s="213">
        <v>0</v>
      </c>
      <c r="Q556" s="213"/>
      <c r="R556" s="213"/>
      <c r="S556" s="213"/>
      <c r="T556" s="213"/>
      <c r="U556" s="213"/>
      <c r="V556" s="205">
        <v>0</v>
      </c>
    </row>
    <row r="557" spans="1:22">
      <c r="A557" s="212" t="s">
        <v>847</v>
      </c>
      <c r="B557" s="213"/>
      <c r="C557" s="213"/>
      <c r="D557" s="213"/>
      <c r="E557" s="213"/>
      <c r="F557" s="213"/>
      <c r="G557" s="213"/>
      <c r="H557" s="213"/>
      <c r="I557" s="213"/>
      <c r="J557" s="213"/>
      <c r="K557" s="213"/>
      <c r="L557" s="213"/>
      <c r="M557" s="213"/>
      <c r="N557" s="213"/>
      <c r="O557" s="213"/>
      <c r="P557" s="213">
        <v>0</v>
      </c>
      <c r="Q557" s="213"/>
      <c r="R557" s="213"/>
      <c r="S557" s="213"/>
      <c r="T557" s="213"/>
      <c r="U557" s="213"/>
      <c r="V557" s="205">
        <v>0</v>
      </c>
    </row>
    <row r="558" spans="1:22">
      <c r="A558" s="212" t="s">
        <v>524</v>
      </c>
      <c r="B558" s="213"/>
      <c r="C558" s="213"/>
      <c r="D558" s="213"/>
      <c r="E558" s="213"/>
      <c r="F558" s="213"/>
      <c r="G558" s="213"/>
      <c r="H558" s="213"/>
      <c r="I558" s="213"/>
      <c r="J558" s="213"/>
      <c r="K558" s="213"/>
      <c r="L558" s="213">
        <v>20</v>
      </c>
      <c r="M558" s="213"/>
      <c r="N558" s="213"/>
      <c r="O558" s="213"/>
      <c r="P558" s="213"/>
      <c r="Q558" s="213"/>
      <c r="R558" s="213"/>
      <c r="S558" s="213"/>
      <c r="T558" s="213"/>
      <c r="U558" s="213"/>
      <c r="V558" s="205">
        <v>20</v>
      </c>
    </row>
    <row r="559" spans="1:22">
      <c r="A559" s="212" t="s">
        <v>325</v>
      </c>
      <c r="B559" s="213"/>
      <c r="C559" s="213"/>
      <c r="D559" s="213"/>
      <c r="E559" s="213">
        <v>0</v>
      </c>
      <c r="F559" s="213"/>
      <c r="G559" s="213"/>
      <c r="H559" s="213"/>
      <c r="I559" s="213"/>
      <c r="J559" s="213"/>
      <c r="K559" s="213"/>
      <c r="L559" s="213"/>
      <c r="M559" s="213"/>
      <c r="N559" s="213"/>
      <c r="O559" s="213"/>
      <c r="P559" s="213"/>
      <c r="Q559" s="213"/>
      <c r="R559" s="213"/>
      <c r="S559" s="213"/>
      <c r="T559" s="213"/>
      <c r="U559" s="213"/>
      <c r="V559" s="205">
        <v>0</v>
      </c>
    </row>
    <row r="560" spans="1:22">
      <c r="A560" s="212" t="s">
        <v>587</v>
      </c>
      <c r="B560" s="213"/>
      <c r="C560" s="213"/>
      <c r="D560" s="213"/>
      <c r="E560" s="213"/>
      <c r="F560" s="213"/>
      <c r="G560" s="213"/>
      <c r="H560" s="213"/>
      <c r="I560" s="213"/>
      <c r="J560" s="213"/>
      <c r="K560" s="213"/>
      <c r="L560" s="213"/>
      <c r="M560" s="213"/>
      <c r="N560" s="213"/>
      <c r="O560" s="213">
        <v>0</v>
      </c>
      <c r="P560" s="213"/>
      <c r="Q560" s="213"/>
      <c r="R560" s="213"/>
      <c r="S560" s="213"/>
      <c r="T560" s="213"/>
      <c r="U560" s="213"/>
      <c r="V560" s="205">
        <v>0</v>
      </c>
    </row>
    <row r="561" spans="1:22">
      <c r="A561" s="212" t="s">
        <v>589</v>
      </c>
      <c r="B561" s="213"/>
      <c r="C561" s="213"/>
      <c r="D561" s="213"/>
      <c r="E561" s="213"/>
      <c r="F561" s="213"/>
      <c r="G561" s="213"/>
      <c r="H561" s="213"/>
      <c r="I561" s="213"/>
      <c r="J561" s="213"/>
      <c r="K561" s="213"/>
      <c r="L561" s="213"/>
      <c r="M561" s="213"/>
      <c r="N561" s="213"/>
      <c r="O561" s="213">
        <v>0</v>
      </c>
      <c r="P561" s="213"/>
      <c r="Q561" s="213"/>
      <c r="R561" s="213"/>
      <c r="S561" s="213"/>
      <c r="T561" s="213"/>
      <c r="U561" s="213"/>
      <c r="V561" s="205">
        <v>0</v>
      </c>
    </row>
    <row r="562" spans="1:22">
      <c r="A562" s="212" t="s">
        <v>216</v>
      </c>
      <c r="B562" s="213"/>
      <c r="C562" s="213"/>
      <c r="D562" s="213"/>
      <c r="E562" s="213"/>
      <c r="F562" s="213"/>
      <c r="G562" s="213"/>
      <c r="H562" s="213"/>
      <c r="I562" s="213">
        <v>0</v>
      </c>
      <c r="J562" s="213"/>
      <c r="K562" s="213"/>
      <c r="L562" s="213"/>
      <c r="M562" s="213"/>
      <c r="N562" s="213"/>
      <c r="O562" s="213"/>
      <c r="P562" s="213"/>
      <c r="Q562" s="213"/>
      <c r="R562" s="213"/>
      <c r="S562" s="213"/>
      <c r="T562" s="213"/>
      <c r="U562" s="213"/>
      <c r="V562" s="205">
        <v>0</v>
      </c>
    </row>
    <row r="563" spans="1:22">
      <c r="A563" s="212" t="s">
        <v>527</v>
      </c>
      <c r="B563" s="213"/>
      <c r="C563" s="213"/>
      <c r="D563" s="213">
        <v>32</v>
      </c>
      <c r="E563" s="213"/>
      <c r="F563" s="213"/>
      <c r="G563" s="213"/>
      <c r="H563" s="213"/>
      <c r="I563" s="213"/>
      <c r="J563" s="213"/>
      <c r="K563" s="213"/>
      <c r="L563" s="213"/>
      <c r="M563" s="213"/>
      <c r="N563" s="213"/>
      <c r="O563" s="213"/>
      <c r="P563" s="213"/>
      <c r="Q563" s="213"/>
      <c r="R563" s="213"/>
      <c r="S563" s="213"/>
      <c r="T563" s="213"/>
      <c r="U563" s="213"/>
      <c r="V563" s="205">
        <v>32</v>
      </c>
    </row>
    <row r="564" spans="1:22">
      <c r="A564" s="212" t="s">
        <v>1086</v>
      </c>
      <c r="B564" s="213"/>
      <c r="C564" s="213"/>
      <c r="D564" s="213"/>
      <c r="E564" s="213"/>
      <c r="F564" s="213"/>
      <c r="G564" s="213"/>
      <c r="H564" s="213"/>
      <c r="I564" s="213"/>
      <c r="J564" s="213"/>
      <c r="K564" s="213"/>
      <c r="L564" s="213"/>
      <c r="M564" s="213"/>
      <c r="N564" s="213"/>
      <c r="O564" s="213"/>
      <c r="P564" s="213"/>
      <c r="Q564" s="213"/>
      <c r="R564" s="213"/>
      <c r="S564" s="213"/>
      <c r="T564" s="213"/>
      <c r="U564" s="213">
        <v>0</v>
      </c>
      <c r="V564" s="205">
        <v>0</v>
      </c>
    </row>
    <row r="565" spans="1:22">
      <c r="A565" s="212" t="s">
        <v>426</v>
      </c>
      <c r="B565" s="213"/>
      <c r="C565" s="213"/>
      <c r="D565" s="213"/>
      <c r="E565" s="213"/>
      <c r="F565" s="213"/>
      <c r="G565" s="213"/>
      <c r="H565" s="213"/>
      <c r="I565" s="213"/>
      <c r="J565" s="213"/>
      <c r="K565" s="213"/>
      <c r="L565" s="213"/>
      <c r="M565" s="213"/>
      <c r="N565" s="213"/>
      <c r="O565" s="213"/>
      <c r="P565" s="213">
        <v>0</v>
      </c>
      <c r="Q565" s="213"/>
      <c r="R565" s="213"/>
      <c r="S565" s="213"/>
      <c r="T565" s="213"/>
      <c r="U565" s="213"/>
      <c r="V565" s="205">
        <v>0</v>
      </c>
    </row>
    <row r="566" spans="1:22">
      <c r="A566" s="212" t="s">
        <v>155</v>
      </c>
      <c r="B566" s="213"/>
      <c r="C566" s="213"/>
      <c r="D566" s="213"/>
      <c r="E566" s="213"/>
      <c r="F566" s="213"/>
      <c r="G566" s="213"/>
      <c r="H566" s="213"/>
      <c r="I566" s="213"/>
      <c r="J566" s="213"/>
      <c r="K566" s="213"/>
      <c r="L566" s="213"/>
      <c r="M566" s="213"/>
      <c r="N566" s="213"/>
      <c r="O566" s="213"/>
      <c r="P566" s="213"/>
      <c r="Q566" s="213">
        <v>240</v>
      </c>
      <c r="R566" s="213"/>
      <c r="S566" s="213"/>
      <c r="T566" s="213"/>
      <c r="U566" s="213"/>
      <c r="V566" s="205">
        <v>240</v>
      </c>
    </row>
    <row r="567" spans="1:22">
      <c r="A567" s="212" t="s">
        <v>870</v>
      </c>
      <c r="B567" s="213"/>
      <c r="C567" s="213"/>
      <c r="D567" s="213"/>
      <c r="E567" s="213"/>
      <c r="F567" s="213"/>
      <c r="G567" s="213"/>
      <c r="H567" s="213"/>
      <c r="I567" s="213"/>
      <c r="J567" s="213"/>
      <c r="K567" s="213"/>
      <c r="L567" s="213"/>
      <c r="M567" s="213"/>
      <c r="N567" s="213"/>
      <c r="O567" s="213"/>
      <c r="P567" s="213"/>
      <c r="Q567" s="213"/>
      <c r="R567" s="213"/>
      <c r="S567" s="213"/>
      <c r="T567" s="213">
        <v>0</v>
      </c>
      <c r="U567" s="213"/>
      <c r="V567" s="205">
        <v>0</v>
      </c>
    </row>
    <row r="568" spans="1:22">
      <c r="A568" s="212" t="s">
        <v>1081</v>
      </c>
      <c r="B568" s="213"/>
      <c r="C568" s="213"/>
      <c r="D568" s="213"/>
      <c r="E568" s="213"/>
      <c r="F568" s="213"/>
      <c r="G568" s="213"/>
      <c r="H568" s="213"/>
      <c r="I568" s="213">
        <v>0</v>
      </c>
      <c r="J568" s="213"/>
      <c r="K568" s="213"/>
      <c r="L568" s="213"/>
      <c r="M568" s="213"/>
      <c r="N568" s="213"/>
      <c r="O568" s="213"/>
      <c r="P568" s="213"/>
      <c r="Q568" s="213"/>
      <c r="R568" s="213"/>
      <c r="S568" s="213"/>
      <c r="T568" s="213"/>
      <c r="U568" s="213"/>
      <c r="V568" s="205">
        <v>0</v>
      </c>
    </row>
    <row r="569" spans="1:22">
      <c r="A569" s="212" t="s">
        <v>189</v>
      </c>
      <c r="B569" s="213"/>
      <c r="C569" s="213"/>
      <c r="D569" s="213"/>
      <c r="E569" s="213"/>
      <c r="F569" s="213"/>
      <c r="G569" s="213"/>
      <c r="H569" s="213"/>
      <c r="I569" s="213"/>
      <c r="J569" s="213"/>
      <c r="K569" s="213"/>
      <c r="L569" s="213"/>
      <c r="M569" s="213"/>
      <c r="N569" s="213"/>
      <c r="O569" s="213"/>
      <c r="P569" s="213"/>
      <c r="Q569" s="213"/>
      <c r="R569" s="213"/>
      <c r="S569" s="213">
        <v>0</v>
      </c>
      <c r="T569" s="213"/>
      <c r="U569" s="213"/>
      <c r="V569" s="205">
        <v>0</v>
      </c>
    </row>
    <row r="570" spans="1:22">
      <c r="A570" s="212" t="s">
        <v>848</v>
      </c>
      <c r="B570" s="213"/>
      <c r="C570" s="213"/>
      <c r="D570" s="213"/>
      <c r="E570" s="213"/>
      <c r="F570" s="213"/>
      <c r="G570" s="213"/>
      <c r="H570" s="213"/>
      <c r="I570" s="213"/>
      <c r="J570" s="213"/>
      <c r="K570" s="213"/>
      <c r="L570" s="213"/>
      <c r="M570" s="213"/>
      <c r="N570" s="213"/>
      <c r="O570" s="213"/>
      <c r="P570" s="213"/>
      <c r="Q570" s="213"/>
      <c r="R570" s="213"/>
      <c r="S570" s="213"/>
      <c r="T570" s="213"/>
      <c r="U570" s="213">
        <v>0</v>
      </c>
      <c r="V570" s="205">
        <v>0</v>
      </c>
    </row>
    <row r="571" spans="1:22">
      <c r="A571" s="212" t="s">
        <v>219</v>
      </c>
      <c r="B571" s="213"/>
      <c r="C571" s="213"/>
      <c r="D571" s="213"/>
      <c r="E571" s="213"/>
      <c r="F571" s="213"/>
      <c r="G571" s="213"/>
      <c r="H571" s="213"/>
      <c r="I571" s="213"/>
      <c r="J571" s="213"/>
      <c r="K571" s="213"/>
      <c r="L571" s="213"/>
      <c r="M571" s="213"/>
      <c r="N571" s="213"/>
      <c r="O571" s="213"/>
      <c r="P571" s="213"/>
      <c r="Q571" s="213"/>
      <c r="R571" s="213"/>
      <c r="S571" s="213">
        <v>0</v>
      </c>
      <c r="T571" s="213"/>
      <c r="U571" s="213"/>
      <c r="V571" s="205">
        <v>0</v>
      </c>
    </row>
    <row r="572" spans="1:22">
      <c r="A572" s="212" t="s">
        <v>364</v>
      </c>
      <c r="B572" s="213"/>
      <c r="C572" s="213"/>
      <c r="D572" s="213"/>
      <c r="E572" s="213"/>
      <c r="F572" s="213"/>
      <c r="G572" s="213"/>
      <c r="H572" s="213"/>
      <c r="I572" s="213"/>
      <c r="J572" s="213"/>
      <c r="K572" s="213">
        <v>60</v>
      </c>
      <c r="L572" s="213"/>
      <c r="M572" s="213"/>
      <c r="N572" s="213"/>
      <c r="O572" s="213"/>
      <c r="P572" s="213"/>
      <c r="Q572" s="213"/>
      <c r="R572" s="213"/>
      <c r="S572" s="213"/>
      <c r="T572" s="213"/>
      <c r="U572" s="213"/>
      <c r="V572" s="205">
        <v>60</v>
      </c>
    </row>
    <row r="573" spans="1:22">
      <c r="A573" s="212" t="s">
        <v>676</v>
      </c>
      <c r="B573" s="213"/>
      <c r="C573" s="213"/>
      <c r="D573" s="213"/>
      <c r="E573" s="213"/>
      <c r="F573" s="213"/>
      <c r="G573" s="213"/>
      <c r="H573" s="213"/>
      <c r="I573" s="213"/>
      <c r="J573" s="213"/>
      <c r="K573" s="213">
        <v>0</v>
      </c>
      <c r="L573" s="213"/>
      <c r="M573" s="213"/>
      <c r="N573" s="213"/>
      <c r="O573" s="213"/>
      <c r="P573" s="213"/>
      <c r="Q573" s="213"/>
      <c r="R573" s="213"/>
      <c r="S573" s="213"/>
      <c r="T573" s="213"/>
      <c r="U573" s="213"/>
      <c r="V573" s="205">
        <v>0</v>
      </c>
    </row>
    <row r="574" spans="1:22">
      <c r="A574" s="212" t="s">
        <v>367</v>
      </c>
      <c r="B574" s="213"/>
      <c r="C574" s="213"/>
      <c r="D574" s="213"/>
      <c r="E574" s="213"/>
      <c r="F574" s="213"/>
      <c r="G574" s="213"/>
      <c r="H574" s="213"/>
      <c r="I574" s="213"/>
      <c r="J574" s="213"/>
      <c r="K574" s="213">
        <v>0</v>
      </c>
      <c r="L574" s="213"/>
      <c r="M574" s="213"/>
      <c r="N574" s="213"/>
      <c r="O574" s="213"/>
      <c r="P574" s="213"/>
      <c r="Q574" s="213"/>
      <c r="R574" s="213"/>
      <c r="S574" s="213"/>
      <c r="T574" s="213"/>
      <c r="U574" s="213"/>
      <c r="V574" s="205">
        <v>0</v>
      </c>
    </row>
    <row r="575" spans="1:22">
      <c r="A575" s="212" t="s">
        <v>297</v>
      </c>
      <c r="B575" s="213">
        <v>0</v>
      </c>
      <c r="C575" s="213"/>
      <c r="D575" s="213"/>
      <c r="E575" s="213"/>
      <c r="F575" s="213"/>
      <c r="G575" s="213"/>
      <c r="H575" s="213"/>
      <c r="I575" s="213"/>
      <c r="J575" s="213"/>
      <c r="K575" s="213"/>
      <c r="L575" s="213"/>
      <c r="M575" s="213"/>
      <c r="N575" s="213"/>
      <c r="O575" s="213"/>
      <c r="P575" s="213"/>
      <c r="Q575" s="213"/>
      <c r="R575" s="213"/>
      <c r="S575" s="213"/>
      <c r="T575" s="213"/>
      <c r="U575" s="213"/>
      <c r="V575" s="205">
        <v>0</v>
      </c>
    </row>
    <row r="576" spans="1:22">
      <c r="A576" s="212" t="s">
        <v>529</v>
      </c>
      <c r="B576" s="213"/>
      <c r="C576" s="213"/>
      <c r="D576" s="213"/>
      <c r="E576" s="213"/>
      <c r="F576" s="213"/>
      <c r="G576" s="213"/>
      <c r="H576" s="213"/>
      <c r="I576" s="213"/>
      <c r="J576" s="213"/>
      <c r="K576" s="213"/>
      <c r="L576" s="213"/>
      <c r="M576" s="213"/>
      <c r="N576" s="213"/>
      <c r="O576" s="213"/>
      <c r="P576" s="213"/>
      <c r="Q576" s="213"/>
      <c r="R576" s="213"/>
      <c r="S576" s="213"/>
      <c r="T576" s="213">
        <v>0</v>
      </c>
      <c r="U576" s="213"/>
      <c r="V576" s="205">
        <v>0</v>
      </c>
    </row>
    <row r="577" spans="1:22">
      <c r="A577" s="212" t="s">
        <v>531</v>
      </c>
      <c r="B577" s="213"/>
      <c r="C577" s="213"/>
      <c r="D577" s="213"/>
      <c r="E577" s="213"/>
      <c r="F577" s="213"/>
      <c r="G577" s="213"/>
      <c r="H577" s="213"/>
      <c r="I577" s="213"/>
      <c r="J577" s="213"/>
      <c r="K577" s="213">
        <v>96</v>
      </c>
      <c r="L577" s="213"/>
      <c r="M577" s="213"/>
      <c r="N577" s="213"/>
      <c r="O577" s="213"/>
      <c r="P577" s="213"/>
      <c r="Q577" s="213"/>
      <c r="R577" s="213"/>
      <c r="S577" s="213"/>
      <c r="T577" s="213"/>
      <c r="U577" s="213"/>
      <c r="V577" s="205">
        <v>96</v>
      </c>
    </row>
    <row r="578" spans="1:22">
      <c r="A578" s="212" t="s">
        <v>251</v>
      </c>
      <c r="B578" s="213"/>
      <c r="C578" s="213"/>
      <c r="D578" s="213"/>
      <c r="E578" s="213"/>
      <c r="F578" s="213">
        <v>24</v>
      </c>
      <c r="G578" s="213"/>
      <c r="H578" s="213"/>
      <c r="I578" s="213"/>
      <c r="J578" s="213"/>
      <c r="K578" s="213"/>
      <c r="L578" s="213"/>
      <c r="M578" s="213"/>
      <c r="N578" s="213"/>
      <c r="O578" s="213"/>
      <c r="P578" s="213"/>
      <c r="Q578" s="213"/>
      <c r="R578" s="213"/>
      <c r="S578" s="213"/>
      <c r="T578" s="213"/>
      <c r="U578" s="213"/>
      <c r="V578" s="205">
        <v>24</v>
      </c>
    </row>
    <row r="579" spans="1:22">
      <c r="A579" s="212" t="s">
        <v>255</v>
      </c>
      <c r="B579" s="213"/>
      <c r="C579" s="213">
        <v>108</v>
      </c>
      <c r="D579" s="213"/>
      <c r="E579" s="213"/>
      <c r="F579" s="213"/>
      <c r="G579" s="213"/>
      <c r="H579" s="213"/>
      <c r="I579" s="213"/>
      <c r="J579" s="213"/>
      <c r="K579" s="213"/>
      <c r="L579" s="213"/>
      <c r="M579" s="213"/>
      <c r="N579" s="213"/>
      <c r="O579" s="213"/>
      <c r="P579" s="213"/>
      <c r="Q579" s="213"/>
      <c r="R579" s="213"/>
      <c r="S579" s="213"/>
      <c r="T579" s="213"/>
      <c r="U579" s="213"/>
      <c r="V579" s="205">
        <v>108</v>
      </c>
    </row>
    <row r="580" spans="1:22">
      <c r="A580" s="212" t="s">
        <v>688</v>
      </c>
      <c r="B580" s="213"/>
      <c r="C580" s="213"/>
      <c r="D580" s="213"/>
      <c r="E580" s="213"/>
      <c r="F580" s="213"/>
      <c r="G580" s="213"/>
      <c r="H580" s="213"/>
      <c r="I580" s="213"/>
      <c r="J580" s="213"/>
      <c r="K580" s="213"/>
      <c r="L580" s="213"/>
      <c r="M580" s="213"/>
      <c r="N580" s="213"/>
      <c r="O580" s="213"/>
      <c r="P580" s="213"/>
      <c r="Q580" s="213">
        <v>32</v>
      </c>
      <c r="R580" s="213"/>
      <c r="S580" s="213"/>
      <c r="T580" s="213"/>
      <c r="U580" s="213"/>
      <c r="V580" s="205">
        <v>32</v>
      </c>
    </row>
    <row r="581" spans="1:22">
      <c r="A581" s="212" t="s">
        <v>689</v>
      </c>
      <c r="B581" s="213"/>
      <c r="C581" s="213"/>
      <c r="D581" s="213"/>
      <c r="E581" s="213"/>
      <c r="F581" s="213"/>
      <c r="G581" s="213"/>
      <c r="H581" s="213"/>
      <c r="I581" s="213"/>
      <c r="J581" s="213"/>
      <c r="K581" s="213"/>
      <c r="L581" s="213"/>
      <c r="M581" s="213"/>
      <c r="N581" s="213"/>
      <c r="O581" s="213"/>
      <c r="P581" s="213"/>
      <c r="Q581" s="213">
        <v>0</v>
      </c>
      <c r="R581" s="213"/>
      <c r="S581" s="213"/>
      <c r="T581" s="213"/>
      <c r="U581" s="213"/>
      <c r="V581" s="205">
        <v>0</v>
      </c>
    </row>
    <row r="582" spans="1:22">
      <c r="A582" s="212" t="s">
        <v>258</v>
      </c>
      <c r="B582" s="213"/>
      <c r="C582" s="213"/>
      <c r="D582" s="213"/>
      <c r="E582" s="213"/>
      <c r="F582" s="213"/>
      <c r="G582" s="213"/>
      <c r="H582" s="213"/>
      <c r="I582" s="213"/>
      <c r="J582" s="213"/>
      <c r="K582" s="213"/>
      <c r="L582" s="213"/>
      <c r="M582" s="213"/>
      <c r="N582" s="213"/>
      <c r="O582" s="213"/>
      <c r="P582" s="213"/>
      <c r="Q582" s="213">
        <v>0</v>
      </c>
      <c r="R582" s="213"/>
      <c r="S582" s="213"/>
      <c r="T582" s="213"/>
      <c r="U582" s="213"/>
      <c r="V582" s="205">
        <v>0</v>
      </c>
    </row>
    <row r="583" spans="1:22">
      <c r="A583" s="212" t="s">
        <v>261</v>
      </c>
      <c r="B583" s="213"/>
      <c r="C583" s="213">
        <v>156</v>
      </c>
      <c r="D583" s="213"/>
      <c r="E583" s="213"/>
      <c r="F583" s="213"/>
      <c r="G583" s="213"/>
      <c r="H583" s="213"/>
      <c r="I583" s="213"/>
      <c r="J583" s="213"/>
      <c r="K583" s="213"/>
      <c r="L583" s="213"/>
      <c r="M583" s="213"/>
      <c r="N583" s="213"/>
      <c r="O583" s="213"/>
      <c r="P583" s="213"/>
      <c r="Q583" s="213"/>
      <c r="R583" s="213"/>
      <c r="S583" s="213"/>
      <c r="T583" s="213"/>
      <c r="U583" s="213"/>
      <c r="V583" s="205">
        <v>156</v>
      </c>
    </row>
    <row r="584" spans="1:22">
      <c r="A584" s="212" t="s">
        <v>1160</v>
      </c>
      <c r="B584" s="213"/>
      <c r="C584" s="213"/>
      <c r="D584" s="213"/>
      <c r="E584" s="213"/>
      <c r="F584" s="213"/>
      <c r="G584" s="213"/>
      <c r="H584" s="213"/>
      <c r="I584" s="213"/>
      <c r="J584" s="213"/>
      <c r="K584" s="213"/>
      <c r="L584" s="213"/>
      <c r="M584" s="213"/>
      <c r="N584" s="213"/>
      <c r="O584" s="213">
        <v>20</v>
      </c>
      <c r="P584" s="213"/>
      <c r="Q584" s="213"/>
      <c r="R584" s="213"/>
      <c r="S584" s="213"/>
      <c r="T584" s="213"/>
      <c r="U584" s="213"/>
      <c r="V584" s="205">
        <v>20</v>
      </c>
    </row>
    <row r="585" spans="1:22">
      <c r="A585" s="212" t="s">
        <v>1113</v>
      </c>
      <c r="B585" s="213"/>
      <c r="C585" s="213"/>
      <c r="D585" s="213"/>
      <c r="E585" s="213"/>
      <c r="F585" s="213"/>
      <c r="G585" s="213"/>
      <c r="H585" s="213"/>
      <c r="I585" s="213"/>
      <c r="J585" s="213"/>
      <c r="K585" s="213"/>
      <c r="L585" s="213"/>
      <c r="M585" s="213"/>
      <c r="N585" s="213"/>
      <c r="O585" s="213"/>
      <c r="P585" s="213"/>
      <c r="Q585" s="213">
        <v>0</v>
      </c>
      <c r="R585" s="213"/>
      <c r="S585" s="213"/>
      <c r="T585" s="213"/>
      <c r="U585" s="213"/>
      <c r="V585" s="205">
        <v>0</v>
      </c>
    </row>
    <row r="586" spans="1:22">
      <c r="A586" s="212" t="s">
        <v>853</v>
      </c>
      <c r="B586" s="213"/>
      <c r="C586" s="213"/>
      <c r="D586" s="213"/>
      <c r="E586" s="213"/>
      <c r="F586" s="213"/>
      <c r="G586" s="213"/>
      <c r="H586" s="213"/>
      <c r="I586" s="213"/>
      <c r="J586" s="213"/>
      <c r="K586" s="213"/>
      <c r="L586" s="213"/>
      <c r="M586" s="213"/>
      <c r="N586" s="213"/>
      <c r="O586" s="213">
        <v>0</v>
      </c>
      <c r="P586" s="213"/>
      <c r="Q586" s="213"/>
      <c r="R586" s="213"/>
      <c r="S586" s="213"/>
      <c r="T586" s="213"/>
      <c r="U586" s="213"/>
      <c r="V586" s="205">
        <v>0</v>
      </c>
    </row>
    <row r="587" spans="1:22">
      <c r="A587" s="212" t="s">
        <v>1156</v>
      </c>
      <c r="B587" s="213"/>
      <c r="C587" s="213"/>
      <c r="D587" s="213"/>
      <c r="E587" s="213"/>
      <c r="F587" s="213"/>
      <c r="G587" s="213"/>
      <c r="H587" s="213"/>
      <c r="I587" s="213"/>
      <c r="J587" s="213"/>
      <c r="K587" s="213"/>
      <c r="L587" s="213"/>
      <c r="M587" s="213"/>
      <c r="N587" s="213"/>
      <c r="O587" s="213"/>
      <c r="P587" s="213"/>
      <c r="Q587" s="213">
        <v>0</v>
      </c>
      <c r="R587" s="213"/>
      <c r="S587" s="213"/>
      <c r="T587" s="213"/>
      <c r="U587" s="213"/>
      <c r="V587" s="205">
        <v>0</v>
      </c>
    </row>
    <row r="588" spans="1:22">
      <c r="A588" s="212" t="s">
        <v>265</v>
      </c>
      <c r="B588" s="213"/>
      <c r="C588" s="213"/>
      <c r="D588" s="213"/>
      <c r="E588" s="213"/>
      <c r="F588" s="213"/>
      <c r="G588" s="213"/>
      <c r="H588" s="213"/>
      <c r="I588" s="213"/>
      <c r="J588" s="213"/>
      <c r="K588" s="213"/>
      <c r="L588" s="213"/>
      <c r="M588" s="213"/>
      <c r="N588" s="213"/>
      <c r="O588" s="213"/>
      <c r="P588" s="213"/>
      <c r="Q588" s="213">
        <v>420</v>
      </c>
      <c r="R588" s="213"/>
      <c r="S588" s="213"/>
      <c r="T588" s="213"/>
      <c r="U588" s="213"/>
      <c r="V588" s="205">
        <v>420</v>
      </c>
    </row>
    <row r="589" spans="1:22">
      <c r="A589" s="212" t="s">
        <v>533</v>
      </c>
      <c r="B589" s="213"/>
      <c r="C589" s="213"/>
      <c r="D589" s="213"/>
      <c r="E589" s="213"/>
      <c r="F589" s="213"/>
      <c r="G589" s="213"/>
      <c r="H589" s="213"/>
      <c r="I589" s="213"/>
      <c r="J589" s="213"/>
      <c r="K589" s="213"/>
      <c r="L589" s="213"/>
      <c r="M589" s="213"/>
      <c r="N589" s="213"/>
      <c r="O589" s="213">
        <v>0</v>
      </c>
      <c r="P589" s="213"/>
      <c r="Q589" s="213"/>
      <c r="R589" s="213"/>
      <c r="S589" s="213"/>
      <c r="T589" s="213"/>
      <c r="U589" s="213"/>
      <c r="V589" s="205">
        <v>0</v>
      </c>
    </row>
    <row r="590" spans="1:22">
      <c r="A590" s="212" t="s">
        <v>1117</v>
      </c>
      <c r="B590" s="213"/>
      <c r="C590" s="213"/>
      <c r="D590" s="213"/>
      <c r="E590" s="213"/>
      <c r="F590" s="213"/>
      <c r="G590" s="213"/>
      <c r="H590" s="213"/>
      <c r="I590" s="213"/>
      <c r="J590" s="213"/>
      <c r="K590" s="213">
        <v>0</v>
      </c>
      <c r="L590" s="213"/>
      <c r="M590" s="213"/>
      <c r="N590" s="213"/>
      <c r="O590" s="213"/>
      <c r="P590" s="213"/>
      <c r="Q590" s="213"/>
      <c r="R590" s="213"/>
      <c r="S590" s="213"/>
      <c r="T590" s="213"/>
      <c r="U590" s="213"/>
      <c r="V590" s="205">
        <v>0</v>
      </c>
    </row>
    <row r="591" spans="1:22">
      <c r="A591" s="212" t="s">
        <v>535</v>
      </c>
      <c r="B591" s="213"/>
      <c r="C591" s="213"/>
      <c r="D591" s="213">
        <v>0</v>
      </c>
      <c r="E591" s="213"/>
      <c r="F591" s="213"/>
      <c r="G591" s="213"/>
      <c r="H591" s="213"/>
      <c r="I591" s="213"/>
      <c r="J591" s="213"/>
      <c r="K591" s="213"/>
      <c r="L591" s="213"/>
      <c r="M591" s="213"/>
      <c r="N591" s="213"/>
      <c r="O591" s="213"/>
      <c r="P591" s="213"/>
      <c r="Q591" s="213"/>
      <c r="R591" s="213"/>
      <c r="S591" s="213"/>
      <c r="T591" s="213"/>
      <c r="U591" s="213"/>
      <c r="V591" s="205">
        <v>0</v>
      </c>
    </row>
    <row r="592" spans="1:22">
      <c r="A592" s="212" t="s">
        <v>537</v>
      </c>
      <c r="B592" s="213"/>
      <c r="C592" s="213"/>
      <c r="D592" s="213"/>
      <c r="E592" s="213"/>
      <c r="F592" s="213"/>
      <c r="G592" s="213"/>
      <c r="H592" s="213"/>
      <c r="I592" s="213"/>
      <c r="J592" s="213"/>
      <c r="K592" s="213"/>
      <c r="L592" s="213">
        <v>16</v>
      </c>
      <c r="M592" s="213"/>
      <c r="N592" s="213"/>
      <c r="O592" s="213"/>
      <c r="P592" s="213"/>
      <c r="Q592" s="213"/>
      <c r="R592" s="213"/>
      <c r="S592" s="213"/>
      <c r="T592" s="213"/>
      <c r="U592" s="213"/>
      <c r="V592" s="205">
        <v>16</v>
      </c>
    </row>
    <row r="593" spans="1:22">
      <c r="A593" s="212" t="s">
        <v>222</v>
      </c>
      <c r="B593" s="213"/>
      <c r="C593" s="213"/>
      <c r="D593" s="213"/>
      <c r="E593" s="213"/>
      <c r="F593" s="213"/>
      <c r="G593" s="213"/>
      <c r="H593" s="213"/>
      <c r="I593" s="213">
        <v>0</v>
      </c>
      <c r="J593" s="213"/>
      <c r="K593" s="213"/>
      <c r="L593" s="213"/>
      <c r="M593" s="213"/>
      <c r="N593" s="213"/>
      <c r="O593" s="213"/>
      <c r="P593" s="213"/>
      <c r="Q593" s="213"/>
      <c r="R593" s="213"/>
      <c r="S593" s="213"/>
      <c r="T593" s="213"/>
      <c r="U593" s="213"/>
      <c r="V593" s="205">
        <v>0</v>
      </c>
    </row>
    <row r="594" spans="1:22">
      <c r="A594" s="212" t="s">
        <v>302</v>
      </c>
      <c r="B594" s="213"/>
      <c r="C594" s="213"/>
      <c r="D594" s="213"/>
      <c r="E594" s="213">
        <v>280</v>
      </c>
      <c r="F594" s="213"/>
      <c r="G594" s="213"/>
      <c r="H594" s="213"/>
      <c r="I594" s="213"/>
      <c r="J594" s="213"/>
      <c r="K594" s="213"/>
      <c r="L594" s="213"/>
      <c r="M594" s="213"/>
      <c r="N594" s="213"/>
      <c r="O594" s="213"/>
      <c r="P594" s="213"/>
      <c r="Q594" s="213"/>
      <c r="R594" s="213"/>
      <c r="S594" s="213"/>
      <c r="T594" s="213"/>
      <c r="U594" s="213"/>
      <c r="V594" s="205">
        <v>280</v>
      </c>
    </row>
    <row r="595" spans="1:22">
      <c r="A595" s="212" t="s">
        <v>368</v>
      </c>
      <c r="B595" s="213"/>
      <c r="C595" s="213"/>
      <c r="D595" s="213"/>
      <c r="E595" s="213">
        <v>56</v>
      </c>
      <c r="F595" s="213"/>
      <c r="G595" s="213"/>
      <c r="H595" s="213"/>
      <c r="I595" s="213"/>
      <c r="J595" s="213"/>
      <c r="K595" s="213"/>
      <c r="L595" s="213"/>
      <c r="M595" s="213"/>
      <c r="N595" s="213"/>
      <c r="O595" s="213"/>
      <c r="P595" s="213"/>
      <c r="Q595" s="213"/>
      <c r="R595" s="213"/>
      <c r="S595" s="213"/>
      <c r="T595" s="213"/>
      <c r="U595" s="213"/>
      <c r="V595" s="205">
        <v>56</v>
      </c>
    </row>
    <row r="596" spans="1:22">
      <c r="A596" s="212" t="s">
        <v>840</v>
      </c>
      <c r="B596" s="213"/>
      <c r="C596" s="213"/>
      <c r="D596" s="213"/>
      <c r="E596" s="213">
        <v>0</v>
      </c>
      <c r="F596" s="213"/>
      <c r="G596" s="213"/>
      <c r="H596" s="213"/>
      <c r="I596" s="213"/>
      <c r="J596" s="213"/>
      <c r="K596" s="213"/>
      <c r="L596" s="213"/>
      <c r="M596" s="213"/>
      <c r="N596" s="213"/>
      <c r="O596" s="213"/>
      <c r="P596" s="213"/>
      <c r="Q596" s="213"/>
      <c r="R596" s="213"/>
      <c r="S596" s="213"/>
      <c r="T596" s="213"/>
      <c r="U596" s="213"/>
      <c r="V596" s="205">
        <v>0</v>
      </c>
    </row>
    <row r="597" spans="1:22">
      <c r="A597" s="212" t="s">
        <v>540</v>
      </c>
      <c r="B597" s="213"/>
      <c r="C597" s="213"/>
      <c r="D597" s="213"/>
      <c r="E597" s="213">
        <v>16</v>
      </c>
      <c r="F597" s="213"/>
      <c r="G597" s="213"/>
      <c r="H597" s="213"/>
      <c r="I597" s="213"/>
      <c r="J597" s="213"/>
      <c r="K597" s="213"/>
      <c r="L597" s="213"/>
      <c r="M597" s="213"/>
      <c r="N597" s="213"/>
      <c r="O597" s="213"/>
      <c r="P597" s="213"/>
      <c r="Q597" s="213"/>
      <c r="R597" s="213"/>
      <c r="S597" s="213"/>
      <c r="T597" s="213"/>
      <c r="U597" s="213"/>
      <c r="V597" s="205">
        <v>16</v>
      </c>
    </row>
    <row r="598" spans="1:22">
      <c r="A598" s="212" t="s">
        <v>370</v>
      </c>
      <c r="B598" s="213"/>
      <c r="C598" s="213"/>
      <c r="D598" s="213"/>
      <c r="E598" s="213"/>
      <c r="F598" s="213"/>
      <c r="G598" s="213"/>
      <c r="H598" s="213">
        <v>16</v>
      </c>
      <c r="I598" s="213"/>
      <c r="J598" s="213"/>
      <c r="K598" s="213"/>
      <c r="L598" s="213"/>
      <c r="M598" s="213"/>
      <c r="N598" s="213"/>
      <c r="O598" s="213"/>
      <c r="P598" s="213"/>
      <c r="Q598" s="213"/>
      <c r="R598" s="213"/>
      <c r="S598" s="213"/>
      <c r="T598" s="213"/>
      <c r="U598" s="213"/>
      <c r="V598" s="205">
        <v>16</v>
      </c>
    </row>
    <row r="599" spans="1:22">
      <c r="A599" s="212" t="s">
        <v>373</v>
      </c>
      <c r="B599" s="213"/>
      <c r="C599" s="213"/>
      <c r="D599" s="213"/>
      <c r="E599" s="213"/>
      <c r="F599" s="213"/>
      <c r="G599" s="213"/>
      <c r="H599" s="213">
        <v>0</v>
      </c>
      <c r="I599" s="213"/>
      <c r="J599" s="213"/>
      <c r="K599" s="213"/>
      <c r="L599" s="213"/>
      <c r="M599" s="213"/>
      <c r="N599" s="213"/>
      <c r="O599" s="213"/>
      <c r="P599" s="213"/>
      <c r="Q599" s="213"/>
      <c r="R599" s="213"/>
      <c r="S599" s="213"/>
      <c r="T599" s="213"/>
      <c r="U599" s="213"/>
      <c r="V599" s="205">
        <v>0</v>
      </c>
    </row>
    <row r="600" spans="1:22">
      <c r="A600" s="212" t="s">
        <v>685</v>
      </c>
      <c r="B600" s="213"/>
      <c r="C600" s="213"/>
      <c r="D600" s="213"/>
      <c r="E600" s="213"/>
      <c r="F600" s="213"/>
      <c r="G600" s="213"/>
      <c r="H600" s="213">
        <v>0</v>
      </c>
      <c r="I600" s="213"/>
      <c r="J600" s="213"/>
      <c r="K600" s="213"/>
      <c r="L600" s="213"/>
      <c r="M600" s="213"/>
      <c r="N600" s="213"/>
      <c r="O600" s="213"/>
      <c r="P600" s="213"/>
      <c r="Q600" s="213"/>
      <c r="R600" s="213"/>
      <c r="S600" s="213"/>
      <c r="T600" s="213"/>
      <c r="U600" s="213"/>
      <c r="V600" s="205">
        <v>0</v>
      </c>
    </row>
    <row r="601" spans="1:22">
      <c r="A601" s="212" t="s">
        <v>192</v>
      </c>
      <c r="B601" s="213"/>
      <c r="C601" s="213"/>
      <c r="D601" s="213"/>
      <c r="E601" s="213"/>
      <c r="F601" s="213"/>
      <c r="G601" s="213"/>
      <c r="H601" s="213"/>
      <c r="I601" s="213"/>
      <c r="J601" s="213"/>
      <c r="K601" s="213"/>
      <c r="L601" s="213"/>
      <c r="M601" s="213"/>
      <c r="N601" s="213">
        <v>0</v>
      </c>
      <c r="O601" s="213"/>
      <c r="P601" s="213"/>
      <c r="Q601" s="213"/>
      <c r="R601" s="213"/>
      <c r="S601" s="213"/>
      <c r="T601" s="213"/>
      <c r="U601" s="213"/>
      <c r="V601" s="205">
        <v>0</v>
      </c>
    </row>
    <row r="602" spans="1:22">
      <c r="A602" s="212" t="s">
        <v>543</v>
      </c>
      <c r="B602" s="213"/>
      <c r="C602" s="213"/>
      <c r="D602" s="213"/>
      <c r="E602" s="213"/>
      <c r="F602" s="213"/>
      <c r="G602" s="213"/>
      <c r="H602" s="213"/>
      <c r="I602" s="213"/>
      <c r="J602" s="213"/>
      <c r="K602" s="213"/>
      <c r="L602" s="213"/>
      <c r="M602" s="213"/>
      <c r="N602" s="213"/>
      <c r="O602" s="213">
        <v>0</v>
      </c>
      <c r="P602" s="213"/>
      <c r="Q602" s="213"/>
      <c r="R602" s="213"/>
      <c r="S602" s="213"/>
      <c r="T602" s="213"/>
      <c r="U602" s="213"/>
      <c r="V602" s="205">
        <v>0</v>
      </c>
    </row>
    <row r="603" spans="1:22">
      <c r="A603" s="212" t="s">
        <v>546</v>
      </c>
      <c r="B603" s="213"/>
      <c r="C603" s="213"/>
      <c r="D603" s="213"/>
      <c r="E603" s="213"/>
      <c r="F603" s="213"/>
      <c r="G603" s="213"/>
      <c r="H603" s="213"/>
      <c r="I603" s="213"/>
      <c r="J603" s="213"/>
      <c r="K603" s="213"/>
      <c r="L603" s="213"/>
      <c r="M603" s="213"/>
      <c r="N603" s="213"/>
      <c r="O603" s="213">
        <v>0</v>
      </c>
      <c r="P603" s="213"/>
      <c r="Q603" s="213"/>
      <c r="R603" s="213"/>
      <c r="S603" s="213"/>
      <c r="T603" s="213"/>
      <c r="U603" s="213"/>
      <c r="V603" s="205">
        <v>0</v>
      </c>
    </row>
    <row r="604" spans="1:22">
      <c r="A604" s="212" t="s">
        <v>849</v>
      </c>
      <c r="B604" s="213"/>
      <c r="C604" s="213"/>
      <c r="D604" s="213"/>
      <c r="E604" s="213"/>
      <c r="F604" s="213"/>
      <c r="G604" s="213"/>
      <c r="H604" s="213"/>
      <c r="I604" s="213"/>
      <c r="J604" s="213"/>
      <c r="K604" s="213"/>
      <c r="L604" s="213"/>
      <c r="M604" s="213"/>
      <c r="N604" s="213">
        <v>0</v>
      </c>
      <c r="O604" s="213"/>
      <c r="P604" s="213"/>
      <c r="Q604" s="213"/>
      <c r="R604" s="213"/>
      <c r="S604" s="213"/>
      <c r="T604" s="213"/>
      <c r="U604" s="213">
        <v>0</v>
      </c>
      <c r="V604" s="205">
        <v>0</v>
      </c>
    </row>
    <row r="605" spans="1:22">
      <c r="A605" s="212" t="s">
        <v>548</v>
      </c>
      <c r="B605" s="213"/>
      <c r="C605" s="213"/>
      <c r="D605" s="213"/>
      <c r="E605" s="213">
        <v>32</v>
      </c>
      <c r="F605" s="213"/>
      <c r="G605" s="213"/>
      <c r="H605" s="213"/>
      <c r="I605" s="213"/>
      <c r="J605" s="213"/>
      <c r="K605" s="213"/>
      <c r="L605" s="213"/>
      <c r="M605" s="213"/>
      <c r="N605" s="213"/>
      <c r="O605" s="213"/>
      <c r="P605" s="213"/>
      <c r="Q605" s="213"/>
      <c r="R605" s="213"/>
      <c r="S605" s="213"/>
      <c r="T605" s="213"/>
      <c r="U605" s="213"/>
      <c r="V605" s="205">
        <v>32</v>
      </c>
    </row>
    <row r="606" spans="1:22">
      <c r="A606" s="212" t="s">
        <v>550</v>
      </c>
      <c r="B606" s="213"/>
      <c r="C606" s="213"/>
      <c r="D606" s="213"/>
      <c r="E606" s="213"/>
      <c r="F606" s="213"/>
      <c r="G606" s="213"/>
      <c r="H606" s="213"/>
      <c r="I606" s="213"/>
      <c r="J606" s="213"/>
      <c r="K606" s="213"/>
      <c r="L606" s="213">
        <v>224</v>
      </c>
      <c r="M606" s="213"/>
      <c r="N606" s="213"/>
      <c r="O606" s="213"/>
      <c r="P606" s="213"/>
      <c r="Q606" s="213"/>
      <c r="R606" s="213"/>
      <c r="S606" s="213"/>
      <c r="T606" s="213"/>
      <c r="U606" s="213"/>
      <c r="V606" s="205">
        <v>224</v>
      </c>
    </row>
    <row r="607" spans="1:22">
      <c r="A607" s="212" t="s">
        <v>933</v>
      </c>
      <c r="B607" s="213"/>
      <c r="C607" s="213"/>
      <c r="D607" s="213">
        <v>0</v>
      </c>
      <c r="E607" s="213"/>
      <c r="F607" s="213"/>
      <c r="G607" s="213"/>
      <c r="H607" s="213"/>
      <c r="I607" s="213"/>
      <c r="J607" s="213"/>
      <c r="K607" s="213"/>
      <c r="L607" s="213"/>
      <c r="M607" s="213"/>
      <c r="N607" s="213"/>
      <c r="O607" s="213"/>
      <c r="P607" s="213"/>
      <c r="Q607" s="213"/>
      <c r="R607" s="213"/>
      <c r="S607" s="213"/>
      <c r="T607" s="213"/>
      <c r="U607" s="213"/>
      <c r="V607" s="205">
        <v>0</v>
      </c>
    </row>
    <row r="608" spans="1:22">
      <c r="A608" s="212" t="s">
        <v>422</v>
      </c>
      <c r="B608" s="213"/>
      <c r="C608" s="213"/>
      <c r="D608" s="213">
        <v>0</v>
      </c>
      <c r="E608" s="213"/>
      <c r="F608" s="213"/>
      <c r="G608" s="213"/>
      <c r="H608" s="213"/>
      <c r="I608" s="213"/>
      <c r="J608" s="213"/>
      <c r="K608" s="213"/>
      <c r="L608" s="213"/>
      <c r="M608" s="213"/>
      <c r="N608" s="213"/>
      <c r="O608" s="213"/>
      <c r="P608" s="213"/>
      <c r="Q608" s="213"/>
      <c r="R608" s="213"/>
      <c r="S608" s="213"/>
      <c r="T608" s="213"/>
      <c r="U608" s="213"/>
      <c r="V608" s="205">
        <v>0</v>
      </c>
    </row>
    <row r="609" spans="1:22">
      <c r="A609" s="212" t="s">
        <v>553</v>
      </c>
      <c r="B609" s="213"/>
      <c r="C609" s="213"/>
      <c r="D609" s="213"/>
      <c r="E609" s="213"/>
      <c r="F609" s="213"/>
      <c r="G609" s="213"/>
      <c r="H609" s="213"/>
      <c r="I609" s="213"/>
      <c r="J609" s="213"/>
      <c r="K609" s="213"/>
      <c r="L609" s="213"/>
      <c r="M609" s="213"/>
      <c r="N609" s="213"/>
      <c r="O609" s="213">
        <v>0</v>
      </c>
      <c r="P609" s="213"/>
      <c r="Q609" s="213"/>
      <c r="R609" s="213"/>
      <c r="S609" s="213"/>
      <c r="T609" s="213"/>
      <c r="U609" s="213"/>
      <c r="V609" s="205">
        <v>0</v>
      </c>
    </row>
    <row r="610" spans="1:22">
      <c r="A610" s="212" t="s">
        <v>556</v>
      </c>
      <c r="B610" s="213"/>
      <c r="C610" s="213"/>
      <c r="D610" s="213">
        <v>120</v>
      </c>
      <c r="E610" s="213"/>
      <c r="F610" s="213"/>
      <c r="G610" s="213"/>
      <c r="H610" s="213"/>
      <c r="I610" s="213"/>
      <c r="J610" s="213"/>
      <c r="K610" s="213"/>
      <c r="L610" s="213"/>
      <c r="M610" s="213"/>
      <c r="N610" s="213"/>
      <c r="O610" s="213"/>
      <c r="P610" s="213"/>
      <c r="Q610" s="213"/>
      <c r="R610" s="213"/>
      <c r="S610" s="213"/>
      <c r="T610" s="213"/>
      <c r="U610" s="213"/>
      <c r="V610" s="205">
        <v>120</v>
      </c>
    </row>
    <row r="611" spans="1:22">
      <c r="A611" s="212" t="s">
        <v>374</v>
      </c>
      <c r="B611" s="213"/>
      <c r="C611" s="213"/>
      <c r="D611" s="213">
        <v>60</v>
      </c>
      <c r="E611" s="213"/>
      <c r="F611" s="213"/>
      <c r="G611" s="213"/>
      <c r="H611" s="213"/>
      <c r="I611" s="213"/>
      <c r="J611" s="213"/>
      <c r="K611" s="213"/>
      <c r="L611" s="213"/>
      <c r="M611" s="213"/>
      <c r="N611" s="213"/>
      <c r="O611" s="213"/>
      <c r="P611" s="213"/>
      <c r="Q611" s="213"/>
      <c r="R611" s="213"/>
      <c r="S611" s="213"/>
      <c r="T611" s="213"/>
      <c r="U611" s="213"/>
      <c r="V611" s="205">
        <v>60</v>
      </c>
    </row>
    <row r="612" spans="1:22">
      <c r="A612" s="212" t="s">
        <v>558</v>
      </c>
      <c r="B612" s="213"/>
      <c r="C612" s="213"/>
      <c r="D612" s="213">
        <v>16</v>
      </c>
      <c r="E612" s="213"/>
      <c r="F612" s="213"/>
      <c r="G612" s="213"/>
      <c r="H612" s="213"/>
      <c r="I612" s="213"/>
      <c r="J612" s="213"/>
      <c r="K612" s="213"/>
      <c r="L612" s="213"/>
      <c r="M612" s="213"/>
      <c r="N612" s="213"/>
      <c r="O612" s="213"/>
      <c r="P612" s="213"/>
      <c r="Q612" s="213"/>
      <c r="R612" s="213"/>
      <c r="S612" s="213"/>
      <c r="T612" s="213"/>
      <c r="U612" s="213"/>
      <c r="V612" s="205">
        <v>16</v>
      </c>
    </row>
    <row r="613" spans="1:22">
      <c r="A613" s="212" t="s">
        <v>377</v>
      </c>
      <c r="B613" s="213"/>
      <c r="C613" s="213"/>
      <c r="D613" s="213"/>
      <c r="E613" s="213"/>
      <c r="F613" s="213"/>
      <c r="G613" s="213"/>
      <c r="H613" s="213"/>
      <c r="I613" s="213"/>
      <c r="J613" s="213"/>
      <c r="K613" s="213"/>
      <c r="L613" s="213">
        <v>204</v>
      </c>
      <c r="M613" s="213"/>
      <c r="N613" s="213"/>
      <c r="O613" s="213"/>
      <c r="P613" s="213"/>
      <c r="Q613" s="213"/>
      <c r="R613" s="213"/>
      <c r="S613" s="213"/>
      <c r="T613" s="213"/>
      <c r="U613" s="213"/>
      <c r="V613" s="205">
        <v>204</v>
      </c>
    </row>
    <row r="614" spans="1:22">
      <c r="A614" s="212" t="s">
        <v>380</v>
      </c>
      <c r="B614" s="213"/>
      <c r="C614" s="213"/>
      <c r="D614" s="213"/>
      <c r="E614" s="213"/>
      <c r="F614" s="213"/>
      <c r="G614" s="213"/>
      <c r="H614" s="213"/>
      <c r="I614" s="213"/>
      <c r="J614" s="213"/>
      <c r="K614" s="213"/>
      <c r="L614" s="213">
        <v>0</v>
      </c>
      <c r="M614" s="213"/>
      <c r="N614" s="213"/>
      <c r="O614" s="213"/>
      <c r="P614" s="213"/>
      <c r="Q614" s="213"/>
      <c r="R614" s="213"/>
      <c r="S614" s="213"/>
      <c r="T614" s="213"/>
      <c r="U614" s="213"/>
      <c r="V614" s="205">
        <v>0</v>
      </c>
    </row>
    <row r="615" spans="1:22">
      <c r="A615" s="212" t="s">
        <v>381</v>
      </c>
      <c r="B615" s="213"/>
      <c r="C615" s="213"/>
      <c r="D615" s="213"/>
      <c r="E615" s="213"/>
      <c r="F615" s="213"/>
      <c r="G615" s="213"/>
      <c r="H615" s="213"/>
      <c r="I615" s="213"/>
      <c r="J615" s="213"/>
      <c r="K615" s="213"/>
      <c r="L615" s="213">
        <v>0</v>
      </c>
      <c r="M615" s="213"/>
      <c r="N615" s="213"/>
      <c r="O615" s="213"/>
      <c r="P615" s="213"/>
      <c r="Q615" s="213"/>
      <c r="R615" s="213"/>
      <c r="S615" s="213"/>
      <c r="T615" s="213"/>
      <c r="U615" s="213"/>
      <c r="V615" s="205">
        <v>0</v>
      </c>
    </row>
    <row r="616" spans="1:22">
      <c r="A616" s="212" t="s">
        <v>157</v>
      </c>
      <c r="B616" s="213"/>
      <c r="C616" s="213"/>
      <c r="D616" s="213"/>
      <c r="E616" s="213"/>
      <c r="F616" s="213"/>
      <c r="G616" s="213"/>
      <c r="H616" s="213"/>
      <c r="I616" s="213"/>
      <c r="J616" s="213"/>
      <c r="K616" s="213"/>
      <c r="L616" s="213">
        <v>160</v>
      </c>
      <c r="M616" s="213"/>
      <c r="N616" s="213"/>
      <c r="O616" s="213"/>
      <c r="P616" s="213"/>
      <c r="Q616" s="213"/>
      <c r="R616" s="213"/>
      <c r="S616" s="213"/>
      <c r="T616" s="213"/>
      <c r="U616" s="213"/>
      <c r="V616" s="205">
        <v>160</v>
      </c>
    </row>
    <row r="617" spans="1:22">
      <c r="A617" s="212" t="s">
        <v>561</v>
      </c>
      <c r="B617" s="213"/>
      <c r="C617" s="213"/>
      <c r="D617" s="213"/>
      <c r="E617" s="213">
        <v>160</v>
      </c>
      <c r="F617" s="213"/>
      <c r="G617" s="213"/>
      <c r="H617" s="213"/>
      <c r="I617" s="213"/>
      <c r="J617" s="213"/>
      <c r="K617" s="213"/>
      <c r="L617" s="213"/>
      <c r="M617" s="213"/>
      <c r="N617" s="213"/>
      <c r="O617" s="213"/>
      <c r="P617" s="213"/>
      <c r="Q617" s="213"/>
      <c r="R617" s="213"/>
      <c r="S617" s="213"/>
      <c r="T617" s="213"/>
      <c r="U617" s="213"/>
      <c r="V617" s="205">
        <v>160</v>
      </c>
    </row>
    <row r="618" spans="1:22">
      <c r="A618" s="212" t="s">
        <v>564</v>
      </c>
      <c r="B618" s="213"/>
      <c r="C618" s="213"/>
      <c r="D618" s="213"/>
      <c r="E618" s="213">
        <v>32</v>
      </c>
      <c r="F618" s="213"/>
      <c r="G618" s="213"/>
      <c r="H618" s="213"/>
      <c r="I618" s="213"/>
      <c r="J618" s="213"/>
      <c r="K618" s="213"/>
      <c r="L618" s="213"/>
      <c r="M618" s="213"/>
      <c r="N618" s="213"/>
      <c r="O618" s="213"/>
      <c r="P618" s="213"/>
      <c r="Q618" s="213"/>
      <c r="R618" s="213"/>
      <c r="S618" s="213"/>
      <c r="T618" s="213"/>
      <c r="U618" s="213"/>
      <c r="V618" s="205">
        <v>32</v>
      </c>
    </row>
    <row r="619" spans="1:22">
      <c r="A619" s="212" t="s">
        <v>566</v>
      </c>
      <c r="B619" s="213"/>
      <c r="C619" s="213"/>
      <c r="D619" s="213"/>
      <c r="E619" s="213"/>
      <c r="F619" s="213"/>
      <c r="G619" s="213"/>
      <c r="H619" s="213"/>
      <c r="I619" s="213"/>
      <c r="J619" s="213"/>
      <c r="K619" s="213"/>
      <c r="L619" s="213"/>
      <c r="M619" s="213"/>
      <c r="N619" s="213"/>
      <c r="O619" s="213">
        <v>0</v>
      </c>
      <c r="P619" s="213"/>
      <c r="Q619" s="213"/>
      <c r="R619" s="213"/>
      <c r="S619" s="213"/>
      <c r="T619" s="213"/>
      <c r="U619" s="213"/>
      <c r="V619" s="205">
        <v>0</v>
      </c>
    </row>
    <row r="620" spans="1:22">
      <c r="A620" s="212" t="s">
        <v>160</v>
      </c>
      <c r="B620" s="213"/>
      <c r="C620" s="213"/>
      <c r="D620" s="213"/>
      <c r="E620" s="213"/>
      <c r="F620" s="213"/>
      <c r="G620" s="213"/>
      <c r="H620" s="213"/>
      <c r="I620" s="213"/>
      <c r="J620" s="213"/>
      <c r="K620" s="213"/>
      <c r="L620" s="213"/>
      <c r="M620" s="213"/>
      <c r="N620" s="213"/>
      <c r="O620" s="213">
        <v>0</v>
      </c>
      <c r="P620" s="213"/>
      <c r="Q620" s="213"/>
      <c r="R620" s="213"/>
      <c r="S620" s="213"/>
      <c r="T620" s="213"/>
      <c r="U620" s="213"/>
      <c r="V620" s="205">
        <v>0</v>
      </c>
    </row>
    <row r="621" spans="1:22">
      <c r="A621" s="212" t="s">
        <v>911</v>
      </c>
      <c r="B621" s="213"/>
      <c r="C621" s="213"/>
      <c r="D621" s="213"/>
      <c r="E621" s="213"/>
      <c r="F621" s="213"/>
      <c r="G621" s="213"/>
      <c r="H621" s="213"/>
      <c r="I621" s="213"/>
      <c r="J621" s="213"/>
      <c r="K621" s="213"/>
      <c r="L621" s="213"/>
      <c r="M621" s="213">
        <v>32</v>
      </c>
      <c r="N621" s="213"/>
      <c r="O621" s="213"/>
      <c r="P621" s="213"/>
      <c r="Q621" s="213"/>
      <c r="R621" s="213"/>
      <c r="S621" s="213"/>
      <c r="T621" s="213"/>
      <c r="U621" s="213"/>
      <c r="V621" s="205">
        <v>32</v>
      </c>
    </row>
    <row r="622" spans="1:22">
      <c r="A622" s="212" t="s">
        <v>820</v>
      </c>
      <c r="B622" s="213"/>
      <c r="C622" s="213"/>
      <c r="D622" s="213"/>
      <c r="E622" s="213"/>
      <c r="F622" s="213"/>
      <c r="G622" s="213"/>
      <c r="H622" s="213"/>
      <c r="I622" s="213"/>
      <c r="J622" s="213"/>
      <c r="K622" s="213"/>
      <c r="L622" s="213"/>
      <c r="M622" s="213"/>
      <c r="N622" s="213"/>
      <c r="O622" s="213"/>
      <c r="P622" s="213"/>
      <c r="Q622" s="213"/>
      <c r="R622" s="213"/>
      <c r="S622" s="213">
        <v>285</v>
      </c>
      <c r="T622" s="213"/>
      <c r="U622" s="213"/>
      <c r="V622" s="205">
        <v>285</v>
      </c>
    </row>
    <row r="623" spans="1:22">
      <c r="A623" s="212" t="s">
        <v>328</v>
      </c>
      <c r="B623" s="213"/>
      <c r="C623" s="213"/>
      <c r="D623" s="213"/>
      <c r="E623" s="213"/>
      <c r="F623" s="213"/>
      <c r="G623" s="213"/>
      <c r="H623" s="213"/>
      <c r="I623" s="213"/>
      <c r="J623" s="213"/>
      <c r="K623" s="213"/>
      <c r="L623" s="213">
        <v>0</v>
      </c>
      <c r="M623" s="213"/>
      <c r="N623" s="213"/>
      <c r="O623" s="213"/>
      <c r="P623" s="213"/>
      <c r="Q623" s="213"/>
      <c r="R623" s="213"/>
      <c r="S623" s="213"/>
      <c r="T623" s="213"/>
      <c r="U623" s="213"/>
      <c r="V623" s="205">
        <v>0</v>
      </c>
    </row>
    <row r="624" spans="1:22">
      <c r="A624" s="212" t="s">
        <v>569</v>
      </c>
      <c r="B624" s="213"/>
      <c r="C624" s="213"/>
      <c r="D624" s="213"/>
      <c r="E624" s="213">
        <v>28</v>
      </c>
      <c r="F624" s="213"/>
      <c r="G624" s="213"/>
      <c r="H624" s="213"/>
      <c r="I624" s="213"/>
      <c r="J624" s="213"/>
      <c r="K624" s="213"/>
      <c r="L624" s="213"/>
      <c r="M624" s="213"/>
      <c r="N624" s="213"/>
      <c r="O624" s="213"/>
      <c r="P624" s="213"/>
      <c r="Q624" s="213"/>
      <c r="R624" s="213"/>
      <c r="S624" s="213"/>
      <c r="T624" s="213"/>
      <c r="U624" s="213"/>
      <c r="V624" s="205">
        <v>28</v>
      </c>
    </row>
    <row r="625" spans="1:22">
      <c r="A625" s="212" t="s">
        <v>382</v>
      </c>
      <c r="B625" s="213"/>
      <c r="C625" s="213"/>
      <c r="D625" s="213"/>
      <c r="E625" s="213"/>
      <c r="F625" s="213"/>
      <c r="G625" s="213"/>
      <c r="H625" s="213"/>
      <c r="I625" s="213"/>
      <c r="J625" s="213"/>
      <c r="K625" s="213"/>
      <c r="L625" s="213">
        <v>0</v>
      </c>
      <c r="M625" s="213"/>
      <c r="N625" s="213"/>
      <c r="O625" s="213"/>
      <c r="P625" s="213"/>
      <c r="Q625" s="213"/>
      <c r="R625" s="213"/>
      <c r="S625" s="213"/>
      <c r="T625" s="213"/>
      <c r="U625" s="213"/>
      <c r="V625" s="205">
        <v>0</v>
      </c>
    </row>
    <row r="626" spans="1:22">
      <c r="A626" s="212" t="s">
        <v>162</v>
      </c>
      <c r="B626" s="213"/>
      <c r="C626" s="213"/>
      <c r="D626" s="213"/>
      <c r="E626" s="213"/>
      <c r="F626" s="213"/>
      <c r="G626" s="213"/>
      <c r="H626" s="213"/>
      <c r="I626" s="213"/>
      <c r="J626" s="213"/>
      <c r="K626" s="213"/>
      <c r="L626" s="213">
        <v>20</v>
      </c>
      <c r="M626" s="213"/>
      <c r="N626" s="213"/>
      <c r="O626" s="213"/>
      <c r="P626" s="213"/>
      <c r="Q626" s="213"/>
      <c r="R626" s="213"/>
      <c r="S626" s="213"/>
      <c r="T626" s="213"/>
      <c r="U626" s="213"/>
      <c r="V626" s="205">
        <v>20</v>
      </c>
    </row>
    <row r="627" spans="1:22">
      <c r="A627" s="212" t="s">
        <v>852</v>
      </c>
      <c r="B627" s="213"/>
      <c r="C627" s="213"/>
      <c r="D627" s="213"/>
      <c r="E627" s="213"/>
      <c r="F627" s="213"/>
      <c r="G627" s="213"/>
      <c r="H627" s="213"/>
      <c r="I627" s="213"/>
      <c r="J627" s="213"/>
      <c r="K627" s="213"/>
      <c r="L627" s="213"/>
      <c r="M627" s="213"/>
      <c r="N627" s="213">
        <v>0</v>
      </c>
      <c r="O627" s="213"/>
      <c r="P627" s="213"/>
      <c r="Q627" s="213"/>
      <c r="R627" s="213"/>
      <c r="S627" s="213"/>
      <c r="T627" s="213"/>
      <c r="U627" s="213"/>
      <c r="V627" s="205">
        <v>0</v>
      </c>
    </row>
    <row r="628" spans="1:22">
      <c r="A628" s="212" t="s">
        <v>571</v>
      </c>
      <c r="B628" s="213"/>
      <c r="C628" s="213"/>
      <c r="D628" s="213"/>
      <c r="E628" s="213"/>
      <c r="F628" s="213"/>
      <c r="G628" s="213"/>
      <c r="H628" s="213"/>
      <c r="I628" s="213"/>
      <c r="J628" s="213"/>
      <c r="K628" s="213"/>
      <c r="L628" s="213">
        <v>80</v>
      </c>
      <c r="M628" s="213"/>
      <c r="N628" s="213"/>
      <c r="O628" s="213"/>
      <c r="P628" s="213"/>
      <c r="Q628" s="213"/>
      <c r="R628" s="213"/>
      <c r="S628" s="213"/>
      <c r="T628" s="213"/>
      <c r="U628" s="213"/>
      <c r="V628" s="205">
        <v>80</v>
      </c>
    </row>
    <row r="629" spans="1:22">
      <c r="A629" s="212" t="s">
        <v>573</v>
      </c>
      <c r="B629" s="213"/>
      <c r="C629" s="213"/>
      <c r="D629" s="213">
        <v>0</v>
      </c>
      <c r="E629" s="213"/>
      <c r="F629" s="213"/>
      <c r="G629" s="213"/>
      <c r="H629" s="213"/>
      <c r="I629" s="213"/>
      <c r="J629" s="213"/>
      <c r="K629" s="213"/>
      <c r="L629" s="213"/>
      <c r="M629" s="213"/>
      <c r="N629" s="213"/>
      <c r="O629" s="213"/>
      <c r="P629" s="213"/>
      <c r="Q629" s="213"/>
      <c r="R629" s="213"/>
      <c r="S629" s="213"/>
      <c r="T629" s="213"/>
      <c r="U629" s="213"/>
      <c r="V629" s="205">
        <v>0</v>
      </c>
    </row>
    <row r="630" spans="1:22">
      <c r="A630" s="212" t="s">
        <v>575</v>
      </c>
      <c r="B630" s="213"/>
      <c r="C630" s="213"/>
      <c r="D630" s="213"/>
      <c r="E630" s="213"/>
      <c r="F630" s="213"/>
      <c r="G630" s="213"/>
      <c r="H630" s="213"/>
      <c r="I630" s="213"/>
      <c r="J630" s="213"/>
      <c r="K630" s="213"/>
      <c r="L630" s="213"/>
      <c r="M630" s="213"/>
      <c r="N630" s="213"/>
      <c r="O630" s="213"/>
      <c r="P630" s="213"/>
      <c r="Q630" s="213">
        <v>0</v>
      </c>
      <c r="R630" s="213"/>
      <c r="S630" s="213"/>
      <c r="T630" s="213"/>
      <c r="U630" s="213"/>
      <c r="V630" s="205">
        <v>0</v>
      </c>
    </row>
    <row r="631" spans="1:22">
      <c r="A631" s="212" t="s">
        <v>577</v>
      </c>
      <c r="B631" s="213"/>
      <c r="C631" s="213"/>
      <c r="D631" s="213"/>
      <c r="E631" s="213"/>
      <c r="F631" s="213"/>
      <c r="G631" s="213"/>
      <c r="H631" s="213"/>
      <c r="I631" s="213"/>
      <c r="J631" s="213"/>
      <c r="K631" s="213"/>
      <c r="L631" s="213">
        <v>28</v>
      </c>
      <c r="M631" s="213"/>
      <c r="N631" s="213"/>
      <c r="O631" s="213"/>
      <c r="P631" s="213"/>
      <c r="Q631" s="213"/>
      <c r="R631" s="213"/>
      <c r="S631" s="213"/>
      <c r="T631" s="213"/>
      <c r="U631" s="213"/>
      <c r="V631" s="205">
        <v>28</v>
      </c>
    </row>
    <row r="632" spans="1:22">
      <c r="A632" s="212" t="s">
        <v>579</v>
      </c>
      <c r="B632" s="213"/>
      <c r="C632" s="213"/>
      <c r="D632" s="213"/>
      <c r="E632" s="213"/>
      <c r="F632" s="213"/>
      <c r="G632" s="213"/>
      <c r="H632" s="213"/>
      <c r="I632" s="213"/>
      <c r="J632" s="213"/>
      <c r="K632" s="213"/>
      <c r="L632" s="213"/>
      <c r="M632" s="213"/>
      <c r="N632" s="213">
        <v>0</v>
      </c>
      <c r="O632" s="213"/>
      <c r="P632" s="213"/>
      <c r="Q632" s="213"/>
      <c r="R632" s="213"/>
      <c r="S632" s="213"/>
      <c r="T632" s="213"/>
      <c r="U632" s="213"/>
      <c r="V632" s="205">
        <v>0</v>
      </c>
    </row>
    <row r="633" spans="1:22">
      <c r="A633" s="212" t="s">
        <v>305</v>
      </c>
      <c r="B633" s="213"/>
      <c r="C633" s="213"/>
      <c r="D633" s="213"/>
      <c r="E633" s="213"/>
      <c r="F633" s="213"/>
      <c r="G633" s="213"/>
      <c r="H633" s="213"/>
      <c r="I633" s="213"/>
      <c r="J633" s="213"/>
      <c r="K633" s="213"/>
      <c r="L633" s="213"/>
      <c r="M633" s="213">
        <v>0</v>
      </c>
      <c r="N633" s="213"/>
      <c r="O633" s="213"/>
      <c r="P633" s="213"/>
      <c r="Q633" s="213"/>
      <c r="R633" s="213"/>
      <c r="S633" s="213"/>
      <c r="T633" s="213"/>
      <c r="U633" s="213"/>
      <c r="V633" s="205">
        <v>0</v>
      </c>
    </row>
    <row r="634" spans="1:22">
      <c r="A634" s="212" t="s">
        <v>165</v>
      </c>
      <c r="B634" s="213"/>
      <c r="C634" s="213"/>
      <c r="D634" s="213"/>
      <c r="E634" s="213"/>
      <c r="F634" s="213"/>
      <c r="G634" s="213"/>
      <c r="H634" s="213"/>
      <c r="I634" s="213"/>
      <c r="J634" s="213"/>
      <c r="K634" s="213">
        <v>160</v>
      </c>
      <c r="L634" s="213"/>
      <c r="M634" s="213"/>
      <c r="N634" s="213"/>
      <c r="O634" s="213"/>
      <c r="P634" s="213"/>
      <c r="Q634" s="213"/>
      <c r="R634" s="213"/>
      <c r="S634" s="213"/>
      <c r="T634" s="213"/>
      <c r="U634" s="213"/>
      <c r="V634" s="205">
        <v>160</v>
      </c>
    </row>
    <row r="635" spans="1:22">
      <c r="A635" s="212" t="s">
        <v>581</v>
      </c>
      <c r="B635" s="213"/>
      <c r="C635" s="213"/>
      <c r="D635" s="213"/>
      <c r="E635" s="213"/>
      <c r="F635" s="213"/>
      <c r="G635" s="213"/>
      <c r="H635" s="213"/>
      <c r="I635" s="213"/>
      <c r="J635" s="213"/>
      <c r="K635" s="213"/>
      <c r="L635" s="213"/>
      <c r="M635" s="213"/>
      <c r="N635" s="213"/>
      <c r="O635" s="213"/>
      <c r="P635" s="213"/>
      <c r="Q635" s="213">
        <v>20</v>
      </c>
      <c r="R635" s="213"/>
      <c r="S635" s="213"/>
      <c r="T635" s="213"/>
      <c r="U635" s="213"/>
      <c r="V635" s="205">
        <v>20</v>
      </c>
    </row>
    <row r="636" spans="1:22">
      <c r="A636" s="212" t="s">
        <v>854</v>
      </c>
      <c r="B636" s="213"/>
      <c r="C636" s="213"/>
      <c r="D636" s="213"/>
      <c r="E636" s="213"/>
      <c r="F636" s="213"/>
      <c r="G636" s="213"/>
      <c r="H636" s="213"/>
      <c r="I636" s="213"/>
      <c r="J636" s="213"/>
      <c r="K636" s="213"/>
      <c r="L636" s="213"/>
      <c r="M636" s="213"/>
      <c r="N636" s="213"/>
      <c r="O636" s="213"/>
      <c r="P636" s="213"/>
      <c r="Q636" s="213"/>
      <c r="R636" s="213"/>
      <c r="S636" s="213"/>
      <c r="T636" s="213"/>
      <c r="U636" s="213">
        <v>0</v>
      </c>
      <c r="V636" s="205">
        <v>0</v>
      </c>
    </row>
    <row r="637" spans="1:22">
      <c r="A637" s="212" t="s">
        <v>167</v>
      </c>
      <c r="B637" s="213"/>
      <c r="C637" s="213"/>
      <c r="D637" s="213"/>
      <c r="E637" s="213"/>
      <c r="F637" s="213"/>
      <c r="G637" s="213"/>
      <c r="H637" s="213"/>
      <c r="I637" s="213"/>
      <c r="J637" s="213">
        <v>324</v>
      </c>
      <c r="K637" s="213"/>
      <c r="L637" s="213"/>
      <c r="M637" s="213"/>
      <c r="N637" s="213"/>
      <c r="O637" s="213"/>
      <c r="P637" s="213"/>
      <c r="Q637" s="213"/>
      <c r="R637" s="213"/>
      <c r="S637" s="213"/>
      <c r="T637" s="213"/>
      <c r="U637" s="213"/>
      <c r="V637" s="205">
        <v>324</v>
      </c>
    </row>
    <row r="638" spans="1:22">
      <c r="A638" s="212" t="s">
        <v>268</v>
      </c>
      <c r="B638" s="213"/>
      <c r="C638" s="213"/>
      <c r="D638" s="213"/>
      <c r="E638" s="213"/>
      <c r="F638" s="213"/>
      <c r="G638" s="213"/>
      <c r="H638" s="213"/>
      <c r="I638" s="213"/>
      <c r="J638" s="213"/>
      <c r="K638" s="213"/>
      <c r="L638" s="213"/>
      <c r="M638" s="213"/>
      <c r="N638" s="213"/>
      <c r="O638" s="213">
        <v>0</v>
      </c>
      <c r="P638" s="213"/>
      <c r="Q638" s="213"/>
      <c r="R638" s="213"/>
      <c r="S638" s="213"/>
      <c r="T638" s="213"/>
      <c r="U638" s="213"/>
      <c r="V638" s="205">
        <v>0</v>
      </c>
    </row>
    <row r="639" spans="1:22">
      <c r="A639" s="212" t="s">
        <v>271</v>
      </c>
      <c r="B639" s="213"/>
      <c r="C639" s="213"/>
      <c r="D639" s="213"/>
      <c r="E639" s="213"/>
      <c r="F639" s="213"/>
      <c r="G639" s="213"/>
      <c r="H639" s="213"/>
      <c r="I639" s="213"/>
      <c r="J639" s="213"/>
      <c r="K639" s="213"/>
      <c r="L639" s="213"/>
      <c r="M639" s="213"/>
      <c r="N639" s="213"/>
      <c r="O639" s="213">
        <v>0</v>
      </c>
      <c r="P639" s="213"/>
      <c r="Q639" s="213"/>
      <c r="R639" s="213"/>
      <c r="S639" s="213"/>
      <c r="T639" s="213"/>
      <c r="U639" s="213"/>
      <c r="V639" s="205">
        <v>0</v>
      </c>
    </row>
    <row r="640" spans="1:22">
      <c r="A640" s="212" t="s">
        <v>686</v>
      </c>
      <c r="B640" s="213"/>
      <c r="C640" s="213"/>
      <c r="D640" s="213"/>
      <c r="E640" s="213"/>
      <c r="F640" s="213"/>
      <c r="G640" s="213"/>
      <c r="H640" s="213"/>
      <c r="I640" s="213"/>
      <c r="J640" s="213"/>
      <c r="K640" s="213"/>
      <c r="L640" s="213"/>
      <c r="M640" s="213"/>
      <c r="N640" s="213"/>
      <c r="O640" s="213">
        <v>0</v>
      </c>
      <c r="P640" s="213"/>
      <c r="Q640" s="213"/>
      <c r="R640" s="213"/>
      <c r="S640" s="213"/>
      <c r="T640" s="213"/>
      <c r="U640" s="213"/>
      <c r="V640" s="205">
        <v>0</v>
      </c>
    </row>
    <row r="641" spans="1:22">
      <c r="A641" s="212" t="s">
        <v>599</v>
      </c>
      <c r="B641" s="213"/>
      <c r="C641" s="213"/>
      <c r="D641" s="213"/>
      <c r="E641" s="213"/>
      <c r="F641" s="213"/>
      <c r="G641" s="213"/>
      <c r="H641" s="213"/>
      <c r="I641" s="213"/>
      <c r="J641" s="213"/>
      <c r="K641" s="213"/>
      <c r="L641" s="213"/>
      <c r="M641" s="213"/>
      <c r="N641" s="213">
        <v>0</v>
      </c>
      <c r="O641" s="213"/>
      <c r="P641" s="213"/>
      <c r="Q641" s="213"/>
      <c r="R641" s="213"/>
      <c r="S641" s="213"/>
      <c r="T641" s="213"/>
      <c r="U641" s="213"/>
      <c r="V641" s="205">
        <v>0</v>
      </c>
    </row>
    <row r="642" spans="1:22">
      <c r="A642" s="212" t="s">
        <v>227</v>
      </c>
      <c r="B642" s="213"/>
      <c r="C642" s="213"/>
      <c r="D642" s="213"/>
      <c r="E642" s="213"/>
      <c r="F642" s="213"/>
      <c r="G642" s="213"/>
      <c r="H642" s="213"/>
      <c r="I642" s="213"/>
      <c r="J642" s="213"/>
      <c r="K642" s="213"/>
      <c r="L642" s="213"/>
      <c r="M642" s="213"/>
      <c r="N642" s="213">
        <v>0</v>
      </c>
      <c r="O642" s="213"/>
      <c r="P642" s="213"/>
      <c r="Q642" s="213"/>
      <c r="R642" s="213"/>
      <c r="S642" s="213"/>
      <c r="T642" s="213"/>
      <c r="U642" s="213"/>
      <c r="V642" s="205">
        <v>0</v>
      </c>
    </row>
    <row r="643" spans="1:22">
      <c r="A643" s="212" t="s">
        <v>406</v>
      </c>
      <c r="B643" s="213"/>
      <c r="C643" s="213"/>
      <c r="D643" s="213"/>
      <c r="E643" s="213">
        <v>340</v>
      </c>
      <c r="F643" s="213"/>
      <c r="G643" s="213"/>
      <c r="H643" s="213"/>
      <c r="I643" s="213"/>
      <c r="J643" s="213"/>
      <c r="K643" s="213"/>
      <c r="L643" s="213"/>
      <c r="M643" s="213"/>
      <c r="N643" s="213"/>
      <c r="O643" s="213"/>
      <c r="P643" s="213"/>
      <c r="Q643" s="213"/>
      <c r="R643" s="213"/>
      <c r="S643" s="213"/>
      <c r="T643" s="213"/>
      <c r="U643" s="213"/>
      <c r="V643" s="205">
        <v>340</v>
      </c>
    </row>
    <row r="644" spans="1:22">
      <c r="A644" s="212" t="s">
        <v>409</v>
      </c>
      <c r="B644" s="213"/>
      <c r="C644" s="213"/>
      <c r="D644" s="213"/>
      <c r="E644" s="213">
        <v>0</v>
      </c>
      <c r="F644" s="213"/>
      <c r="G644" s="213"/>
      <c r="H644" s="213"/>
      <c r="I644" s="213"/>
      <c r="J644" s="213"/>
      <c r="K644" s="213"/>
      <c r="L644" s="213"/>
      <c r="M644" s="213"/>
      <c r="N644" s="213"/>
      <c r="O644" s="213"/>
      <c r="P644" s="213"/>
      <c r="Q644" s="213"/>
      <c r="R644" s="213"/>
      <c r="S644" s="213"/>
      <c r="T644" s="213"/>
      <c r="U644" s="213"/>
      <c r="V644" s="205">
        <v>0</v>
      </c>
    </row>
    <row r="645" spans="1:22">
      <c r="A645" s="212" t="s">
        <v>687</v>
      </c>
      <c r="B645" s="213"/>
      <c r="C645" s="213"/>
      <c r="D645" s="213"/>
      <c r="E645" s="213">
        <v>0</v>
      </c>
      <c r="F645" s="213"/>
      <c r="G645" s="213"/>
      <c r="H645" s="213"/>
      <c r="I645" s="213"/>
      <c r="J645" s="213"/>
      <c r="K645" s="213"/>
      <c r="L645" s="213"/>
      <c r="M645" s="213"/>
      <c r="N645" s="213"/>
      <c r="O645" s="213"/>
      <c r="P645" s="213"/>
      <c r="Q645" s="213"/>
      <c r="R645" s="213"/>
      <c r="S645" s="213"/>
      <c r="T645" s="213"/>
      <c r="U645" s="213"/>
      <c r="V645" s="205">
        <v>0</v>
      </c>
    </row>
    <row r="646" spans="1:22">
      <c r="A646" s="212" t="s">
        <v>169</v>
      </c>
      <c r="B646" s="213"/>
      <c r="C646" s="213"/>
      <c r="D646" s="213"/>
      <c r="E646" s="213"/>
      <c r="F646" s="213"/>
      <c r="G646" s="213"/>
      <c r="H646" s="213"/>
      <c r="I646" s="213"/>
      <c r="J646" s="213"/>
      <c r="K646" s="213"/>
      <c r="L646" s="213"/>
      <c r="M646" s="213"/>
      <c r="N646" s="213"/>
      <c r="O646" s="213">
        <v>0</v>
      </c>
      <c r="P646" s="213"/>
      <c r="Q646" s="213"/>
      <c r="R646" s="213"/>
      <c r="S646" s="213"/>
      <c r="T646" s="213"/>
      <c r="U646" s="213"/>
      <c r="V646" s="205">
        <v>0</v>
      </c>
    </row>
    <row r="647" spans="1:22">
      <c r="A647" s="212" t="s">
        <v>230</v>
      </c>
      <c r="B647" s="213"/>
      <c r="C647" s="213"/>
      <c r="D647" s="213"/>
      <c r="E647" s="213"/>
      <c r="F647" s="213"/>
      <c r="G647" s="213"/>
      <c r="H647" s="213"/>
      <c r="I647" s="213"/>
      <c r="J647" s="213"/>
      <c r="K647" s="213"/>
      <c r="L647" s="213"/>
      <c r="M647" s="213"/>
      <c r="N647" s="213">
        <v>0</v>
      </c>
      <c r="O647" s="213"/>
      <c r="P647" s="213"/>
      <c r="Q647" s="213"/>
      <c r="R647" s="213"/>
      <c r="S647" s="213"/>
      <c r="T647" s="213"/>
      <c r="U647" s="213"/>
      <c r="V647" s="205">
        <v>0</v>
      </c>
    </row>
    <row r="648" spans="1:22">
      <c r="A648" s="212" t="s">
        <v>331</v>
      </c>
      <c r="B648" s="213"/>
      <c r="C648" s="213"/>
      <c r="D648" s="213">
        <v>0</v>
      </c>
      <c r="E648" s="213"/>
      <c r="F648" s="213"/>
      <c r="G648" s="213"/>
      <c r="H648" s="213"/>
      <c r="I648" s="213"/>
      <c r="J648" s="213"/>
      <c r="K648" s="213"/>
      <c r="L648" s="213"/>
      <c r="M648" s="213"/>
      <c r="N648" s="213"/>
      <c r="O648" s="213"/>
      <c r="P648" s="213"/>
      <c r="Q648" s="213"/>
      <c r="R648" s="213"/>
      <c r="S648" s="213"/>
      <c r="T648" s="213"/>
      <c r="U648" s="213"/>
      <c r="V648" s="205">
        <v>0</v>
      </c>
    </row>
    <row r="649" spans="1:22">
      <c r="A649" s="212" t="s">
        <v>334</v>
      </c>
      <c r="B649" s="213"/>
      <c r="C649" s="213"/>
      <c r="D649" s="213">
        <v>0</v>
      </c>
      <c r="E649" s="213"/>
      <c r="F649" s="213"/>
      <c r="G649" s="213"/>
      <c r="H649" s="213"/>
      <c r="I649" s="213"/>
      <c r="J649" s="213"/>
      <c r="K649" s="213"/>
      <c r="L649" s="213"/>
      <c r="M649" s="213"/>
      <c r="N649" s="213"/>
      <c r="O649" s="213"/>
      <c r="P649" s="213"/>
      <c r="Q649" s="213"/>
      <c r="R649" s="213"/>
      <c r="S649" s="213"/>
      <c r="T649" s="213"/>
      <c r="U649" s="213"/>
      <c r="V649" s="205">
        <v>0</v>
      </c>
    </row>
    <row r="650" spans="1:22">
      <c r="A650" s="212" t="s">
        <v>837</v>
      </c>
      <c r="B650" s="213"/>
      <c r="C650" s="213"/>
      <c r="D650" s="213"/>
      <c r="E650" s="213"/>
      <c r="F650" s="213"/>
      <c r="G650" s="213"/>
      <c r="H650" s="213"/>
      <c r="I650" s="213"/>
      <c r="J650" s="213"/>
      <c r="K650" s="213"/>
      <c r="L650" s="213"/>
      <c r="M650" s="213"/>
      <c r="N650" s="213"/>
      <c r="O650" s="213"/>
      <c r="P650" s="213"/>
      <c r="Q650" s="213"/>
      <c r="R650" s="213"/>
      <c r="S650" s="213"/>
      <c r="T650" s="213"/>
      <c r="U650" s="213">
        <v>0</v>
      </c>
      <c r="V650" s="205">
        <v>0</v>
      </c>
    </row>
    <row r="651" spans="1:22">
      <c r="A651" s="212" t="s">
        <v>841</v>
      </c>
      <c r="B651" s="213"/>
      <c r="C651" s="213"/>
      <c r="D651" s="213"/>
      <c r="E651" s="213"/>
      <c r="F651" s="213"/>
      <c r="G651" s="213"/>
      <c r="H651" s="213"/>
      <c r="I651" s="213"/>
      <c r="J651" s="213"/>
      <c r="K651" s="213"/>
      <c r="L651" s="213"/>
      <c r="M651" s="213"/>
      <c r="N651" s="213"/>
      <c r="O651" s="213"/>
      <c r="P651" s="213"/>
      <c r="Q651" s="213"/>
      <c r="R651" s="213"/>
      <c r="S651" s="213"/>
      <c r="T651" s="213"/>
      <c r="U651" s="213">
        <v>0</v>
      </c>
      <c r="V651" s="205">
        <v>0</v>
      </c>
    </row>
    <row r="652" spans="1:22">
      <c r="A652" s="212" t="s">
        <v>385</v>
      </c>
      <c r="B652" s="213"/>
      <c r="C652" s="213"/>
      <c r="D652" s="213"/>
      <c r="E652" s="213">
        <v>20</v>
      </c>
      <c r="F652" s="213"/>
      <c r="G652" s="213"/>
      <c r="H652" s="213"/>
      <c r="I652" s="213"/>
      <c r="J652" s="213"/>
      <c r="K652" s="213"/>
      <c r="L652" s="213"/>
      <c r="M652" s="213"/>
      <c r="N652" s="213"/>
      <c r="O652" s="213"/>
      <c r="P652" s="213"/>
      <c r="Q652" s="213"/>
      <c r="R652" s="213"/>
      <c r="S652" s="213"/>
      <c r="T652" s="213"/>
      <c r="U652" s="213"/>
      <c r="V652" s="205">
        <v>20</v>
      </c>
    </row>
    <row r="653" spans="1:22">
      <c r="A653" s="212" t="s">
        <v>583</v>
      </c>
      <c r="B653" s="213"/>
      <c r="C653" s="213"/>
      <c r="D653" s="213"/>
      <c r="E653" s="213"/>
      <c r="F653" s="213"/>
      <c r="G653" s="213"/>
      <c r="H653" s="213"/>
      <c r="I653" s="213"/>
      <c r="J653" s="213"/>
      <c r="K653" s="213"/>
      <c r="L653" s="213"/>
      <c r="M653" s="213"/>
      <c r="N653" s="213"/>
      <c r="O653" s="213">
        <v>0</v>
      </c>
      <c r="P653" s="213"/>
      <c r="Q653" s="213"/>
      <c r="R653" s="213"/>
      <c r="S653" s="213"/>
      <c r="T653" s="213"/>
      <c r="U653" s="213"/>
      <c r="V653" s="205">
        <v>0</v>
      </c>
    </row>
    <row r="654" spans="1:22">
      <c r="A654" s="212" t="s">
        <v>585</v>
      </c>
      <c r="B654" s="213"/>
      <c r="C654" s="213"/>
      <c r="D654" s="213"/>
      <c r="E654" s="213"/>
      <c r="F654" s="213"/>
      <c r="G654" s="213"/>
      <c r="H654" s="213"/>
      <c r="I654" s="213"/>
      <c r="J654" s="213"/>
      <c r="K654" s="213"/>
      <c r="L654" s="213"/>
      <c r="M654" s="213"/>
      <c r="N654" s="213"/>
      <c r="O654" s="213"/>
      <c r="P654" s="213"/>
      <c r="Q654" s="213"/>
      <c r="R654" s="213">
        <v>0</v>
      </c>
      <c r="S654" s="213"/>
      <c r="T654" s="213"/>
      <c r="U654" s="213"/>
      <c r="V654" s="205">
        <v>0</v>
      </c>
    </row>
    <row r="655" spans="1:22">
      <c r="A655" s="212" t="s">
        <v>388</v>
      </c>
      <c r="B655" s="213"/>
      <c r="C655" s="213"/>
      <c r="D655" s="213"/>
      <c r="E655" s="213"/>
      <c r="F655" s="213"/>
      <c r="G655" s="213"/>
      <c r="H655" s="213"/>
      <c r="I655" s="213">
        <v>0</v>
      </c>
      <c r="J655" s="213"/>
      <c r="K655" s="213"/>
      <c r="L655" s="213"/>
      <c r="M655" s="213"/>
      <c r="N655" s="213"/>
      <c r="O655" s="213"/>
      <c r="P655" s="213"/>
      <c r="Q655" s="213"/>
      <c r="R655" s="213"/>
      <c r="S655" s="213"/>
      <c r="T655" s="213"/>
      <c r="U655" s="213"/>
      <c r="V655" s="205">
        <v>0</v>
      </c>
    </row>
    <row r="656" spans="1:22">
      <c r="A656" s="212" t="s">
        <v>1241</v>
      </c>
      <c r="B656" s="213"/>
      <c r="C656" s="213"/>
      <c r="D656" s="213"/>
      <c r="E656" s="213"/>
      <c r="F656" s="213"/>
      <c r="G656" s="213"/>
      <c r="H656" s="213"/>
      <c r="I656" s="213"/>
      <c r="J656" s="213"/>
      <c r="K656" s="213"/>
      <c r="L656" s="213"/>
      <c r="M656" s="213"/>
      <c r="N656" s="213"/>
      <c r="O656" s="213"/>
      <c r="P656" s="213"/>
      <c r="Q656" s="213"/>
      <c r="R656" s="213"/>
      <c r="S656" s="213"/>
      <c r="T656" s="213"/>
      <c r="U656" s="213">
        <v>0</v>
      </c>
      <c r="V656" s="205">
        <v>0</v>
      </c>
    </row>
    <row r="657" spans="1:22">
      <c r="A657" s="212" t="s">
        <v>1220</v>
      </c>
      <c r="B657" s="213"/>
      <c r="C657" s="213"/>
      <c r="D657" s="213"/>
      <c r="E657" s="213"/>
      <c r="F657" s="213"/>
      <c r="G657" s="213"/>
      <c r="H657" s="213"/>
      <c r="I657" s="213"/>
      <c r="J657" s="213"/>
      <c r="K657" s="213"/>
      <c r="L657" s="213"/>
      <c r="M657" s="213"/>
      <c r="N657" s="213"/>
      <c r="O657" s="213"/>
      <c r="P657" s="213"/>
      <c r="Q657" s="213"/>
      <c r="R657" s="213"/>
      <c r="S657" s="213"/>
      <c r="T657" s="213"/>
      <c r="U657" s="213">
        <v>0</v>
      </c>
      <c r="V657" s="205">
        <v>0</v>
      </c>
    </row>
    <row r="658" spans="1:22">
      <c r="A658" s="212" t="s">
        <v>1229</v>
      </c>
      <c r="B658" s="213"/>
      <c r="C658" s="213"/>
      <c r="D658" s="213"/>
      <c r="E658" s="213"/>
      <c r="F658" s="213"/>
      <c r="G658" s="213"/>
      <c r="H658" s="213"/>
      <c r="I658" s="213"/>
      <c r="J658" s="213"/>
      <c r="K658" s="213"/>
      <c r="L658" s="213"/>
      <c r="M658" s="213"/>
      <c r="N658" s="213"/>
      <c r="O658" s="213"/>
      <c r="P658" s="213"/>
      <c r="Q658" s="213"/>
      <c r="R658" s="213"/>
      <c r="S658" s="213"/>
      <c r="T658" s="213"/>
      <c r="U658" s="213">
        <v>0</v>
      </c>
      <c r="V658" s="205">
        <v>0</v>
      </c>
    </row>
    <row r="659" spans="1:22">
      <c r="A659" s="212" t="s">
        <v>1163</v>
      </c>
      <c r="B659" s="213"/>
      <c r="C659" s="213"/>
      <c r="D659" s="213"/>
      <c r="E659" s="213"/>
      <c r="F659" s="213"/>
      <c r="G659" s="213"/>
      <c r="H659" s="213"/>
      <c r="I659" s="213"/>
      <c r="J659" s="213"/>
      <c r="K659" s="213"/>
      <c r="L659" s="213"/>
      <c r="M659" s="213"/>
      <c r="N659" s="213"/>
      <c r="O659" s="213"/>
      <c r="P659" s="213"/>
      <c r="Q659" s="213"/>
      <c r="R659" s="213"/>
      <c r="S659" s="213"/>
      <c r="T659" s="213"/>
      <c r="U659" s="213">
        <v>0</v>
      </c>
      <c r="V659" s="205">
        <v>0</v>
      </c>
    </row>
    <row r="660" spans="1:22">
      <c r="A660" s="212" t="s">
        <v>1213</v>
      </c>
      <c r="B660" s="213"/>
      <c r="C660" s="213"/>
      <c r="D660" s="213"/>
      <c r="E660" s="213"/>
      <c r="F660" s="213"/>
      <c r="G660" s="213"/>
      <c r="H660" s="213"/>
      <c r="I660" s="213"/>
      <c r="J660" s="213"/>
      <c r="K660" s="213"/>
      <c r="L660" s="213"/>
      <c r="M660" s="213"/>
      <c r="N660" s="213">
        <v>0</v>
      </c>
      <c r="O660" s="213"/>
      <c r="P660" s="213"/>
      <c r="Q660" s="213"/>
      <c r="R660" s="213"/>
      <c r="S660" s="213"/>
      <c r="T660" s="213"/>
      <c r="U660" s="213"/>
      <c r="V660" s="205">
        <v>0</v>
      </c>
    </row>
    <row r="661" spans="1:22">
      <c r="A661" s="212" t="s">
        <v>1162</v>
      </c>
      <c r="B661" s="213"/>
      <c r="C661" s="213"/>
      <c r="D661" s="213"/>
      <c r="E661" s="213"/>
      <c r="F661" s="213"/>
      <c r="G661" s="213"/>
      <c r="H661" s="213"/>
      <c r="I661" s="213"/>
      <c r="J661" s="213"/>
      <c r="K661" s="213"/>
      <c r="L661" s="213"/>
      <c r="M661" s="213"/>
      <c r="N661" s="213"/>
      <c r="O661" s="213"/>
      <c r="P661" s="213"/>
      <c r="Q661" s="213"/>
      <c r="R661" s="213"/>
      <c r="S661" s="213"/>
      <c r="T661" s="213"/>
      <c r="U661" s="213">
        <v>0</v>
      </c>
      <c r="V661" s="205">
        <v>0</v>
      </c>
    </row>
    <row r="662" spans="1:22">
      <c r="A662" s="212" t="s">
        <v>1161</v>
      </c>
      <c r="B662" s="213"/>
      <c r="C662" s="213"/>
      <c r="D662" s="213"/>
      <c r="E662" s="213"/>
      <c r="F662" s="213"/>
      <c r="G662" s="213"/>
      <c r="H662" s="213"/>
      <c r="I662" s="213"/>
      <c r="J662" s="213"/>
      <c r="K662" s="213"/>
      <c r="L662" s="213"/>
      <c r="M662" s="213"/>
      <c r="N662" s="213"/>
      <c r="O662" s="213"/>
      <c r="P662" s="213"/>
      <c r="Q662" s="213"/>
      <c r="R662" s="213"/>
      <c r="S662" s="213"/>
      <c r="T662" s="213"/>
      <c r="U662" s="213">
        <v>0</v>
      </c>
      <c r="V662" s="205">
        <v>0</v>
      </c>
    </row>
    <row r="663" spans="1:22">
      <c r="A663" s="212" t="s">
        <v>1218</v>
      </c>
      <c r="B663" s="213"/>
      <c r="C663" s="213"/>
      <c r="D663" s="213"/>
      <c r="E663" s="213"/>
      <c r="F663" s="213"/>
      <c r="G663" s="213"/>
      <c r="H663" s="213"/>
      <c r="I663" s="213"/>
      <c r="J663" s="213"/>
      <c r="K663" s="213"/>
      <c r="L663" s="213"/>
      <c r="M663" s="213"/>
      <c r="N663" s="213"/>
      <c r="O663" s="213"/>
      <c r="P663" s="213"/>
      <c r="Q663" s="213"/>
      <c r="R663" s="213"/>
      <c r="S663" s="213"/>
      <c r="T663" s="213"/>
      <c r="U663" s="213">
        <v>0</v>
      </c>
      <c r="V663" s="205">
        <v>0</v>
      </c>
    </row>
    <row r="664" spans="1:22">
      <c r="A664" s="212" t="s">
        <v>1216</v>
      </c>
      <c r="B664" s="213"/>
      <c r="C664" s="213"/>
      <c r="D664" s="213"/>
      <c r="E664" s="213"/>
      <c r="F664" s="213"/>
      <c r="G664" s="213"/>
      <c r="H664" s="213"/>
      <c r="I664" s="213"/>
      <c r="J664" s="213"/>
      <c r="K664" s="213"/>
      <c r="L664" s="213"/>
      <c r="M664" s="213"/>
      <c r="N664" s="213"/>
      <c r="O664" s="213"/>
      <c r="P664" s="213"/>
      <c r="Q664" s="213"/>
      <c r="R664" s="213"/>
      <c r="S664" s="213"/>
      <c r="T664" s="213"/>
      <c r="U664" s="213">
        <v>0</v>
      </c>
      <c r="V664" s="205">
        <v>0</v>
      </c>
    </row>
    <row r="665" spans="1:22">
      <c r="A665" s="212" t="s">
        <v>1217</v>
      </c>
      <c r="B665" s="213"/>
      <c r="C665" s="213"/>
      <c r="D665" s="213"/>
      <c r="E665" s="213"/>
      <c r="F665" s="213"/>
      <c r="G665" s="213"/>
      <c r="H665" s="213"/>
      <c r="I665" s="213"/>
      <c r="J665" s="213"/>
      <c r="K665" s="213"/>
      <c r="L665" s="213"/>
      <c r="M665" s="213"/>
      <c r="N665" s="213"/>
      <c r="O665" s="213"/>
      <c r="P665" s="213"/>
      <c r="Q665" s="213"/>
      <c r="R665" s="213"/>
      <c r="S665" s="213"/>
      <c r="T665" s="213"/>
      <c r="U665" s="213">
        <v>0</v>
      </c>
      <c r="V665" s="205">
        <v>0</v>
      </c>
    </row>
    <row r="666" spans="1:22">
      <c r="A666" s="212" t="s">
        <v>1214</v>
      </c>
      <c r="B666" s="213"/>
      <c r="C666" s="213"/>
      <c r="D666" s="213"/>
      <c r="E666" s="213"/>
      <c r="F666" s="213"/>
      <c r="G666" s="213"/>
      <c r="H666" s="213"/>
      <c r="I666" s="213"/>
      <c r="J666" s="213"/>
      <c r="K666" s="213"/>
      <c r="L666" s="213"/>
      <c r="M666" s="213"/>
      <c r="N666" s="213"/>
      <c r="O666" s="213"/>
      <c r="P666" s="213"/>
      <c r="Q666" s="213"/>
      <c r="R666" s="213"/>
      <c r="S666" s="213"/>
      <c r="T666" s="213"/>
      <c r="U666" s="213">
        <v>0</v>
      </c>
      <c r="V666" s="205">
        <v>0</v>
      </c>
    </row>
    <row r="667" spans="1:22">
      <c r="A667" s="212" t="s">
        <v>1215</v>
      </c>
      <c r="B667" s="213"/>
      <c r="C667" s="213"/>
      <c r="D667" s="213"/>
      <c r="E667" s="213"/>
      <c r="F667" s="213"/>
      <c r="G667" s="213"/>
      <c r="H667" s="213"/>
      <c r="I667" s="213"/>
      <c r="J667" s="213"/>
      <c r="K667" s="213"/>
      <c r="L667" s="213"/>
      <c r="M667" s="213"/>
      <c r="N667" s="213"/>
      <c r="O667" s="213"/>
      <c r="P667" s="213"/>
      <c r="Q667" s="213"/>
      <c r="R667" s="213"/>
      <c r="S667" s="213"/>
      <c r="T667" s="213"/>
      <c r="U667" s="213">
        <v>0</v>
      </c>
      <c r="V667" s="205">
        <v>0</v>
      </c>
    </row>
    <row r="668" spans="1:22">
      <c r="A668" s="212" t="s">
        <v>1219</v>
      </c>
      <c r="B668" s="213"/>
      <c r="C668" s="213"/>
      <c r="D668" s="213"/>
      <c r="E668" s="213"/>
      <c r="F668" s="213"/>
      <c r="G668" s="213"/>
      <c r="H668" s="213"/>
      <c r="I668" s="213"/>
      <c r="J668" s="213"/>
      <c r="K668" s="213"/>
      <c r="L668" s="213"/>
      <c r="M668" s="213"/>
      <c r="N668" s="213"/>
      <c r="O668" s="213"/>
      <c r="P668" s="213"/>
      <c r="Q668" s="213"/>
      <c r="R668" s="213"/>
      <c r="S668" s="213"/>
      <c r="T668" s="213"/>
      <c r="U668" s="213">
        <v>0</v>
      </c>
      <c r="V668" s="205">
        <v>0</v>
      </c>
    </row>
    <row r="669" spans="1:22" ht="13.5" thickBot="1">
      <c r="A669" s="227" t="s">
        <v>1231</v>
      </c>
      <c r="B669" s="228">
        <v>200</v>
      </c>
      <c r="C669" s="228">
        <v>734</v>
      </c>
      <c r="D669" s="228">
        <v>2352</v>
      </c>
      <c r="E669" s="228">
        <v>1736</v>
      </c>
      <c r="F669" s="228">
        <v>24</v>
      </c>
      <c r="G669" s="228">
        <v>124</v>
      </c>
      <c r="H669" s="228">
        <v>508</v>
      </c>
      <c r="I669" s="228">
        <v>0</v>
      </c>
      <c r="J669" s="228">
        <v>1520</v>
      </c>
      <c r="K669" s="228">
        <v>764</v>
      </c>
      <c r="L669" s="228">
        <v>1944</v>
      </c>
      <c r="M669" s="228">
        <v>400</v>
      </c>
      <c r="N669" s="228">
        <v>0</v>
      </c>
      <c r="O669" s="228">
        <v>20</v>
      </c>
      <c r="P669" s="228">
        <v>0</v>
      </c>
      <c r="Q669" s="228">
        <v>1432</v>
      </c>
      <c r="R669" s="228">
        <v>532</v>
      </c>
      <c r="S669" s="228">
        <v>293</v>
      </c>
      <c r="T669" s="228">
        <v>64</v>
      </c>
      <c r="U669" s="228">
        <v>160</v>
      </c>
      <c r="V669" s="229">
        <v>12807</v>
      </c>
    </row>
    <row r="670" spans="1:22" ht="13.5" thickTop="1"/>
    <row r="671" spans="1:22" ht="13.5" thickTop="1"/>
  </sheetData>
  <sheetProtection sort="0" autoFilter="0"/>
  <pageMargins left="0.7" right="0.7" top="0.75" bottom="0.75" header="0.3" footer="0.3"/>
  <drawing r:id="rId9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V56"/>
  <sheetViews>
    <sheetView zoomScale="85" zoomScaleNormal="85" workbookViewId="0">
      <pane xSplit="2" ySplit="2" topLeftCell="C27" activePane="bottomRight" state="frozen"/>
      <selection pane="topRight" activeCell="C1" sqref="C1"/>
      <selection pane="bottomLeft" activeCell="A3" sqref="A3"/>
      <selection pane="bottomRight" activeCell="B56" sqref="B56"/>
    </sheetView>
  </sheetViews>
  <sheetFormatPr defaultColWidth="11.42578125" defaultRowHeight="12.75"/>
  <cols>
    <col min="1" max="1" width="43.5703125" customWidth="1"/>
    <col min="2" max="2" width="5.42578125" customWidth="1"/>
    <col min="3" max="3" width="13.28515625" bestFit="1" customWidth="1"/>
    <col min="7" max="7" width="11.140625" bestFit="1" customWidth="1"/>
  </cols>
  <sheetData>
    <row r="1" spans="1:22" ht="15.75">
      <c r="A1" s="337" t="s">
        <v>1304</v>
      </c>
      <c r="B1" s="337"/>
    </row>
    <row r="2" spans="1:22" ht="149.25">
      <c r="A2" s="372" t="s">
        <v>1303</v>
      </c>
      <c r="B2" s="373" t="s">
        <v>1164</v>
      </c>
      <c r="C2" s="374" t="s">
        <v>1311</v>
      </c>
      <c r="D2" s="374" t="s">
        <v>1307</v>
      </c>
      <c r="E2" s="374" t="s">
        <v>1308</v>
      </c>
      <c r="F2" s="374" t="s">
        <v>1309</v>
      </c>
      <c r="G2" s="374" t="s">
        <v>1293</v>
      </c>
      <c r="H2" s="374" t="s">
        <v>1294</v>
      </c>
      <c r="I2" s="374" t="s">
        <v>1295</v>
      </c>
      <c r="J2" s="374" t="s">
        <v>1296</v>
      </c>
      <c r="K2" s="374" t="s">
        <v>1297</v>
      </c>
      <c r="L2" s="375" t="s">
        <v>1312</v>
      </c>
      <c r="M2" s="374" t="s">
        <v>1298</v>
      </c>
      <c r="N2" s="374" t="s">
        <v>1299</v>
      </c>
      <c r="O2" s="374" t="s">
        <v>1300</v>
      </c>
      <c r="P2" s="374" t="s">
        <v>1301</v>
      </c>
      <c r="Q2" s="374" t="s">
        <v>1302</v>
      </c>
      <c r="R2" s="374" t="s">
        <v>1306</v>
      </c>
      <c r="S2" s="374" t="s">
        <v>1310</v>
      </c>
      <c r="T2" s="374" t="s">
        <v>1313</v>
      </c>
      <c r="U2" s="374" t="s">
        <v>1342</v>
      </c>
      <c r="V2" s="371" t="s">
        <v>1344</v>
      </c>
    </row>
    <row r="3" spans="1:22">
      <c r="A3" s="339" t="s">
        <v>1305</v>
      </c>
      <c r="B3" s="339" t="s">
        <v>1337</v>
      </c>
      <c r="C3">
        <v>267.97000000000003</v>
      </c>
      <c r="D3">
        <v>202.95</v>
      </c>
      <c r="E3">
        <v>312.39999999999998</v>
      </c>
      <c r="F3">
        <v>224.2</v>
      </c>
      <c r="G3">
        <v>331.92</v>
      </c>
      <c r="H3">
        <v>209.83</v>
      </c>
      <c r="I3">
        <v>324.32</v>
      </c>
      <c r="J3">
        <v>191.68</v>
      </c>
      <c r="K3">
        <v>317.75</v>
      </c>
      <c r="L3">
        <v>65.2</v>
      </c>
      <c r="M3">
        <v>218.5</v>
      </c>
      <c r="N3">
        <v>166.83</v>
      </c>
      <c r="O3">
        <v>157.5</v>
      </c>
      <c r="P3">
        <v>118.83</v>
      </c>
      <c r="Q3">
        <v>305</v>
      </c>
      <c r="R3" t="s">
        <v>1246</v>
      </c>
      <c r="S3">
        <v>109.13</v>
      </c>
      <c r="T3" t="s">
        <v>1246</v>
      </c>
      <c r="U3" t="s">
        <v>1246</v>
      </c>
      <c r="V3" s="369">
        <f>SUM(Tabelle2[[#This Row],[Würsch Tobias]:[PraktikatIn N+Ö]])</f>
        <v>3524.0099999999998</v>
      </c>
    </row>
    <row r="4" spans="1:22">
      <c r="A4" s="339" t="s">
        <v>1341</v>
      </c>
      <c r="B4" s="339" t="s">
        <v>1337</v>
      </c>
      <c r="C4">
        <v>48</v>
      </c>
      <c r="D4">
        <v>48</v>
      </c>
      <c r="E4">
        <v>200</v>
      </c>
      <c r="F4">
        <v>48</v>
      </c>
      <c r="G4">
        <v>48</v>
      </c>
      <c r="H4">
        <v>48</v>
      </c>
      <c r="I4">
        <v>48</v>
      </c>
      <c r="J4">
        <v>48</v>
      </c>
      <c r="K4">
        <v>48</v>
      </c>
      <c r="L4">
        <v>48</v>
      </c>
      <c r="M4">
        <v>48</v>
      </c>
      <c r="N4">
        <v>48</v>
      </c>
      <c r="O4">
        <v>48</v>
      </c>
      <c r="P4">
        <v>48</v>
      </c>
      <c r="Q4">
        <v>48</v>
      </c>
      <c r="R4">
        <v>48</v>
      </c>
      <c r="S4">
        <v>48</v>
      </c>
      <c r="T4">
        <v>48</v>
      </c>
      <c r="U4">
        <v>48</v>
      </c>
      <c r="V4" s="369">
        <f>SUM(Tabelle2[[#This Row],[Würsch Tobias]:[PraktikatIn N+Ö]])</f>
        <v>1064</v>
      </c>
    </row>
    <row r="5" spans="1:22">
      <c r="A5" t="s">
        <v>1338</v>
      </c>
      <c r="B5" s="339" t="s">
        <v>1337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990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 s="369">
        <f>SUM(Tabelle2[[#This Row],[Würsch Tobias]:[PraktikatIn N+Ö]])</f>
        <v>990</v>
      </c>
    </row>
    <row r="6" spans="1:22">
      <c r="A6" s="339" t="s">
        <v>1340</v>
      </c>
      <c r="B6" s="339" t="s">
        <v>1337</v>
      </c>
      <c r="C6">
        <v>40</v>
      </c>
      <c r="D6">
        <v>40</v>
      </c>
      <c r="E6">
        <v>40</v>
      </c>
      <c r="F6">
        <v>40</v>
      </c>
      <c r="G6">
        <v>40</v>
      </c>
      <c r="H6">
        <v>40</v>
      </c>
      <c r="I6">
        <v>40</v>
      </c>
      <c r="J6">
        <v>40</v>
      </c>
      <c r="K6">
        <v>40</v>
      </c>
      <c r="L6">
        <v>40</v>
      </c>
      <c r="M6">
        <v>40</v>
      </c>
      <c r="N6">
        <v>40</v>
      </c>
      <c r="O6">
        <v>40</v>
      </c>
      <c r="P6">
        <v>40</v>
      </c>
      <c r="Q6">
        <v>40</v>
      </c>
      <c r="R6">
        <v>40</v>
      </c>
      <c r="S6">
        <v>40</v>
      </c>
      <c r="T6">
        <v>40</v>
      </c>
      <c r="U6">
        <v>40</v>
      </c>
      <c r="V6" s="369">
        <f>SUM(Tabelle2[[#This Row],[Würsch Tobias]:[PraktikatIn N+Ö]])</f>
        <v>760</v>
      </c>
    </row>
    <row r="7" spans="1:22">
      <c r="A7" s="339" t="s">
        <v>1339</v>
      </c>
      <c r="B7" s="339" t="s">
        <v>1337</v>
      </c>
      <c r="C7">
        <v>112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 s="369">
        <f>SUM(Tabelle2[[#This Row],[Würsch Tobias]:[PraktikatIn N+Ö]])</f>
        <v>112</v>
      </c>
    </row>
    <row r="8" spans="1:22" ht="6" customHeight="1">
      <c r="A8" s="361"/>
      <c r="B8" s="361"/>
      <c r="C8" s="362"/>
      <c r="D8" s="362"/>
      <c r="E8" s="362"/>
      <c r="F8" s="362"/>
      <c r="G8" s="362"/>
      <c r="H8" s="362"/>
      <c r="I8" s="362"/>
      <c r="J8" s="362"/>
      <c r="K8" s="362"/>
      <c r="L8" s="363"/>
      <c r="M8" s="362"/>
      <c r="N8" s="362"/>
      <c r="O8" s="362"/>
      <c r="P8" s="362"/>
      <c r="Q8" s="362"/>
      <c r="R8" s="362"/>
      <c r="S8" s="362"/>
      <c r="T8" s="362"/>
      <c r="U8" s="362"/>
      <c r="V8" s="366"/>
    </row>
    <row r="9" spans="1:22">
      <c r="A9" s="339" t="s">
        <v>1329</v>
      </c>
      <c r="B9" s="339"/>
      <c r="C9">
        <v>52</v>
      </c>
      <c r="D9">
        <v>26</v>
      </c>
      <c r="E9">
        <v>26</v>
      </c>
      <c r="F9">
        <v>26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 s="369">
        <f>SUM(Tabelle2[[#This Row],[Würsch Tobias]:[PraktikatIn N+Ö]])</f>
        <v>130</v>
      </c>
    </row>
    <row r="10" spans="1:22">
      <c r="A10" s="339" t="s">
        <v>1322</v>
      </c>
      <c r="B10" s="339"/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30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 s="369">
        <f>SUM(Tabelle2[[#This Row],[Würsch Tobias]:[PraktikatIn N+Ö]])</f>
        <v>30</v>
      </c>
    </row>
    <row r="11" spans="1:22">
      <c r="A11" s="340" t="s">
        <v>172</v>
      </c>
      <c r="B11" s="340"/>
      <c r="C11">
        <v>40</v>
      </c>
      <c r="D11">
        <v>0</v>
      </c>
      <c r="E11">
        <v>0</v>
      </c>
      <c r="F11">
        <v>40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80</v>
      </c>
      <c r="T11">
        <v>0</v>
      </c>
      <c r="U11">
        <v>0</v>
      </c>
      <c r="V11" s="369">
        <f>SUM(Tabelle2[[#This Row],[Würsch Tobias]:[PraktikatIn N+Ö]])</f>
        <v>160</v>
      </c>
    </row>
    <row r="12" spans="1:22">
      <c r="A12" s="341" t="s">
        <v>1318</v>
      </c>
      <c r="B12" s="341"/>
      <c r="C12" s="339">
        <v>0</v>
      </c>
      <c r="D12" s="339">
        <v>0</v>
      </c>
      <c r="E12" s="339">
        <v>0</v>
      </c>
      <c r="F12" s="339">
        <v>20</v>
      </c>
      <c r="G12" s="339">
        <v>0</v>
      </c>
      <c r="H12" s="339">
        <v>0</v>
      </c>
      <c r="I12" s="339">
        <v>0</v>
      </c>
      <c r="J12" s="339">
        <v>0</v>
      </c>
      <c r="K12" s="339">
        <v>0</v>
      </c>
      <c r="L12" s="339">
        <v>0</v>
      </c>
      <c r="M12" s="339">
        <v>0</v>
      </c>
      <c r="N12" s="339">
        <v>0</v>
      </c>
      <c r="O12" s="339">
        <v>0</v>
      </c>
      <c r="P12" s="339">
        <v>0</v>
      </c>
      <c r="Q12" s="339">
        <v>0</v>
      </c>
      <c r="R12" s="339">
        <v>0</v>
      </c>
      <c r="S12" s="339">
        <v>0</v>
      </c>
      <c r="T12" s="339">
        <v>0</v>
      </c>
      <c r="U12" s="339">
        <v>0</v>
      </c>
      <c r="V12" s="369">
        <f>SUM(Tabelle2[[#This Row],[Würsch Tobias]:[PraktikatIn N+Ö]])</f>
        <v>20</v>
      </c>
    </row>
    <row r="13" spans="1:22">
      <c r="A13" s="339" t="s">
        <v>1323</v>
      </c>
      <c r="B13" s="339"/>
      <c r="C13">
        <v>924</v>
      </c>
      <c r="D13">
        <v>100</v>
      </c>
      <c r="E13">
        <v>50</v>
      </c>
      <c r="F13">
        <v>50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 s="369">
        <f>SUM(Tabelle2[[#This Row],[Würsch Tobias]:[PraktikatIn N+Ö]])</f>
        <v>1124</v>
      </c>
    </row>
    <row r="14" spans="1:22">
      <c r="A14" s="339" t="s">
        <v>1324</v>
      </c>
      <c r="B14" s="339" t="s">
        <v>1246</v>
      </c>
      <c r="C14" t="s">
        <v>1246</v>
      </c>
      <c r="D14" t="s">
        <v>1246</v>
      </c>
      <c r="E14" t="s">
        <v>1246</v>
      </c>
      <c r="F14" t="s">
        <v>1246</v>
      </c>
      <c r="G14" t="s">
        <v>1246</v>
      </c>
      <c r="H14" t="s">
        <v>1246</v>
      </c>
      <c r="I14" t="s">
        <v>1246</v>
      </c>
      <c r="J14" t="s">
        <v>1246</v>
      </c>
      <c r="K14" t="s">
        <v>1246</v>
      </c>
      <c r="L14" t="s">
        <v>1246</v>
      </c>
      <c r="M14" t="s">
        <v>1246</v>
      </c>
      <c r="N14" t="s">
        <v>1246</v>
      </c>
      <c r="O14" t="s">
        <v>1246</v>
      </c>
      <c r="P14" t="s">
        <v>1246</v>
      </c>
      <c r="Q14" t="s">
        <v>1246</v>
      </c>
      <c r="R14" t="s">
        <v>1246</v>
      </c>
      <c r="S14" t="s">
        <v>1246</v>
      </c>
      <c r="T14" t="s">
        <v>1246</v>
      </c>
      <c r="U14" t="s">
        <v>1246</v>
      </c>
      <c r="V14" s="369">
        <f>SUM(Tabelle2[[#This Row],[Würsch Tobias]:[PraktikatIn N+Ö]])</f>
        <v>0</v>
      </c>
    </row>
    <row r="15" spans="1:22">
      <c r="A15" s="344" t="s">
        <v>199</v>
      </c>
      <c r="B15" s="344"/>
      <c r="C15">
        <v>0</v>
      </c>
      <c r="D15">
        <v>0</v>
      </c>
      <c r="E15">
        <v>0</v>
      </c>
      <c r="F15">
        <v>15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5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 s="369">
        <f>SUM(Tabelle2[[#This Row],[Würsch Tobias]:[PraktikatIn N+Ö]])</f>
        <v>20</v>
      </c>
    </row>
    <row r="16" spans="1:22">
      <c r="A16" s="344" t="s">
        <v>1332</v>
      </c>
      <c r="B16" s="344"/>
      <c r="C16" s="339">
        <v>60</v>
      </c>
      <c r="D16" s="339">
        <v>60</v>
      </c>
      <c r="E16" s="339">
        <v>60</v>
      </c>
      <c r="F16" s="339">
        <v>60</v>
      </c>
      <c r="G16" s="339">
        <v>30</v>
      </c>
      <c r="H16" s="339">
        <v>30</v>
      </c>
      <c r="I16" s="339">
        <v>30</v>
      </c>
      <c r="J16" s="339">
        <v>30</v>
      </c>
      <c r="K16" s="339">
        <v>30</v>
      </c>
      <c r="L16" s="339">
        <v>30</v>
      </c>
      <c r="M16" s="339">
        <v>30</v>
      </c>
      <c r="N16" s="339">
        <v>30</v>
      </c>
      <c r="O16" s="339">
        <v>30</v>
      </c>
      <c r="P16" s="339">
        <v>30</v>
      </c>
      <c r="Q16" s="339">
        <v>30</v>
      </c>
      <c r="R16" s="339">
        <v>30</v>
      </c>
      <c r="S16" s="339">
        <v>30</v>
      </c>
      <c r="T16" s="339">
        <v>30</v>
      </c>
      <c r="U16" s="339">
        <v>30</v>
      </c>
      <c r="V16" s="369">
        <f>SUM(Tabelle2[[#This Row],[Würsch Tobias]:[PraktikatIn N+Ö]])</f>
        <v>690</v>
      </c>
    </row>
    <row r="17" spans="1:22">
      <c r="A17" s="342" t="s">
        <v>124</v>
      </c>
      <c r="B17" s="342" t="s">
        <v>1246</v>
      </c>
      <c r="C17">
        <v>0</v>
      </c>
      <c r="D17">
        <v>0</v>
      </c>
      <c r="E17">
        <v>100</v>
      </c>
      <c r="F17">
        <v>0</v>
      </c>
      <c r="G17">
        <v>100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100</v>
      </c>
      <c r="R17">
        <v>0</v>
      </c>
      <c r="S17">
        <v>0</v>
      </c>
      <c r="T17">
        <v>0</v>
      </c>
      <c r="U17">
        <v>0</v>
      </c>
      <c r="V17" s="369">
        <f>SUM(Tabelle2[[#This Row],[Würsch Tobias]:[PraktikatIn N+Ö]])</f>
        <v>300</v>
      </c>
    </row>
    <row r="18" spans="1:22">
      <c r="A18" s="344" t="s">
        <v>1330</v>
      </c>
      <c r="B18" s="344"/>
      <c r="C18">
        <v>0</v>
      </c>
      <c r="D18">
        <v>50</v>
      </c>
      <c r="E18">
        <v>50</v>
      </c>
      <c r="F18">
        <v>150</v>
      </c>
      <c r="H18">
        <v>50</v>
      </c>
      <c r="J18">
        <v>50</v>
      </c>
      <c r="K18">
        <v>50</v>
      </c>
      <c r="M18">
        <v>50</v>
      </c>
      <c r="N18">
        <v>100</v>
      </c>
      <c r="P18">
        <v>50</v>
      </c>
      <c r="Q18">
        <v>50</v>
      </c>
      <c r="R18">
        <v>0</v>
      </c>
      <c r="S18">
        <v>0</v>
      </c>
      <c r="T18">
        <v>50</v>
      </c>
      <c r="U18">
        <v>0</v>
      </c>
      <c r="V18" s="369">
        <f>SUM(Tabelle2[[#This Row],[Würsch Tobias]:[PraktikatIn N+Ö]])</f>
        <v>700</v>
      </c>
    </row>
    <row r="19" spans="1:22">
      <c r="A19" s="340" t="s">
        <v>178</v>
      </c>
      <c r="B19" s="340"/>
      <c r="C19">
        <v>0</v>
      </c>
      <c r="D19">
        <v>0</v>
      </c>
      <c r="E19">
        <v>0</v>
      </c>
      <c r="F19">
        <v>30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 s="369">
        <f>SUM(Tabelle2[[#This Row],[Würsch Tobias]:[PraktikatIn N+Ö]])</f>
        <v>30</v>
      </c>
    </row>
    <row r="20" spans="1:22">
      <c r="A20" s="340" t="s">
        <v>1314</v>
      </c>
      <c r="B20" s="340" t="s">
        <v>1246</v>
      </c>
      <c r="C20" t="s">
        <v>1334</v>
      </c>
      <c r="D20" t="s">
        <v>1246</v>
      </c>
      <c r="E20" t="s">
        <v>1246</v>
      </c>
      <c r="F20" t="s">
        <v>1246</v>
      </c>
      <c r="G20" t="s">
        <v>1246</v>
      </c>
      <c r="H20" t="s">
        <v>1246</v>
      </c>
      <c r="I20" t="s">
        <v>1246</v>
      </c>
      <c r="J20" t="s">
        <v>1246</v>
      </c>
      <c r="K20" t="s">
        <v>1246</v>
      </c>
      <c r="L20" t="s">
        <v>1246</v>
      </c>
      <c r="M20" t="s">
        <v>1246</v>
      </c>
      <c r="N20" t="s">
        <v>1246</v>
      </c>
      <c r="O20" t="s">
        <v>1246</v>
      </c>
      <c r="P20" t="s">
        <v>1246</v>
      </c>
      <c r="Q20" t="s">
        <v>1246</v>
      </c>
      <c r="R20" t="s">
        <v>1246</v>
      </c>
      <c r="S20" t="s">
        <v>1246</v>
      </c>
      <c r="T20" t="s">
        <v>1246</v>
      </c>
      <c r="U20" t="s">
        <v>1246</v>
      </c>
      <c r="V20" s="369">
        <f>SUM(Tabelle2[[#This Row],[Würsch Tobias]:[PraktikatIn N+Ö]])</f>
        <v>0</v>
      </c>
    </row>
    <row r="21" spans="1:22" ht="25.5">
      <c r="A21" s="342" t="s">
        <v>1335</v>
      </c>
      <c r="B21" s="342"/>
      <c r="C21">
        <v>0</v>
      </c>
      <c r="D21">
        <v>0</v>
      </c>
      <c r="E21">
        <v>60</v>
      </c>
      <c r="F21">
        <v>0</v>
      </c>
      <c r="G21">
        <v>30</v>
      </c>
      <c r="H21">
        <v>0</v>
      </c>
      <c r="I21">
        <v>0</v>
      </c>
      <c r="J21">
        <v>0</v>
      </c>
      <c r="K21">
        <v>0</v>
      </c>
      <c r="L21">
        <v>30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 s="369">
        <f>SUM(Tabelle2[[#This Row],[Würsch Tobias]:[PraktikatIn N+Ö]])</f>
        <v>120</v>
      </c>
    </row>
    <row r="22" spans="1:22">
      <c r="A22" s="340" t="s">
        <v>1319</v>
      </c>
      <c r="B22" s="340"/>
      <c r="C22" s="339">
        <v>160</v>
      </c>
      <c r="D22" s="339">
        <v>0</v>
      </c>
      <c r="E22" s="339">
        <v>0</v>
      </c>
      <c r="F22" s="339">
        <v>0</v>
      </c>
      <c r="G22" s="339">
        <v>0</v>
      </c>
      <c r="H22" s="339">
        <v>0</v>
      </c>
      <c r="I22" s="339">
        <v>0</v>
      </c>
      <c r="J22" s="339">
        <v>0</v>
      </c>
      <c r="K22" s="339">
        <v>0</v>
      </c>
      <c r="L22" s="339">
        <v>0</v>
      </c>
      <c r="M22" s="339">
        <v>0</v>
      </c>
      <c r="N22" s="339">
        <v>0</v>
      </c>
      <c r="O22" s="339">
        <v>0</v>
      </c>
      <c r="P22" s="339">
        <v>0</v>
      </c>
      <c r="Q22" s="339">
        <v>380</v>
      </c>
      <c r="R22" s="339">
        <v>0</v>
      </c>
      <c r="S22" s="339">
        <v>0</v>
      </c>
      <c r="T22" s="339">
        <v>0</v>
      </c>
      <c r="U22" s="339">
        <v>0</v>
      </c>
      <c r="V22" s="369">
        <f>SUM(Tabelle2[[#This Row],[Würsch Tobias]:[PraktikatIn N+Ö]])</f>
        <v>540</v>
      </c>
    </row>
    <row r="23" spans="1:22">
      <c r="A23" s="340" t="s">
        <v>1336</v>
      </c>
      <c r="B23" s="340"/>
      <c r="C23" s="339">
        <v>0</v>
      </c>
      <c r="D23" s="339">
        <v>0</v>
      </c>
      <c r="E23" s="339">
        <v>0</v>
      </c>
      <c r="F23" s="339">
        <v>0</v>
      </c>
      <c r="G23" s="339">
        <v>0</v>
      </c>
      <c r="H23" s="339">
        <v>0</v>
      </c>
      <c r="I23" s="339">
        <v>0</v>
      </c>
      <c r="J23" s="339">
        <v>0</v>
      </c>
      <c r="K23" s="339">
        <v>0</v>
      </c>
      <c r="L23" s="339">
        <v>0</v>
      </c>
      <c r="M23" s="339">
        <v>0</v>
      </c>
      <c r="N23" s="339">
        <v>0</v>
      </c>
      <c r="O23" s="339">
        <v>0</v>
      </c>
      <c r="P23" s="339">
        <v>0</v>
      </c>
      <c r="Q23" s="339">
        <v>0</v>
      </c>
      <c r="R23" s="339">
        <v>0</v>
      </c>
      <c r="S23" s="339">
        <v>0</v>
      </c>
      <c r="T23" s="339">
        <v>0</v>
      </c>
      <c r="U23" s="339">
        <v>0</v>
      </c>
      <c r="V23" s="369">
        <f>SUM(Tabelle2[[#This Row],[Würsch Tobias]:[PraktikatIn N+Ö]])</f>
        <v>0</v>
      </c>
    </row>
    <row r="24" spans="1:22">
      <c r="A24" s="342" t="s">
        <v>121</v>
      </c>
      <c r="B24" s="342"/>
      <c r="C24">
        <v>40</v>
      </c>
      <c r="D24">
        <v>20</v>
      </c>
      <c r="E24">
        <v>20</v>
      </c>
      <c r="F24">
        <v>20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 s="369">
        <f>SUM(Tabelle2[[#This Row],[Würsch Tobias]:[PraktikatIn N+Ö]])</f>
        <v>100</v>
      </c>
    </row>
    <row r="25" spans="1:22">
      <c r="A25" s="343" t="s">
        <v>142</v>
      </c>
      <c r="B25" s="343"/>
      <c r="C25" s="339">
        <v>0</v>
      </c>
      <c r="D25" s="339">
        <v>0</v>
      </c>
      <c r="E25" s="339">
        <v>0</v>
      </c>
      <c r="F25" s="339">
        <v>0</v>
      </c>
      <c r="G25" s="339">
        <v>0</v>
      </c>
      <c r="H25" s="339">
        <v>0</v>
      </c>
      <c r="I25" s="339">
        <v>0</v>
      </c>
      <c r="J25" s="339">
        <v>0</v>
      </c>
      <c r="K25" s="339">
        <v>0</v>
      </c>
      <c r="L25" s="339">
        <v>0</v>
      </c>
      <c r="M25" s="339">
        <v>30</v>
      </c>
      <c r="N25" s="339">
        <v>0</v>
      </c>
      <c r="O25" s="339">
        <v>0</v>
      </c>
      <c r="P25" s="339">
        <v>0</v>
      </c>
      <c r="Q25" s="339">
        <v>0</v>
      </c>
      <c r="R25" s="339">
        <v>0</v>
      </c>
      <c r="S25" s="339">
        <v>0</v>
      </c>
      <c r="T25" s="339">
        <v>0</v>
      </c>
      <c r="U25" s="339">
        <v>0</v>
      </c>
      <c r="V25" s="369">
        <f>SUM(Tabelle2[[#This Row],[Würsch Tobias]:[PraktikatIn N+Ö]])</f>
        <v>30</v>
      </c>
    </row>
    <row r="26" spans="1:22">
      <c r="A26" s="344" t="s">
        <v>1315</v>
      </c>
      <c r="B26" s="344"/>
      <c r="C26">
        <v>100</v>
      </c>
      <c r="D26">
        <v>100</v>
      </c>
      <c r="E26">
        <v>50</v>
      </c>
      <c r="F26">
        <v>50</v>
      </c>
      <c r="G26">
        <v>30</v>
      </c>
      <c r="H26">
        <v>30</v>
      </c>
      <c r="I26">
        <v>30</v>
      </c>
      <c r="J26">
        <v>30</v>
      </c>
      <c r="K26">
        <v>30</v>
      </c>
      <c r="L26">
        <v>30</v>
      </c>
      <c r="M26">
        <v>30</v>
      </c>
      <c r="N26">
        <v>30</v>
      </c>
      <c r="O26">
        <v>30</v>
      </c>
      <c r="P26">
        <v>30</v>
      </c>
      <c r="Q26">
        <v>30</v>
      </c>
      <c r="R26">
        <v>30</v>
      </c>
      <c r="S26">
        <v>30</v>
      </c>
      <c r="T26">
        <v>30</v>
      </c>
      <c r="U26">
        <v>0</v>
      </c>
      <c r="V26" s="369">
        <f>SUM(Tabelle2[[#This Row],[Würsch Tobias]:[PraktikatIn N+Ö]])</f>
        <v>720</v>
      </c>
    </row>
    <row r="27" spans="1:22">
      <c r="A27" s="342" t="s">
        <v>149</v>
      </c>
      <c r="B27" s="342"/>
      <c r="C27">
        <v>0</v>
      </c>
      <c r="D27">
        <v>0</v>
      </c>
      <c r="E27">
        <v>30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 s="369">
        <f>SUM(Tabelle2[[#This Row],[Würsch Tobias]:[PraktikatIn N+Ö]])</f>
        <v>30</v>
      </c>
    </row>
    <row r="28" spans="1:22">
      <c r="A28" s="343" t="s">
        <v>151</v>
      </c>
      <c r="B28" s="343"/>
      <c r="C28" s="339">
        <v>0</v>
      </c>
      <c r="D28" s="339">
        <v>20</v>
      </c>
      <c r="E28" s="339">
        <v>0</v>
      </c>
      <c r="F28" s="339">
        <v>0</v>
      </c>
      <c r="G28" s="339">
        <v>0</v>
      </c>
      <c r="H28" s="339">
        <v>100</v>
      </c>
      <c r="I28" s="339">
        <v>0</v>
      </c>
      <c r="J28" s="339">
        <v>0</v>
      </c>
      <c r="K28" s="339">
        <v>0</v>
      </c>
      <c r="L28" s="339">
        <v>0</v>
      </c>
      <c r="M28" s="339">
        <v>0</v>
      </c>
      <c r="N28" s="339">
        <v>0</v>
      </c>
      <c r="O28" s="339">
        <v>0</v>
      </c>
      <c r="P28" s="339">
        <v>0</v>
      </c>
      <c r="Q28" s="339">
        <v>0</v>
      </c>
      <c r="R28" s="339">
        <v>0</v>
      </c>
      <c r="S28" s="339">
        <v>0</v>
      </c>
      <c r="T28" s="339">
        <v>0</v>
      </c>
      <c r="U28" s="339">
        <v>0</v>
      </c>
      <c r="V28" s="369">
        <f>SUM(Tabelle2[[#This Row],[Würsch Tobias]:[PraktikatIn N+Ö]])</f>
        <v>120</v>
      </c>
    </row>
    <row r="29" spans="1:22">
      <c r="A29" s="339" t="s">
        <v>1325</v>
      </c>
      <c r="B29" s="339"/>
      <c r="C29">
        <v>0</v>
      </c>
      <c r="D29">
        <v>60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30</v>
      </c>
      <c r="M29">
        <v>0</v>
      </c>
      <c r="N29">
        <v>0</v>
      </c>
      <c r="O29">
        <v>0</v>
      </c>
      <c r="P29">
        <v>30</v>
      </c>
      <c r="Q29">
        <v>0</v>
      </c>
      <c r="R29">
        <v>0</v>
      </c>
      <c r="S29">
        <v>0</v>
      </c>
      <c r="T29">
        <v>0</v>
      </c>
      <c r="U29">
        <v>0</v>
      </c>
      <c r="V29" s="369">
        <f>SUM(Tabelle2[[#This Row],[Würsch Tobias]:[PraktikatIn N+Ö]])</f>
        <v>120</v>
      </c>
    </row>
    <row r="30" spans="1:22" ht="25.5">
      <c r="A30" s="340" t="s">
        <v>153</v>
      </c>
      <c r="B30" s="340"/>
      <c r="C30" s="339">
        <v>40</v>
      </c>
      <c r="D30" s="339">
        <v>40</v>
      </c>
      <c r="E30" s="339">
        <v>40</v>
      </c>
      <c r="F30" s="339">
        <v>40</v>
      </c>
      <c r="G30" s="339">
        <v>0</v>
      </c>
      <c r="H30" s="339">
        <v>0</v>
      </c>
      <c r="I30" s="339">
        <v>0</v>
      </c>
      <c r="J30" s="339">
        <v>0</v>
      </c>
      <c r="K30" s="339">
        <v>0</v>
      </c>
      <c r="L30" s="339">
        <v>0</v>
      </c>
      <c r="M30" s="339">
        <v>0</v>
      </c>
      <c r="N30" s="339">
        <v>0</v>
      </c>
      <c r="O30" s="339">
        <v>0</v>
      </c>
      <c r="P30" s="339">
        <v>0</v>
      </c>
      <c r="Q30" s="339">
        <v>0</v>
      </c>
      <c r="R30" s="339">
        <v>0</v>
      </c>
      <c r="S30" s="339">
        <v>0</v>
      </c>
      <c r="T30" s="339">
        <v>0</v>
      </c>
      <c r="U30" s="339">
        <v>0</v>
      </c>
      <c r="V30" s="369">
        <f>SUM(Tabelle2[[#This Row],[Würsch Tobias]:[PraktikatIn N+Ö]])</f>
        <v>160</v>
      </c>
    </row>
    <row r="31" spans="1:22">
      <c r="A31" s="340" t="s">
        <v>211</v>
      </c>
      <c r="B31" s="339" t="s">
        <v>1246</v>
      </c>
      <c r="C31" s="339">
        <v>0</v>
      </c>
      <c r="D31" s="339">
        <v>0</v>
      </c>
      <c r="E31" s="339">
        <v>0</v>
      </c>
      <c r="F31" s="339">
        <v>0</v>
      </c>
      <c r="G31" s="339">
        <v>0</v>
      </c>
      <c r="H31" s="339">
        <v>0</v>
      </c>
      <c r="I31" s="339">
        <v>0</v>
      </c>
      <c r="J31" s="339">
        <v>0</v>
      </c>
      <c r="K31" s="339">
        <v>0</v>
      </c>
      <c r="L31" s="339">
        <v>0</v>
      </c>
      <c r="M31" s="339">
        <v>0</v>
      </c>
      <c r="N31" s="339">
        <v>10</v>
      </c>
      <c r="O31" s="339">
        <v>0</v>
      </c>
      <c r="P31" s="339">
        <v>0</v>
      </c>
      <c r="Q31" s="339">
        <v>0</v>
      </c>
      <c r="R31" s="339">
        <v>0</v>
      </c>
      <c r="S31" s="339">
        <v>0</v>
      </c>
      <c r="T31" s="339">
        <v>0</v>
      </c>
      <c r="U31" s="339">
        <v>10</v>
      </c>
      <c r="V31" s="369">
        <f>SUM(Tabelle2[[#This Row],[Würsch Tobias]:[PraktikatIn N+Ö]])</f>
        <v>20</v>
      </c>
    </row>
    <row r="32" spans="1:22">
      <c r="A32" s="340" t="s">
        <v>213</v>
      </c>
      <c r="B32" s="360" t="s">
        <v>1246</v>
      </c>
      <c r="C32" s="339">
        <v>0</v>
      </c>
      <c r="D32" s="339">
        <v>0</v>
      </c>
      <c r="E32" s="339">
        <v>0</v>
      </c>
      <c r="F32" s="339">
        <v>375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 s="339">
        <v>345</v>
      </c>
      <c r="O32" s="339">
        <v>0</v>
      </c>
      <c r="P32" s="339">
        <v>0</v>
      </c>
      <c r="Q32" s="339">
        <v>0</v>
      </c>
      <c r="R32" s="339">
        <v>0</v>
      </c>
      <c r="S32" s="339">
        <v>180</v>
      </c>
      <c r="T32" s="339">
        <v>0</v>
      </c>
      <c r="U32" s="339">
        <v>725</v>
      </c>
      <c r="V32" s="369">
        <f>SUM(Tabelle2[[#This Row],[Würsch Tobias]:[PraktikatIn N+Ö]])</f>
        <v>1625</v>
      </c>
    </row>
    <row r="33" spans="1:22">
      <c r="A33" s="340" t="s">
        <v>182</v>
      </c>
      <c r="B33" s="360" t="s">
        <v>1246</v>
      </c>
      <c r="C33" s="339">
        <v>0</v>
      </c>
      <c r="D33" s="339">
        <v>0</v>
      </c>
      <c r="E33" s="339">
        <v>0</v>
      </c>
      <c r="F33">
        <v>10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10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 s="369">
        <f>SUM(Tabelle2[[#This Row],[Würsch Tobias]:[PraktikatIn N+Ö]])</f>
        <v>20</v>
      </c>
    </row>
    <row r="34" spans="1:22">
      <c r="A34" s="340" t="s">
        <v>185</v>
      </c>
      <c r="B34" s="360" t="s">
        <v>1246</v>
      </c>
      <c r="C34" s="339">
        <v>0</v>
      </c>
      <c r="D34" s="339">
        <v>0</v>
      </c>
      <c r="E34" s="339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10</v>
      </c>
      <c r="T34">
        <v>0</v>
      </c>
      <c r="U34">
        <v>0</v>
      </c>
      <c r="V34" s="369">
        <f>SUM(Tabelle2[[#This Row],[Würsch Tobias]:[PraktikatIn N+Ö]])</f>
        <v>10</v>
      </c>
    </row>
    <row r="35" spans="1:22">
      <c r="A35" s="340" t="s">
        <v>187</v>
      </c>
      <c r="B35" s="360" t="s">
        <v>1246</v>
      </c>
      <c r="C35" s="339">
        <v>0</v>
      </c>
      <c r="D35" s="339">
        <v>0</v>
      </c>
      <c r="E35" s="339">
        <v>0</v>
      </c>
      <c r="F35">
        <v>50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15</v>
      </c>
      <c r="V35" s="369">
        <f>SUM(Tabelle2[[#This Row],[Würsch Tobias]:[PraktikatIn N+Ö]])</f>
        <v>65</v>
      </c>
    </row>
    <row r="36" spans="1:22">
      <c r="A36" t="s">
        <v>1216</v>
      </c>
      <c r="B36" t="s">
        <v>1246</v>
      </c>
      <c r="C36" t="s">
        <v>1246</v>
      </c>
      <c r="D36" t="s">
        <v>1246</v>
      </c>
      <c r="E36" t="s">
        <v>1246</v>
      </c>
      <c r="F36" t="s">
        <v>1246</v>
      </c>
      <c r="G36" t="s">
        <v>1246</v>
      </c>
      <c r="H36" t="s">
        <v>1246</v>
      </c>
      <c r="I36" t="s">
        <v>1246</v>
      </c>
      <c r="J36" t="s">
        <v>1246</v>
      </c>
      <c r="K36" t="s">
        <v>1246</v>
      </c>
      <c r="L36" t="s">
        <v>1246</v>
      </c>
      <c r="M36" t="s">
        <v>1246</v>
      </c>
      <c r="N36" t="s">
        <v>1246</v>
      </c>
      <c r="O36" t="s">
        <v>1246</v>
      </c>
      <c r="P36" t="s">
        <v>1246</v>
      </c>
      <c r="Q36" t="s">
        <v>1246</v>
      </c>
      <c r="R36" t="s">
        <v>1246</v>
      </c>
      <c r="S36" t="s">
        <v>1246</v>
      </c>
      <c r="T36" t="s">
        <v>1246</v>
      </c>
      <c r="U36" t="s">
        <v>1246</v>
      </c>
      <c r="V36" s="369">
        <f>SUM(Tabelle2[[#This Row],[Würsch Tobias]:[PraktikatIn N+Ö]])</f>
        <v>0</v>
      </c>
    </row>
    <row r="37" spans="1:22" ht="25.5">
      <c r="A37" s="342" t="s">
        <v>1333</v>
      </c>
      <c r="C37">
        <v>40</v>
      </c>
      <c r="D37">
        <v>10</v>
      </c>
      <c r="E37">
        <v>40</v>
      </c>
      <c r="F37">
        <v>40</v>
      </c>
      <c r="G37">
        <v>10</v>
      </c>
      <c r="H37">
        <v>10</v>
      </c>
      <c r="I37">
        <v>0</v>
      </c>
      <c r="J37">
        <v>10</v>
      </c>
      <c r="K37">
        <v>0</v>
      </c>
      <c r="L37">
        <v>10</v>
      </c>
      <c r="M37">
        <v>10</v>
      </c>
      <c r="N37">
        <v>40</v>
      </c>
      <c r="O37">
        <v>0</v>
      </c>
      <c r="P37">
        <v>10</v>
      </c>
      <c r="Q37">
        <v>10</v>
      </c>
      <c r="R37">
        <v>10</v>
      </c>
      <c r="S37">
        <v>10</v>
      </c>
      <c r="T37">
        <v>10</v>
      </c>
      <c r="U37">
        <v>0</v>
      </c>
      <c r="V37" s="369">
        <f>SUM(Tabelle2[[#This Row],[Würsch Tobias]:[PraktikatIn N+Ö]])</f>
        <v>270</v>
      </c>
    </row>
    <row r="38" spans="1:22">
      <c r="A38" s="340" t="s">
        <v>216</v>
      </c>
      <c r="B38" s="339" t="s">
        <v>1246</v>
      </c>
      <c r="C38" s="339">
        <v>0</v>
      </c>
      <c r="D38" s="339">
        <v>0</v>
      </c>
      <c r="E38" s="339">
        <v>0</v>
      </c>
      <c r="F38" s="339">
        <v>0</v>
      </c>
      <c r="G38" s="339">
        <v>0</v>
      </c>
      <c r="H38" s="339">
        <v>0</v>
      </c>
      <c r="I38" s="339">
        <v>0</v>
      </c>
      <c r="J38" s="339">
        <v>0</v>
      </c>
      <c r="K38" s="339">
        <v>0</v>
      </c>
      <c r="L38" s="339">
        <v>0</v>
      </c>
      <c r="M38" s="339">
        <v>0</v>
      </c>
      <c r="N38" s="339">
        <v>0</v>
      </c>
      <c r="O38" s="339">
        <v>0</v>
      </c>
      <c r="P38" s="339">
        <v>0</v>
      </c>
      <c r="Q38" s="339">
        <v>0</v>
      </c>
      <c r="R38" s="339">
        <v>0</v>
      </c>
      <c r="S38" s="339">
        <v>25</v>
      </c>
      <c r="T38" s="339">
        <v>0</v>
      </c>
      <c r="U38" s="339">
        <v>0</v>
      </c>
      <c r="V38" s="369">
        <f>SUM(Tabelle2[[#This Row],[Würsch Tobias]:[PraktikatIn N+Ö]])</f>
        <v>25</v>
      </c>
    </row>
    <row r="39" spans="1:22">
      <c r="A39" s="339" t="s">
        <v>1326</v>
      </c>
      <c r="C39">
        <v>20</v>
      </c>
      <c r="D39">
        <v>10</v>
      </c>
      <c r="E39">
        <v>10</v>
      </c>
      <c r="F39">
        <v>20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 s="369">
        <f>SUM(Tabelle2[[#This Row],[Würsch Tobias]:[PraktikatIn N+Ö]])</f>
        <v>60</v>
      </c>
    </row>
    <row r="40" spans="1:22">
      <c r="A40" s="339" t="s">
        <v>1327</v>
      </c>
      <c r="C40">
        <v>15</v>
      </c>
      <c r="D40">
        <v>20</v>
      </c>
      <c r="E40">
        <v>15</v>
      </c>
      <c r="F40">
        <v>30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 s="369">
        <f>SUM(Tabelle2[[#This Row],[Würsch Tobias]:[PraktikatIn N+Ö]])</f>
        <v>80</v>
      </c>
    </row>
    <row r="41" spans="1:22">
      <c r="A41" s="344" t="s">
        <v>1321</v>
      </c>
      <c r="B41" s="339"/>
      <c r="C41" s="339">
        <v>50</v>
      </c>
      <c r="D41" s="339">
        <v>50</v>
      </c>
      <c r="E41" s="339">
        <v>10</v>
      </c>
      <c r="F41" s="339">
        <v>30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 s="369">
        <f>SUM(Tabelle2[[#This Row],[Würsch Tobias]:[PraktikatIn N+Ö]])</f>
        <v>140</v>
      </c>
    </row>
    <row r="42" spans="1:22">
      <c r="A42" s="342" t="s">
        <v>155</v>
      </c>
      <c r="B42" s="339"/>
      <c r="C42" s="339">
        <v>100</v>
      </c>
      <c r="D42" s="339">
        <v>50</v>
      </c>
      <c r="E42" s="339" t="s">
        <v>1246</v>
      </c>
      <c r="F42" s="339">
        <v>0</v>
      </c>
      <c r="G42">
        <v>0</v>
      </c>
      <c r="H42" s="339">
        <v>0</v>
      </c>
      <c r="I42" s="339">
        <v>0</v>
      </c>
      <c r="J42" s="339">
        <v>20</v>
      </c>
      <c r="K42" s="339">
        <v>20</v>
      </c>
      <c r="L42" s="339">
        <v>0</v>
      </c>
      <c r="M42" s="339">
        <v>40</v>
      </c>
      <c r="N42" s="339">
        <v>0</v>
      </c>
      <c r="O42" s="339">
        <v>0</v>
      </c>
      <c r="P42" s="339">
        <v>0</v>
      </c>
      <c r="Q42" s="339">
        <v>0</v>
      </c>
      <c r="R42" s="339">
        <v>0</v>
      </c>
      <c r="S42" s="339">
        <v>0</v>
      </c>
      <c r="T42" s="339">
        <v>40</v>
      </c>
      <c r="U42" s="339">
        <v>0</v>
      </c>
      <c r="V42" s="369">
        <f>SUM(Tabelle2[[#This Row],[Würsch Tobias]:[PraktikatIn N+Ö]])</f>
        <v>270</v>
      </c>
    </row>
    <row r="43" spans="1:22">
      <c r="A43" s="339" t="s">
        <v>1328</v>
      </c>
      <c r="C43">
        <v>20</v>
      </c>
      <c r="D43">
        <v>150</v>
      </c>
      <c r="E43">
        <v>20</v>
      </c>
      <c r="F43">
        <v>20</v>
      </c>
      <c r="G43">
        <v>10</v>
      </c>
      <c r="H43">
        <v>10</v>
      </c>
      <c r="I43">
        <v>0</v>
      </c>
      <c r="J43">
        <v>10</v>
      </c>
      <c r="K43">
        <v>10</v>
      </c>
      <c r="L43">
        <v>0</v>
      </c>
      <c r="M43">
        <v>10</v>
      </c>
      <c r="N43">
        <v>10</v>
      </c>
      <c r="O43">
        <v>0</v>
      </c>
      <c r="P43">
        <v>10</v>
      </c>
      <c r="Q43">
        <v>10</v>
      </c>
      <c r="R43">
        <v>10</v>
      </c>
      <c r="S43">
        <v>10</v>
      </c>
      <c r="T43">
        <v>10</v>
      </c>
      <c r="U43">
        <v>0</v>
      </c>
      <c r="V43" s="369">
        <f>SUM(Tabelle2[[#This Row],[Würsch Tobias]:[PraktikatIn N+Ö]])</f>
        <v>320</v>
      </c>
    </row>
    <row r="44" spans="1:22">
      <c r="A44" s="343" t="s">
        <v>1317</v>
      </c>
      <c r="B44" s="339" t="s">
        <v>1246</v>
      </c>
      <c r="C44" s="339" t="s">
        <v>1246</v>
      </c>
      <c r="D44" s="339">
        <v>0</v>
      </c>
      <c r="E44" s="339">
        <v>0</v>
      </c>
      <c r="F44" s="339">
        <v>0</v>
      </c>
      <c r="G44" s="339">
        <v>0</v>
      </c>
      <c r="H44" s="339">
        <v>0</v>
      </c>
      <c r="I44" s="339">
        <v>0</v>
      </c>
      <c r="J44" s="339">
        <v>0</v>
      </c>
      <c r="K44" s="339">
        <v>0</v>
      </c>
      <c r="L44" s="339">
        <v>0</v>
      </c>
      <c r="M44" s="339">
        <v>0</v>
      </c>
      <c r="N44" s="339">
        <v>0</v>
      </c>
      <c r="O44" s="339">
        <v>0</v>
      </c>
      <c r="P44" s="339">
        <v>0</v>
      </c>
      <c r="Q44" s="339">
        <v>0</v>
      </c>
      <c r="R44" s="339">
        <v>0</v>
      </c>
      <c r="S44" s="339">
        <v>0</v>
      </c>
      <c r="T44" s="339">
        <v>0</v>
      </c>
      <c r="U44" s="339">
        <v>0</v>
      </c>
      <c r="V44" s="369">
        <f>SUM(Tabelle2[[#This Row],[Würsch Tobias]:[PraktikatIn N+Ö]])</f>
        <v>0</v>
      </c>
    </row>
    <row r="45" spans="1:22">
      <c r="A45" s="340" t="s">
        <v>192</v>
      </c>
      <c r="B45" t="s">
        <v>1246</v>
      </c>
      <c r="C45">
        <v>0</v>
      </c>
      <c r="D45">
        <v>0</v>
      </c>
      <c r="E45">
        <v>0</v>
      </c>
      <c r="F45">
        <v>10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10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 s="369">
        <f>SUM(Tabelle2[[#This Row],[Würsch Tobias]:[PraktikatIn N+Ö]])</f>
        <v>20</v>
      </c>
    </row>
    <row r="46" spans="1:22">
      <c r="A46" s="344" t="s">
        <v>1320</v>
      </c>
      <c r="B46" s="339"/>
      <c r="C46" s="339">
        <v>0</v>
      </c>
      <c r="D46" s="339">
        <v>0</v>
      </c>
      <c r="E46" s="339">
        <v>0</v>
      </c>
      <c r="F46" s="339">
        <v>0</v>
      </c>
      <c r="G46" s="339">
        <v>0</v>
      </c>
      <c r="H46" s="339">
        <v>0</v>
      </c>
      <c r="I46" s="339">
        <v>0</v>
      </c>
      <c r="J46" s="339">
        <v>0</v>
      </c>
      <c r="K46" s="339">
        <v>0</v>
      </c>
      <c r="L46" s="339">
        <v>0</v>
      </c>
      <c r="M46" s="339">
        <v>0</v>
      </c>
      <c r="N46" s="339">
        <v>0</v>
      </c>
      <c r="O46" s="339">
        <v>0</v>
      </c>
      <c r="P46" s="339">
        <v>0</v>
      </c>
      <c r="Q46" s="339">
        <v>0</v>
      </c>
      <c r="R46" s="339">
        <v>0</v>
      </c>
      <c r="S46" s="339">
        <v>0</v>
      </c>
      <c r="T46" s="339">
        <v>0</v>
      </c>
      <c r="U46" s="339">
        <v>0</v>
      </c>
      <c r="V46" s="369">
        <f>SUM(Tabelle2[[#This Row],[Würsch Tobias]:[PraktikatIn N+Ö]])</f>
        <v>0</v>
      </c>
    </row>
    <row r="47" spans="1:22">
      <c r="A47" s="342" t="s">
        <v>1316</v>
      </c>
      <c r="B47" t="s">
        <v>1246</v>
      </c>
      <c r="C47" s="339">
        <v>0</v>
      </c>
      <c r="D47" s="339">
        <v>0</v>
      </c>
      <c r="E47" s="339">
        <v>0</v>
      </c>
      <c r="F47" s="339">
        <v>0</v>
      </c>
      <c r="G47" s="339">
        <v>0</v>
      </c>
      <c r="H47" s="339">
        <v>0</v>
      </c>
      <c r="I47" s="339">
        <v>0</v>
      </c>
      <c r="J47" s="339">
        <v>0</v>
      </c>
      <c r="K47" s="339">
        <v>0</v>
      </c>
      <c r="L47" s="339">
        <v>0</v>
      </c>
      <c r="M47" s="339">
        <v>0</v>
      </c>
      <c r="N47" s="339">
        <v>0</v>
      </c>
      <c r="O47" s="339">
        <v>0</v>
      </c>
      <c r="P47" s="339">
        <v>0</v>
      </c>
      <c r="Q47" s="339">
        <v>0</v>
      </c>
      <c r="R47" s="339">
        <v>0</v>
      </c>
      <c r="S47" s="339">
        <v>0</v>
      </c>
      <c r="T47" s="339">
        <v>0</v>
      </c>
      <c r="U47" s="339">
        <v>0</v>
      </c>
      <c r="V47" s="369">
        <f>SUM(Tabelle2[[#This Row],[Würsch Tobias]:[PraktikatIn N+Ö]])</f>
        <v>0</v>
      </c>
    </row>
    <row r="48" spans="1:22">
      <c r="A48" s="341" t="s">
        <v>160</v>
      </c>
      <c r="B48" s="339"/>
      <c r="C48" s="339">
        <v>80</v>
      </c>
      <c r="D48" s="339">
        <v>80</v>
      </c>
      <c r="E48" s="339">
        <v>80</v>
      </c>
      <c r="F48" s="339">
        <v>80</v>
      </c>
      <c r="G48">
        <v>40</v>
      </c>
      <c r="H48" s="339">
        <v>40</v>
      </c>
      <c r="I48" s="339">
        <v>40</v>
      </c>
      <c r="J48" s="339">
        <v>40</v>
      </c>
      <c r="K48" s="339">
        <v>40</v>
      </c>
      <c r="L48" s="339">
        <v>40</v>
      </c>
      <c r="M48" s="339">
        <v>40</v>
      </c>
      <c r="N48" s="339">
        <v>40</v>
      </c>
      <c r="O48" s="339">
        <v>40</v>
      </c>
      <c r="P48" s="339">
        <v>40</v>
      </c>
      <c r="Q48" s="339">
        <v>40</v>
      </c>
      <c r="R48" s="339">
        <v>40</v>
      </c>
      <c r="S48" s="339">
        <v>40</v>
      </c>
      <c r="T48" s="339">
        <v>40</v>
      </c>
      <c r="U48" s="339">
        <v>40</v>
      </c>
      <c r="V48" s="369">
        <f>SUM(Tabelle2[[#This Row],[Würsch Tobias]:[PraktikatIn N+Ö]])</f>
        <v>920</v>
      </c>
    </row>
    <row r="49" spans="1:22">
      <c r="A49" s="343" t="s">
        <v>162</v>
      </c>
      <c r="B49" s="339"/>
      <c r="C49" s="339">
        <v>0</v>
      </c>
      <c r="D49" s="339">
        <v>0</v>
      </c>
      <c r="E49" s="339">
        <v>0</v>
      </c>
      <c r="F49" s="339">
        <v>0</v>
      </c>
      <c r="G49" s="339">
        <v>0</v>
      </c>
      <c r="H49" s="339">
        <v>10</v>
      </c>
      <c r="I49" s="339">
        <v>0</v>
      </c>
      <c r="J49" s="339">
        <v>0</v>
      </c>
      <c r="K49" s="339">
        <v>0</v>
      </c>
      <c r="L49" s="339">
        <v>0</v>
      </c>
      <c r="M49" s="339">
        <v>0</v>
      </c>
      <c r="N49" s="339">
        <v>0</v>
      </c>
      <c r="O49" s="339">
        <v>0</v>
      </c>
      <c r="P49" s="339">
        <v>0</v>
      </c>
      <c r="Q49" s="339">
        <v>0</v>
      </c>
      <c r="R49" s="339">
        <v>0</v>
      </c>
      <c r="S49" s="339">
        <v>0</v>
      </c>
      <c r="T49" s="339">
        <v>0</v>
      </c>
      <c r="U49" s="339">
        <v>0</v>
      </c>
      <c r="V49" s="369">
        <f>SUM(Tabelle2[[#This Row],[Würsch Tobias]:[PraktikatIn N+Ö]])</f>
        <v>10</v>
      </c>
    </row>
    <row r="50" spans="1:22">
      <c r="A50" s="342" t="s">
        <v>167</v>
      </c>
      <c r="B50" s="339"/>
      <c r="C50" s="339">
        <v>0</v>
      </c>
      <c r="D50" s="339">
        <v>45</v>
      </c>
      <c r="E50" s="339">
        <v>45</v>
      </c>
      <c r="F50" s="339">
        <v>0</v>
      </c>
      <c r="G50">
        <v>45</v>
      </c>
      <c r="H50" s="339">
        <v>0</v>
      </c>
      <c r="I50" s="339">
        <v>0</v>
      </c>
      <c r="J50" s="339">
        <v>0</v>
      </c>
      <c r="K50" s="339">
        <v>0</v>
      </c>
      <c r="L50" s="339">
        <v>0</v>
      </c>
      <c r="M50" s="339">
        <v>45</v>
      </c>
      <c r="N50" s="339">
        <v>0</v>
      </c>
      <c r="O50" s="339">
        <v>0</v>
      </c>
      <c r="P50" s="339">
        <v>0</v>
      </c>
      <c r="Q50" s="339">
        <v>0</v>
      </c>
      <c r="R50" s="339">
        <v>0</v>
      </c>
      <c r="S50" s="339">
        <v>0</v>
      </c>
      <c r="T50" s="339">
        <v>0</v>
      </c>
      <c r="U50" s="339">
        <v>0</v>
      </c>
      <c r="V50" s="369">
        <f>SUM(Tabelle2[[#This Row],[Würsch Tobias]:[PraktikatIn N+Ö]])</f>
        <v>180</v>
      </c>
    </row>
    <row r="51" spans="1:22">
      <c r="A51" s="340" t="s">
        <v>1346</v>
      </c>
      <c r="B51" s="339" t="s">
        <v>1246</v>
      </c>
      <c r="C51" s="339">
        <v>0</v>
      </c>
      <c r="D51" s="339">
        <v>0</v>
      </c>
      <c r="E51" s="339">
        <v>0</v>
      </c>
      <c r="F51" s="339">
        <v>185</v>
      </c>
      <c r="G51">
        <v>0</v>
      </c>
      <c r="H51" s="339">
        <v>0</v>
      </c>
      <c r="I51" s="339">
        <v>0</v>
      </c>
      <c r="J51" s="339">
        <v>0</v>
      </c>
      <c r="K51" s="339">
        <v>0</v>
      </c>
      <c r="L51" s="339">
        <v>0</v>
      </c>
      <c r="M51" s="339">
        <v>0</v>
      </c>
      <c r="N51" s="339">
        <v>365</v>
      </c>
      <c r="O51" s="339">
        <v>0</v>
      </c>
      <c r="P51" s="339">
        <v>0</v>
      </c>
      <c r="Q51" s="339">
        <v>0</v>
      </c>
      <c r="R51" s="339">
        <v>0</v>
      </c>
      <c r="S51" s="339">
        <v>80</v>
      </c>
      <c r="T51" s="339">
        <v>0</v>
      </c>
      <c r="U51" s="339">
        <v>50</v>
      </c>
      <c r="V51" s="369">
        <f>SUM(Tabelle2[[#This Row],[Würsch Tobias]:[PraktikatIn N+Ö]])</f>
        <v>680</v>
      </c>
    </row>
    <row r="52" spans="1:22">
      <c r="A52" s="342" t="s">
        <v>169</v>
      </c>
      <c r="B52" s="339"/>
      <c r="C52" s="339">
        <v>100</v>
      </c>
      <c r="D52" s="339">
        <v>80</v>
      </c>
      <c r="E52" s="339">
        <v>80</v>
      </c>
      <c r="F52" s="339">
        <v>80</v>
      </c>
      <c r="G52">
        <v>60</v>
      </c>
      <c r="H52" s="339">
        <v>60</v>
      </c>
      <c r="I52" s="339">
        <v>60</v>
      </c>
      <c r="J52" s="339">
        <v>60</v>
      </c>
      <c r="K52" s="339">
        <v>60</v>
      </c>
      <c r="L52" s="339">
        <v>60</v>
      </c>
      <c r="M52" s="339">
        <v>60</v>
      </c>
      <c r="N52" s="339">
        <v>60</v>
      </c>
      <c r="O52" s="339">
        <v>20</v>
      </c>
      <c r="P52" s="339">
        <v>60</v>
      </c>
      <c r="Q52" s="339">
        <v>60</v>
      </c>
      <c r="R52" s="339">
        <v>60</v>
      </c>
      <c r="S52" s="339">
        <v>60</v>
      </c>
      <c r="T52" s="339">
        <v>60</v>
      </c>
      <c r="U52" s="339">
        <v>0</v>
      </c>
      <c r="V52" s="369">
        <f>SUM(Tabelle2[[#This Row],[Würsch Tobias]:[PraktikatIn N+Ö]])</f>
        <v>1140</v>
      </c>
    </row>
    <row r="53" spans="1:22">
      <c r="A53" s="340" t="s">
        <v>230</v>
      </c>
      <c r="B53" s="339" t="s">
        <v>1246</v>
      </c>
      <c r="C53" s="339">
        <v>0</v>
      </c>
      <c r="D53" s="339">
        <v>0</v>
      </c>
      <c r="E53" s="339">
        <v>0</v>
      </c>
      <c r="F53" s="339">
        <v>0</v>
      </c>
      <c r="G53" s="339">
        <v>0</v>
      </c>
      <c r="H53" s="339">
        <v>0</v>
      </c>
      <c r="I53" s="339">
        <v>0</v>
      </c>
      <c r="J53" s="339">
        <v>0</v>
      </c>
      <c r="K53" s="339">
        <v>0</v>
      </c>
      <c r="L53" s="339">
        <v>0</v>
      </c>
      <c r="M53" s="339">
        <v>0</v>
      </c>
      <c r="N53" s="339">
        <v>270</v>
      </c>
      <c r="O53" s="339">
        <v>0</v>
      </c>
      <c r="P53" s="339">
        <v>0</v>
      </c>
      <c r="Q53" s="339">
        <v>0</v>
      </c>
      <c r="R53" s="339">
        <v>0</v>
      </c>
      <c r="S53" s="339">
        <v>0</v>
      </c>
      <c r="T53" s="339">
        <v>0</v>
      </c>
      <c r="U53" s="339">
        <v>0</v>
      </c>
      <c r="V53" s="369">
        <f>SUM(Tabelle2[[#This Row],[Würsch Tobias]:[PraktikatIn N+Ö]])</f>
        <v>270</v>
      </c>
    </row>
    <row r="54" spans="1:22" s="338" customFormat="1" ht="15.75">
      <c r="A54" s="367" t="s">
        <v>1345</v>
      </c>
      <c r="B54" s="367"/>
      <c r="C54" s="368">
        <f t="shared" ref="C54:V54" si="0">SUBTOTAL(109,C3:C53)</f>
        <v>2308.9700000000003</v>
      </c>
      <c r="D54" s="368">
        <f t="shared" si="0"/>
        <v>1261.95</v>
      </c>
      <c r="E54" s="368">
        <f t="shared" si="0"/>
        <v>1338.4</v>
      </c>
      <c r="F54" s="368">
        <f t="shared" si="0"/>
        <v>1743.2</v>
      </c>
      <c r="G54" s="368">
        <f t="shared" si="0"/>
        <v>774.92000000000007</v>
      </c>
      <c r="H54" s="368">
        <f t="shared" si="0"/>
        <v>637.83000000000004</v>
      </c>
      <c r="I54" s="368">
        <f t="shared" si="0"/>
        <v>1562.32</v>
      </c>
      <c r="J54" s="368">
        <f t="shared" si="0"/>
        <v>529.68000000000006</v>
      </c>
      <c r="K54" s="368">
        <f t="shared" si="0"/>
        <v>675.75</v>
      </c>
      <c r="L54" s="368">
        <f t="shared" si="0"/>
        <v>383.2</v>
      </c>
      <c r="M54" s="368">
        <f t="shared" si="0"/>
        <v>651.5</v>
      </c>
      <c r="N54" s="368">
        <f t="shared" si="0"/>
        <v>1579.83</v>
      </c>
      <c r="O54" s="368">
        <f t="shared" si="0"/>
        <v>365.5</v>
      </c>
      <c r="P54" s="368">
        <f t="shared" si="0"/>
        <v>466.83</v>
      </c>
      <c r="Q54" s="368">
        <f t="shared" si="0"/>
        <v>1103</v>
      </c>
      <c r="R54" s="368">
        <f t="shared" si="0"/>
        <v>268</v>
      </c>
      <c r="S54" s="368">
        <f t="shared" si="0"/>
        <v>752.13</v>
      </c>
      <c r="T54" s="368">
        <f t="shared" si="0"/>
        <v>358</v>
      </c>
      <c r="U54" s="368">
        <f t="shared" si="0"/>
        <v>958</v>
      </c>
      <c r="V54" s="369">
        <f t="shared" si="0"/>
        <v>17719.010000000002</v>
      </c>
    </row>
    <row r="55" spans="1:22" ht="15.75">
      <c r="A55" s="367" t="s">
        <v>1343</v>
      </c>
      <c r="B55" s="367"/>
      <c r="C55" s="368">
        <v>2045.9</v>
      </c>
      <c r="D55" s="368">
        <v>1841.31</v>
      </c>
      <c r="E55" s="368">
        <v>2095.8000000000002</v>
      </c>
      <c r="F55" s="368">
        <v>1596.8</v>
      </c>
      <c r="G55" s="368">
        <v>1676.64</v>
      </c>
      <c r="H55" s="368">
        <v>1841.31</v>
      </c>
      <c r="I55" s="368">
        <v>1996</v>
      </c>
      <c r="J55" s="368">
        <v>1636.72</v>
      </c>
      <c r="K55" s="368">
        <v>1886.22</v>
      </c>
      <c r="L55" s="368">
        <v>1197.5999999999999</v>
      </c>
      <c r="M55" s="368">
        <v>1636.72</v>
      </c>
      <c r="N55" s="368">
        <v>1596.8</v>
      </c>
      <c r="O55" s="368">
        <v>1397.2</v>
      </c>
      <c r="P55" s="368">
        <v>838.32</v>
      </c>
      <c r="Q55" s="368">
        <v>1996</v>
      </c>
      <c r="R55" s="368">
        <v>1841.31</v>
      </c>
      <c r="S55" s="368">
        <v>2095.8000000000002</v>
      </c>
      <c r="T55" s="368">
        <v>1996</v>
      </c>
      <c r="U55" s="376" t="s">
        <v>1246</v>
      </c>
      <c r="V55" s="370"/>
    </row>
    <row r="56" spans="1:22" ht="15.75">
      <c r="A56" s="367" t="s">
        <v>1347</v>
      </c>
      <c r="B56" s="367"/>
      <c r="C56" s="377">
        <f>C54/C55</f>
        <v>1.1285839972628184</v>
      </c>
      <c r="D56" s="377">
        <f t="shared" ref="D56:U56" si="1">D54/D55</f>
        <v>0.68535444873486817</v>
      </c>
      <c r="E56" s="377">
        <f t="shared" si="1"/>
        <v>0.6386105544422177</v>
      </c>
      <c r="F56" s="377">
        <f t="shared" si="1"/>
        <v>1.0916833667334669</v>
      </c>
      <c r="G56" s="377">
        <f t="shared" si="1"/>
        <v>0.46218627731653783</v>
      </c>
      <c r="H56" s="377">
        <f t="shared" si="1"/>
        <v>0.34640011730778636</v>
      </c>
      <c r="I56" s="377">
        <f t="shared" si="1"/>
        <v>0.78272545090180357</v>
      </c>
      <c r="J56" s="377">
        <f t="shared" si="1"/>
        <v>0.32362285546703168</v>
      </c>
      <c r="K56" s="377">
        <f t="shared" si="1"/>
        <v>0.35825619492954164</v>
      </c>
      <c r="L56" s="377">
        <f t="shared" si="1"/>
        <v>0.31997327989311958</v>
      </c>
      <c r="M56" s="377">
        <f t="shared" si="1"/>
        <v>0.39805220196490543</v>
      </c>
      <c r="N56" s="377">
        <f t="shared" si="1"/>
        <v>0.98937249498997992</v>
      </c>
      <c r="O56" s="377">
        <f t="shared" si="1"/>
        <v>0.26159461780704263</v>
      </c>
      <c r="P56" s="377">
        <f t="shared" si="1"/>
        <v>0.55686372745490975</v>
      </c>
      <c r="Q56" s="377">
        <f t="shared" si="1"/>
        <v>0.55260521042084165</v>
      </c>
      <c r="R56" s="377">
        <f t="shared" si="1"/>
        <v>0.14554854967387348</v>
      </c>
      <c r="S56" s="377">
        <f t="shared" si="1"/>
        <v>0.35887489264242767</v>
      </c>
      <c r="T56" s="377">
        <f t="shared" si="1"/>
        <v>0.17935871743486975</v>
      </c>
      <c r="U56" s="377" t="e">
        <f t="shared" si="1"/>
        <v>#VALUE!</v>
      </c>
      <c r="V56" s="370"/>
    </row>
  </sheetData>
  <sheetProtection sort="0" autoFilter="0"/>
  <conditionalFormatting sqref="C3:U53">
    <cfRule type="cellIs" dxfId="286" priority="8" operator="equal">
      <formula>"?"</formula>
    </cfRule>
    <cfRule type="cellIs" dxfId="285" priority="9" operator="greaterThan">
      <formula>0</formula>
    </cfRule>
    <cfRule type="cellIs" dxfId="284" priority="10" operator="equal">
      <formula>0</formula>
    </cfRule>
  </conditionalFormatting>
  <conditionalFormatting sqref="B9:B54">
    <cfRule type="cellIs" dxfId="283" priority="4" operator="equal">
      <formula>"?"</formula>
    </cfRule>
  </conditionalFormatting>
  <conditionalFormatting sqref="C3:U53">
    <cfRule type="cellIs" dxfId="282" priority="3" operator="greaterThanOrEqual">
      <formula>40</formula>
    </cfRule>
  </conditionalFormatting>
  <conditionalFormatting sqref="B55:B56">
    <cfRule type="cellIs" dxfId="281" priority="2" operator="equal">
      <formula>"?"</formula>
    </cfRule>
  </conditionalFormatting>
  <conditionalFormatting sqref="C56:U56">
    <cfRule type="cellIs" dxfId="280" priority="1" operator="greaterThan">
      <formula>0.8</formula>
    </cfRule>
  </conditionalFormatting>
  <pageMargins left="0.7" right="0.7" top="0.78740157499999996" bottom="0.78740157499999996" header="0.3" footer="0.3"/>
  <legacy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L19"/>
  <sheetViews>
    <sheetView view="pageLayout" zoomScaleNormal="100" workbookViewId="0">
      <selection activeCell="G13" sqref="G13"/>
    </sheetView>
  </sheetViews>
  <sheetFormatPr defaultColWidth="11.42578125" defaultRowHeight="12.75"/>
  <cols>
    <col min="1" max="1" width="19" bestFit="1" customWidth="1"/>
    <col min="2" max="2" width="14.7109375" bestFit="1" customWidth="1"/>
    <col min="3" max="3" width="9.5703125" customWidth="1"/>
    <col min="4" max="5" width="9.5703125" style="323" customWidth="1"/>
    <col min="6" max="6" width="12.85546875" style="322" customWidth="1"/>
    <col min="7" max="7" width="8.85546875" style="322" bestFit="1" customWidth="1"/>
    <col min="8" max="8" width="8.85546875" style="322" customWidth="1"/>
    <col min="9" max="12" width="9.85546875" style="321" bestFit="1" customWidth="1"/>
  </cols>
  <sheetData>
    <row r="1" spans="1:12" ht="23.25">
      <c r="A1" s="336" t="s">
        <v>1292</v>
      </c>
      <c r="B1" s="335"/>
      <c r="C1" s="334"/>
      <c r="D1" s="334"/>
      <c r="E1" s="334"/>
      <c r="F1" s="333"/>
      <c r="G1" s="333"/>
      <c r="H1" s="333"/>
      <c r="I1" s="332"/>
      <c r="J1" s="332"/>
      <c r="K1" s="332"/>
      <c r="L1" s="332"/>
    </row>
    <row r="2" spans="1:12" ht="22.5">
      <c r="A2" s="331" t="s">
        <v>788</v>
      </c>
      <c r="B2" s="331" t="s">
        <v>1291</v>
      </c>
      <c r="C2" s="330" t="s">
        <v>1290</v>
      </c>
      <c r="D2" s="330" t="s">
        <v>1289</v>
      </c>
      <c r="E2" s="330" t="s">
        <v>1288</v>
      </c>
      <c r="F2" s="329" t="s">
        <v>1287</v>
      </c>
      <c r="G2" s="329" t="s">
        <v>1286</v>
      </c>
      <c r="H2" s="329" t="s">
        <v>1285</v>
      </c>
      <c r="I2" s="328" t="s">
        <v>1284</v>
      </c>
      <c r="J2" s="328" t="s">
        <v>1283</v>
      </c>
      <c r="K2" s="328" t="s">
        <v>1282</v>
      </c>
      <c r="L2" s="328" t="s">
        <v>1281</v>
      </c>
    </row>
    <row r="3" spans="1:12" ht="21" customHeight="1">
      <c r="A3" s="327" t="s">
        <v>1280</v>
      </c>
      <c r="B3" s="327" t="s">
        <v>1279</v>
      </c>
      <c r="C3" s="326">
        <v>80</v>
      </c>
      <c r="D3" s="326">
        <v>9</v>
      </c>
      <c r="E3" s="326">
        <v>42</v>
      </c>
      <c r="F3" s="325">
        <v>331.92</v>
      </c>
      <c r="G3" s="325">
        <v>2095.8000000000002</v>
      </c>
      <c r="H3" s="325">
        <v>1676.6400000000003</v>
      </c>
      <c r="I3" s="324">
        <v>416.64</v>
      </c>
      <c r="J3" s="324">
        <v>409.92</v>
      </c>
      <c r="K3" s="324">
        <v>430.08</v>
      </c>
      <c r="L3" s="324">
        <v>420</v>
      </c>
    </row>
    <row r="4" spans="1:12" ht="21" customHeight="1">
      <c r="A4" s="327" t="s">
        <v>1278</v>
      </c>
      <c r="B4" s="327" t="s">
        <v>1277</v>
      </c>
      <c r="C4" s="326">
        <v>90</v>
      </c>
      <c r="D4" s="326">
        <v>7</v>
      </c>
      <c r="E4" s="326">
        <v>41</v>
      </c>
      <c r="F4" s="325">
        <v>209.83</v>
      </c>
      <c r="G4" s="325">
        <v>2045.9</v>
      </c>
      <c r="H4" s="325">
        <v>1841.3100000000002</v>
      </c>
      <c r="I4" s="324">
        <v>457.56</v>
      </c>
      <c r="J4" s="324">
        <v>450.18</v>
      </c>
      <c r="K4" s="324">
        <v>472.32</v>
      </c>
      <c r="L4" s="324">
        <v>461.25</v>
      </c>
    </row>
    <row r="5" spans="1:12" ht="21" customHeight="1">
      <c r="A5" s="327" t="s">
        <v>1276</v>
      </c>
      <c r="B5" s="327" t="s">
        <v>1275</v>
      </c>
      <c r="C5" s="326">
        <v>100</v>
      </c>
      <c r="D5" s="326" t="s">
        <v>63</v>
      </c>
      <c r="E5" s="326">
        <v>40</v>
      </c>
      <c r="F5" s="325">
        <v>324.32</v>
      </c>
      <c r="G5" s="325">
        <v>1996</v>
      </c>
      <c r="H5" s="325">
        <v>1996</v>
      </c>
      <c r="I5" s="324">
        <v>496</v>
      </c>
      <c r="J5" s="324">
        <v>488</v>
      </c>
      <c r="K5" s="324">
        <v>512</v>
      </c>
      <c r="L5" s="324">
        <v>500</v>
      </c>
    </row>
    <row r="6" spans="1:12" ht="21" customHeight="1">
      <c r="A6" s="327" t="s">
        <v>1274</v>
      </c>
      <c r="B6" s="327" t="s">
        <v>1273</v>
      </c>
      <c r="C6" s="326">
        <v>80</v>
      </c>
      <c r="D6" s="326">
        <v>7</v>
      </c>
      <c r="E6" s="326">
        <v>41</v>
      </c>
      <c r="F6" s="325">
        <v>191.68</v>
      </c>
      <c r="G6" s="325">
        <v>2045.9</v>
      </c>
      <c r="H6" s="325">
        <v>1636.72</v>
      </c>
      <c r="I6" s="324">
        <v>406.72</v>
      </c>
      <c r="J6" s="324">
        <v>400.16</v>
      </c>
      <c r="K6" s="324">
        <v>419.84</v>
      </c>
      <c r="L6" s="324">
        <v>410</v>
      </c>
    </row>
    <row r="7" spans="1:12" ht="21" customHeight="1">
      <c r="A7" s="327" t="s">
        <v>1272</v>
      </c>
      <c r="B7" s="327" t="s">
        <v>1271</v>
      </c>
      <c r="C7" s="326">
        <v>90</v>
      </c>
      <c r="D7" s="326">
        <v>9</v>
      </c>
      <c r="E7" s="326">
        <v>42</v>
      </c>
      <c r="F7" s="325">
        <v>317.75</v>
      </c>
      <c r="G7" s="325">
        <v>2095.8000000000002</v>
      </c>
      <c r="H7" s="325">
        <v>1886.2200000000003</v>
      </c>
      <c r="I7" s="324">
        <v>267.84000000000003</v>
      </c>
      <c r="J7" s="324">
        <v>263.52000000000004</v>
      </c>
      <c r="K7" s="324">
        <v>276.48</v>
      </c>
      <c r="L7" s="324">
        <v>270</v>
      </c>
    </row>
    <row r="8" spans="1:12" ht="21" customHeight="1">
      <c r="A8" s="327" t="s">
        <v>1270</v>
      </c>
      <c r="B8" s="327" t="s">
        <v>1269</v>
      </c>
      <c r="C8" s="326">
        <v>60</v>
      </c>
      <c r="D8" s="326" t="s">
        <v>63</v>
      </c>
      <c r="E8" s="326">
        <v>40</v>
      </c>
      <c r="F8" s="325">
        <v>65.2</v>
      </c>
      <c r="G8" s="325">
        <v>1996</v>
      </c>
      <c r="H8" s="325">
        <v>1197.5999999999999</v>
      </c>
      <c r="I8" s="324">
        <v>297.60000000000002</v>
      </c>
      <c r="J8" s="324">
        <v>292.8</v>
      </c>
      <c r="K8" s="324">
        <v>307.2</v>
      </c>
      <c r="L8" s="324">
        <v>300</v>
      </c>
    </row>
    <row r="9" spans="1:12" ht="21" customHeight="1">
      <c r="A9" s="327" t="s">
        <v>1268</v>
      </c>
      <c r="B9" s="327" t="s">
        <v>1267</v>
      </c>
      <c r="C9" s="326">
        <v>80</v>
      </c>
      <c r="D9" s="326">
        <v>7</v>
      </c>
      <c r="E9" s="326">
        <v>41</v>
      </c>
      <c r="F9" s="325">
        <v>218.5</v>
      </c>
      <c r="G9" s="325">
        <v>2045.9</v>
      </c>
      <c r="H9" s="325">
        <v>1636.72</v>
      </c>
      <c r="I9" s="324">
        <v>406.72</v>
      </c>
      <c r="J9" s="324">
        <v>400.16</v>
      </c>
      <c r="K9" s="324">
        <v>419.84</v>
      </c>
      <c r="L9" s="324">
        <v>410</v>
      </c>
    </row>
    <row r="10" spans="1:12" ht="21" customHeight="1">
      <c r="A10" s="327" t="s">
        <v>1266</v>
      </c>
      <c r="B10" s="327" t="s">
        <v>1265</v>
      </c>
      <c r="C10" s="326">
        <v>80</v>
      </c>
      <c r="D10" s="326" t="s">
        <v>63</v>
      </c>
      <c r="E10" s="326">
        <v>40</v>
      </c>
      <c r="F10" s="325">
        <v>166.83</v>
      </c>
      <c r="G10" s="325">
        <v>1996</v>
      </c>
      <c r="H10" s="325">
        <v>1596.8</v>
      </c>
      <c r="I10" s="324">
        <v>396.8</v>
      </c>
      <c r="J10" s="324">
        <v>390.4</v>
      </c>
      <c r="K10" s="324">
        <v>409.6</v>
      </c>
      <c r="L10" s="324">
        <v>400</v>
      </c>
    </row>
    <row r="11" spans="1:12" ht="21" customHeight="1">
      <c r="A11" s="327" t="s">
        <v>1264</v>
      </c>
      <c r="B11" s="327" t="s">
        <v>1263</v>
      </c>
      <c r="C11" s="326">
        <v>70</v>
      </c>
      <c r="D11" s="326" t="s">
        <v>63</v>
      </c>
      <c r="E11" s="326">
        <v>40</v>
      </c>
      <c r="F11" s="325">
        <v>157.5</v>
      </c>
      <c r="G11" s="325">
        <v>1996</v>
      </c>
      <c r="H11" s="325">
        <v>1397.2</v>
      </c>
      <c r="I11" s="324">
        <v>347.2</v>
      </c>
      <c r="J11" s="324">
        <v>341.6</v>
      </c>
      <c r="K11" s="324">
        <v>358.4</v>
      </c>
      <c r="L11" s="324">
        <v>350</v>
      </c>
    </row>
    <row r="12" spans="1:12" ht="21" customHeight="1">
      <c r="A12" s="327" t="s">
        <v>1262</v>
      </c>
      <c r="B12" s="327" t="s">
        <v>1251</v>
      </c>
      <c r="C12" s="326">
        <v>40</v>
      </c>
      <c r="D12" s="326">
        <v>9</v>
      </c>
      <c r="E12" s="326">
        <v>42</v>
      </c>
      <c r="F12" s="325">
        <v>118.83</v>
      </c>
      <c r="G12" s="325">
        <v>2095.8000000000002</v>
      </c>
      <c r="H12" s="325">
        <v>838.32000000000016</v>
      </c>
      <c r="I12" s="324">
        <v>208.32</v>
      </c>
      <c r="J12" s="324">
        <v>204.96</v>
      </c>
      <c r="K12" s="324">
        <v>215.04</v>
      </c>
      <c r="L12" s="324">
        <v>210</v>
      </c>
    </row>
    <row r="13" spans="1:12" ht="21" customHeight="1">
      <c r="A13" s="327" t="s">
        <v>1261</v>
      </c>
      <c r="B13" s="327" t="s">
        <v>1260</v>
      </c>
      <c r="C13" s="326">
        <v>100</v>
      </c>
      <c r="D13" s="326" t="s">
        <v>1259</v>
      </c>
      <c r="E13" s="326">
        <v>40</v>
      </c>
      <c r="F13" s="325">
        <v>305</v>
      </c>
      <c r="G13" s="325">
        <v>1996</v>
      </c>
      <c r="H13" s="325">
        <v>1996</v>
      </c>
      <c r="I13" s="324">
        <v>496</v>
      </c>
      <c r="J13" s="324">
        <v>488</v>
      </c>
      <c r="K13" s="324">
        <v>512</v>
      </c>
      <c r="L13" s="324">
        <v>500</v>
      </c>
    </row>
    <row r="14" spans="1:12" ht="21" customHeight="1">
      <c r="A14" s="327" t="s">
        <v>1258</v>
      </c>
      <c r="B14" s="327" t="s">
        <v>1257</v>
      </c>
      <c r="C14" s="326">
        <v>90</v>
      </c>
      <c r="D14" s="326">
        <v>7</v>
      </c>
      <c r="E14" s="326">
        <v>41</v>
      </c>
      <c r="F14" s="325">
        <v>202.95</v>
      </c>
      <c r="G14" s="325">
        <v>2045.9</v>
      </c>
      <c r="H14" s="325">
        <v>1841.3100000000002</v>
      </c>
      <c r="I14" s="324">
        <v>468.71999999999997</v>
      </c>
      <c r="J14" s="324">
        <v>461.15999999999997</v>
      </c>
      <c r="K14" s="324">
        <v>483.84000000000003</v>
      </c>
      <c r="L14" s="324">
        <v>472.5</v>
      </c>
    </row>
    <row r="15" spans="1:12" ht="21" customHeight="1">
      <c r="A15" s="327" t="s">
        <v>1256</v>
      </c>
      <c r="B15" s="327" t="s">
        <v>1255</v>
      </c>
      <c r="C15" s="326">
        <v>100</v>
      </c>
      <c r="D15" s="326">
        <v>9</v>
      </c>
      <c r="E15" s="326">
        <v>42</v>
      </c>
      <c r="F15" s="325">
        <v>312.39999999999998</v>
      </c>
      <c r="G15" s="325">
        <v>2095.8000000000002</v>
      </c>
      <c r="H15" s="325">
        <v>2095.8000000000002</v>
      </c>
      <c r="I15" s="324">
        <v>520.79999999999995</v>
      </c>
      <c r="J15" s="324">
        <v>512.4</v>
      </c>
      <c r="K15" s="324">
        <v>537.6</v>
      </c>
      <c r="L15" s="324">
        <v>525</v>
      </c>
    </row>
    <row r="16" spans="1:12" ht="21" customHeight="1">
      <c r="A16" s="327" t="s">
        <v>1254</v>
      </c>
      <c r="B16" s="327" t="s">
        <v>1253</v>
      </c>
      <c r="C16" s="326">
        <v>80</v>
      </c>
      <c r="D16" s="326" t="s">
        <v>63</v>
      </c>
      <c r="E16" s="326">
        <v>40</v>
      </c>
      <c r="F16" s="325">
        <v>224.2</v>
      </c>
      <c r="G16" s="325">
        <v>1996</v>
      </c>
      <c r="H16" s="325">
        <v>1596.8</v>
      </c>
      <c r="I16" s="324">
        <v>396.8</v>
      </c>
      <c r="J16" s="324">
        <v>390.4</v>
      </c>
      <c r="K16" s="324">
        <v>409.6</v>
      </c>
      <c r="L16" s="324">
        <v>400</v>
      </c>
    </row>
    <row r="17" spans="1:12" ht="21" customHeight="1">
      <c r="A17" s="327" t="s">
        <v>1252</v>
      </c>
      <c r="B17" s="327" t="s">
        <v>1251</v>
      </c>
      <c r="C17" s="326">
        <v>50</v>
      </c>
      <c r="D17" s="326">
        <v>9</v>
      </c>
      <c r="E17" s="326">
        <v>42</v>
      </c>
      <c r="F17" s="325">
        <v>109.13</v>
      </c>
      <c r="G17" s="325">
        <v>2095.8000000000002</v>
      </c>
      <c r="H17" s="325">
        <v>1047.9000000000001</v>
      </c>
      <c r="I17" s="324">
        <v>260.39999999999998</v>
      </c>
      <c r="J17" s="324">
        <v>256.2</v>
      </c>
      <c r="K17" s="324">
        <v>268.8</v>
      </c>
      <c r="L17" s="324">
        <v>262.5</v>
      </c>
    </row>
    <row r="18" spans="1:12" ht="21" customHeight="1">
      <c r="A18" s="327" t="s">
        <v>1250</v>
      </c>
      <c r="B18" s="327" t="s">
        <v>1249</v>
      </c>
      <c r="C18" s="326">
        <v>100</v>
      </c>
      <c r="D18" s="326">
        <v>7</v>
      </c>
      <c r="E18" s="326">
        <v>41</v>
      </c>
      <c r="F18" s="325">
        <v>267.97000000000003</v>
      </c>
      <c r="G18" s="325">
        <v>2045.9</v>
      </c>
      <c r="H18" s="325">
        <v>2045.9</v>
      </c>
      <c r="I18" s="324">
        <v>508.4</v>
      </c>
      <c r="J18" s="324">
        <v>500.2</v>
      </c>
      <c r="K18" s="324">
        <v>524.79999999999995</v>
      </c>
      <c r="L18" s="324">
        <v>512.5</v>
      </c>
    </row>
    <row r="19" spans="1:12" ht="21" customHeight="1">
      <c r="A19" s="327" t="s">
        <v>1248</v>
      </c>
      <c r="B19" s="327" t="s">
        <v>1247</v>
      </c>
      <c r="C19" s="326">
        <v>90</v>
      </c>
      <c r="D19" s="326" t="s">
        <v>1246</v>
      </c>
      <c r="E19" s="326"/>
      <c r="F19" s="325"/>
      <c r="G19" s="325"/>
      <c r="H19" s="325"/>
      <c r="I19" s="324"/>
      <c r="J19" s="324"/>
      <c r="K19" s="324"/>
      <c r="L19" s="324"/>
    </row>
  </sheetData>
  <sheetProtection sort="0" autoFilter="0"/>
  <pageMargins left="0.70866141732283472" right="0.70866141732283472" top="0.78740157480314965" bottom="0.78740157480314965" header="0.31496062992125984" footer="0.31496062992125984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CC5CB-4FC2-4047-A8A1-43FBFB0B9BCC}">
  <sheetPr codeName="Sheet10"/>
  <dimension ref="A1:AD245"/>
  <sheetViews>
    <sheetView topLeftCell="B1" zoomScale="90" zoomScaleNormal="90" workbookViewId="0">
      <selection activeCell="H118" sqref="H118"/>
    </sheetView>
  </sheetViews>
  <sheetFormatPr defaultRowHeight="12.75"/>
  <cols>
    <col min="1" max="1" width="56.42578125" customWidth="1"/>
    <col min="2" max="2" width="14.42578125" bestFit="1" customWidth="1"/>
    <col min="3" max="3" width="13.42578125" bestFit="1" customWidth="1"/>
    <col min="6" max="6" width="15.85546875" bestFit="1" customWidth="1"/>
    <col min="7" max="7" width="13.42578125" bestFit="1" customWidth="1"/>
    <col min="8" max="8" width="14.85546875" bestFit="1" customWidth="1"/>
    <col min="9" max="9" width="15.85546875" bestFit="1" customWidth="1"/>
    <col min="11" max="11" width="14.42578125" bestFit="1" customWidth="1"/>
    <col min="12" max="12" width="15.85546875" bestFit="1" customWidth="1"/>
    <col min="13" max="13" width="13.42578125" bestFit="1" customWidth="1"/>
    <col min="14" max="14" width="14.42578125" bestFit="1" customWidth="1"/>
    <col min="16" max="16" width="14.42578125" bestFit="1" customWidth="1"/>
    <col min="18" max="20" width="14.42578125" bestFit="1" customWidth="1"/>
    <col min="22" max="22" width="14.42578125" bestFit="1" customWidth="1"/>
    <col min="24" max="24" width="14.42578125" bestFit="1" customWidth="1"/>
    <col min="26" max="26" width="14.42578125" bestFit="1" customWidth="1"/>
    <col min="28" max="28" width="14.42578125" bestFit="1" customWidth="1"/>
  </cols>
  <sheetData>
    <row r="1" spans="1:30" ht="15.75">
      <c r="A1" s="60" t="s">
        <v>15</v>
      </c>
      <c r="B1" s="62" t="s">
        <v>23</v>
      </c>
      <c r="C1" s="56"/>
      <c r="D1" s="55"/>
      <c r="E1" s="55"/>
      <c r="F1" s="55"/>
      <c r="G1" s="55"/>
      <c r="H1" s="55"/>
      <c r="I1" s="55"/>
      <c r="J1" s="309"/>
      <c r="K1" s="309"/>
      <c r="L1" s="55"/>
      <c r="M1" s="55"/>
      <c r="N1" s="309"/>
      <c r="O1" s="55"/>
      <c r="P1" s="309"/>
      <c r="Q1" s="55"/>
      <c r="R1" s="309"/>
      <c r="S1" s="55"/>
      <c r="T1" s="309"/>
      <c r="U1" s="55"/>
      <c r="V1" s="309"/>
      <c r="W1" s="55"/>
      <c r="X1" s="309"/>
      <c r="Y1" s="55"/>
      <c r="Z1" s="309"/>
      <c r="AA1" s="55"/>
      <c r="AB1" s="309"/>
      <c r="AC1" s="55"/>
      <c r="AD1" s="55"/>
    </row>
    <row r="2" spans="1:30">
      <c r="A2" s="43"/>
      <c r="B2" s="55" t="s">
        <v>642</v>
      </c>
      <c r="C2" s="56"/>
      <c r="D2" s="55"/>
      <c r="E2" s="55"/>
      <c r="F2" s="55"/>
      <c r="G2" s="55"/>
      <c r="H2" s="55"/>
      <c r="I2" s="55"/>
      <c r="J2" s="309"/>
      <c r="K2" s="309"/>
      <c r="L2" s="55"/>
      <c r="M2" s="55"/>
      <c r="N2" s="309"/>
      <c r="O2" s="55"/>
      <c r="P2" s="309"/>
      <c r="Q2" s="55"/>
      <c r="R2" s="309"/>
      <c r="S2" s="55"/>
      <c r="T2" s="309"/>
      <c r="U2" s="55"/>
      <c r="V2" s="309"/>
      <c r="W2" s="55"/>
      <c r="X2" s="309"/>
      <c r="Y2" s="55"/>
      <c r="Z2" s="309"/>
      <c r="AA2" s="55"/>
      <c r="AB2" s="309"/>
      <c r="AC2" s="55"/>
      <c r="AD2" s="55"/>
    </row>
    <row r="3" spans="1:30" ht="117.75">
      <c r="A3" s="67" t="s">
        <v>16</v>
      </c>
      <c r="B3" s="71" t="s">
        <v>805</v>
      </c>
      <c r="C3" s="72" t="s">
        <v>72</v>
      </c>
      <c r="D3" s="72" t="s">
        <v>120</v>
      </c>
      <c r="E3" s="71" t="s">
        <v>649</v>
      </c>
      <c r="F3" s="72" t="s">
        <v>791</v>
      </c>
      <c r="G3" s="72" t="s">
        <v>119</v>
      </c>
      <c r="H3" s="72" t="s">
        <v>18</v>
      </c>
      <c r="I3" s="72" t="s">
        <v>100</v>
      </c>
      <c r="J3" s="72" t="s">
        <v>1005</v>
      </c>
      <c r="K3" s="72" t="s">
        <v>792</v>
      </c>
      <c r="L3" s="72" t="s">
        <v>101</v>
      </c>
      <c r="M3" s="72" t="s">
        <v>645</v>
      </c>
      <c r="N3" s="72" t="s">
        <v>793</v>
      </c>
      <c r="O3" s="72" t="s">
        <v>646</v>
      </c>
      <c r="P3" s="72" t="s">
        <v>794</v>
      </c>
      <c r="Q3" s="72" t="s">
        <v>647</v>
      </c>
      <c r="R3" s="72" t="s">
        <v>795</v>
      </c>
      <c r="S3" s="72" t="s">
        <v>648</v>
      </c>
      <c r="T3" s="72" t="s">
        <v>796</v>
      </c>
      <c r="U3" s="72" t="s">
        <v>102</v>
      </c>
      <c r="V3" s="72" t="s">
        <v>821</v>
      </c>
      <c r="W3" s="71" t="s">
        <v>822</v>
      </c>
      <c r="X3" s="71" t="s">
        <v>823</v>
      </c>
      <c r="Y3" s="71" t="s">
        <v>826</v>
      </c>
      <c r="Z3" s="71" t="s">
        <v>824</v>
      </c>
      <c r="AA3" s="71" t="s">
        <v>827</v>
      </c>
      <c r="AB3" s="71" t="s">
        <v>825</v>
      </c>
      <c r="AC3" s="71" t="s">
        <v>828</v>
      </c>
      <c r="AD3" s="72" t="s">
        <v>20</v>
      </c>
    </row>
    <row r="4" spans="1:30">
      <c r="A4" s="248" t="s">
        <v>846</v>
      </c>
      <c r="B4" s="115"/>
      <c r="C4" s="260"/>
      <c r="D4" s="260"/>
      <c r="E4" s="110"/>
      <c r="F4" s="260"/>
      <c r="G4" s="260"/>
      <c r="H4" s="260"/>
      <c r="I4" s="260"/>
      <c r="J4" s="310"/>
      <c r="K4" s="310">
        <v>15000</v>
      </c>
      <c r="L4" s="260"/>
      <c r="M4" s="260"/>
      <c r="N4" s="310"/>
      <c r="O4" s="260"/>
      <c r="P4" s="310"/>
      <c r="Q4" s="260"/>
      <c r="R4" s="310"/>
      <c r="S4" s="260"/>
      <c r="T4" s="310"/>
      <c r="U4" s="260"/>
      <c r="V4" s="310"/>
      <c r="W4" s="260"/>
      <c r="X4" s="310"/>
      <c r="Y4" s="260"/>
      <c r="Z4" s="310"/>
      <c r="AA4" s="260"/>
      <c r="AB4" s="310"/>
      <c r="AC4" s="260"/>
      <c r="AD4" s="260"/>
    </row>
    <row r="5" spans="1:30">
      <c r="A5" s="255" t="s">
        <v>428</v>
      </c>
      <c r="B5" s="115"/>
      <c r="C5" s="115"/>
      <c r="D5" s="115" t="s">
        <v>690</v>
      </c>
      <c r="E5" s="105"/>
      <c r="F5" s="115"/>
      <c r="G5" s="115"/>
      <c r="H5" s="115"/>
      <c r="I5" s="115"/>
      <c r="J5" s="311"/>
      <c r="K5" s="311"/>
      <c r="L5" s="115">
        <v>0</v>
      </c>
      <c r="M5" s="115"/>
      <c r="N5" s="311"/>
      <c r="O5" s="115"/>
      <c r="P5" s="311"/>
      <c r="Q5" s="115"/>
      <c r="R5" s="311"/>
      <c r="S5" s="115"/>
      <c r="T5" s="311"/>
      <c r="U5" s="115"/>
      <c r="V5" s="311"/>
      <c r="W5" s="115"/>
      <c r="X5" s="311"/>
      <c r="Y5" s="115"/>
      <c r="Z5" s="311"/>
      <c r="AA5" s="115"/>
      <c r="AB5" s="311"/>
      <c r="AC5" s="115"/>
      <c r="AD5" s="115"/>
    </row>
    <row r="6" spans="1:30">
      <c r="A6" s="255" t="s">
        <v>272</v>
      </c>
      <c r="B6" s="115"/>
      <c r="C6" s="115"/>
      <c r="D6" s="115" t="s">
        <v>620</v>
      </c>
      <c r="E6" s="105" t="s">
        <v>829</v>
      </c>
      <c r="F6" s="115">
        <v>250000</v>
      </c>
      <c r="G6" s="115"/>
      <c r="H6" s="115"/>
      <c r="I6" s="260">
        <v>250000</v>
      </c>
      <c r="J6" s="310"/>
      <c r="K6" s="311"/>
      <c r="L6" s="115">
        <v>250000</v>
      </c>
      <c r="M6" s="115"/>
      <c r="N6" s="311"/>
      <c r="O6" s="115"/>
      <c r="P6" s="311"/>
      <c r="Q6" s="115"/>
      <c r="R6" s="311"/>
      <c r="S6" s="115"/>
      <c r="T6" s="311"/>
      <c r="U6" s="115"/>
      <c r="V6" s="311"/>
      <c r="W6" s="115"/>
      <c r="X6" s="311"/>
      <c r="Y6" s="115"/>
      <c r="Z6" s="311"/>
      <c r="AA6" s="115"/>
      <c r="AB6" s="311"/>
      <c r="AC6" s="115"/>
      <c r="AD6" s="115"/>
    </row>
    <row r="7" spans="1:30">
      <c r="A7" s="265" t="s">
        <v>337</v>
      </c>
      <c r="B7" s="115"/>
      <c r="C7" s="115"/>
      <c r="D7" s="115" t="s">
        <v>74</v>
      </c>
      <c r="E7" s="105" t="s">
        <v>815</v>
      </c>
      <c r="F7" s="115">
        <v>120000</v>
      </c>
      <c r="G7" s="115"/>
      <c r="H7" s="115"/>
      <c r="I7" s="260">
        <v>120000</v>
      </c>
      <c r="J7" s="310"/>
      <c r="K7" s="311"/>
      <c r="L7" s="115">
        <v>120000</v>
      </c>
      <c r="M7" s="115"/>
      <c r="N7" s="311"/>
      <c r="O7" s="115"/>
      <c r="P7" s="311"/>
      <c r="Q7" s="115"/>
      <c r="R7" s="311"/>
      <c r="S7" s="115"/>
      <c r="T7" s="311"/>
      <c r="U7" s="115"/>
      <c r="V7" s="311"/>
      <c r="W7" s="115"/>
      <c r="X7" s="311"/>
      <c r="Y7" s="115"/>
      <c r="Z7" s="311"/>
      <c r="AA7" s="115"/>
      <c r="AB7" s="311"/>
      <c r="AC7" s="115"/>
      <c r="AD7" s="115"/>
    </row>
    <row r="8" spans="1:30">
      <c r="A8" s="248" t="s">
        <v>835</v>
      </c>
      <c r="B8" s="260"/>
      <c r="C8" s="260"/>
      <c r="D8" s="260" t="s">
        <v>75</v>
      </c>
      <c r="E8" s="110" t="s">
        <v>836</v>
      </c>
      <c r="F8" s="115"/>
      <c r="G8" s="260"/>
      <c r="H8" s="260"/>
      <c r="I8" s="260">
        <v>0</v>
      </c>
      <c r="J8" s="310"/>
      <c r="K8" s="310"/>
      <c r="L8" s="260">
        <v>0</v>
      </c>
      <c r="M8" s="260"/>
      <c r="N8" s="310"/>
      <c r="O8" s="260"/>
      <c r="P8" s="310"/>
      <c r="Q8" s="260"/>
      <c r="R8" s="310"/>
      <c r="S8" s="260"/>
      <c r="T8" s="310"/>
      <c r="U8" s="260"/>
      <c r="V8" s="310"/>
      <c r="W8" s="260"/>
      <c r="X8" s="310"/>
      <c r="Y8" s="260"/>
      <c r="Z8" s="310"/>
      <c r="AA8" s="260"/>
      <c r="AB8" s="310"/>
      <c r="AC8" s="260"/>
      <c r="AD8" s="260"/>
    </row>
    <row r="9" spans="1:30">
      <c r="A9" s="248" t="s">
        <v>834</v>
      </c>
      <c r="B9" s="260"/>
      <c r="C9" s="260"/>
      <c r="D9" s="115"/>
      <c r="E9" s="110"/>
      <c r="F9" s="260"/>
      <c r="G9" s="260"/>
      <c r="H9" s="260"/>
      <c r="I9" s="260"/>
      <c r="J9" s="310"/>
      <c r="K9" s="310">
        <v>10000</v>
      </c>
      <c r="L9" s="115"/>
      <c r="M9" s="260"/>
      <c r="N9" s="310"/>
      <c r="O9" s="260"/>
      <c r="P9" s="310"/>
      <c r="Q9" s="260"/>
      <c r="R9" s="310"/>
      <c r="S9" s="260"/>
      <c r="T9" s="310"/>
      <c r="U9" s="260"/>
      <c r="V9" s="310"/>
      <c r="W9" s="260"/>
      <c r="X9" s="310"/>
      <c r="Y9" s="260"/>
      <c r="Z9" s="310"/>
      <c r="AA9" s="260"/>
      <c r="AB9" s="310"/>
      <c r="AC9" s="260"/>
      <c r="AD9" s="260"/>
    </row>
    <row r="10" spans="1:30">
      <c r="A10" s="255" t="s">
        <v>308</v>
      </c>
      <c r="B10" s="115"/>
      <c r="C10" s="115"/>
      <c r="D10" s="115" t="s">
        <v>74</v>
      </c>
      <c r="E10" s="105" t="s">
        <v>1106</v>
      </c>
      <c r="F10" s="115">
        <v>160000</v>
      </c>
      <c r="G10" s="115"/>
      <c r="H10" s="115"/>
      <c r="I10" s="260">
        <v>160000</v>
      </c>
      <c r="J10" s="310"/>
      <c r="K10" s="311">
        <v>140000</v>
      </c>
      <c r="L10" s="115">
        <v>20000</v>
      </c>
      <c r="M10" s="115"/>
      <c r="N10" s="311">
        <v>20000</v>
      </c>
      <c r="O10" s="115"/>
      <c r="P10" s="311"/>
      <c r="Q10" s="115"/>
      <c r="R10" s="311"/>
      <c r="S10" s="115"/>
      <c r="T10" s="311"/>
      <c r="U10" s="115"/>
      <c r="V10" s="311"/>
      <c r="W10" s="115"/>
      <c r="X10" s="311"/>
      <c r="Y10" s="115"/>
      <c r="Z10" s="311"/>
      <c r="AA10" s="115"/>
      <c r="AB10" s="311"/>
      <c r="AC10" s="115"/>
      <c r="AD10" s="115"/>
    </row>
    <row r="11" spans="1:30">
      <c r="A11" s="255" t="s">
        <v>1229</v>
      </c>
      <c r="B11" s="115"/>
      <c r="C11" s="115"/>
      <c r="D11" s="115"/>
      <c r="E11" s="105"/>
      <c r="F11" s="115"/>
      <c r="G11" s="115"/>
      <c r="H11" s="115"/>
      <c r="I11" s="115"/>
      <c r="J11" s="311"/>
      <c r="K11" s="311">
        <v>19000</v>
      </c>
      <c r="L11" s="115"/>
      <c r="M11" s="115"/>
      <c r="N11" s="311"/>
      <c r="O11" s="115"/>
      <c r="P11" s="311"/>
      <c r="Q11" s="115"/>
      <c r="R11" s="311"/>
      <c r="S11" s="115"/>
      <c r="T11" s="311"/>
      <c r="U11" s="115"/>
      <c r="V11" s="311"/>
      <c r="W11" s="115"/>
      <c r="X11" s="311"/>
      <c r="Y11" s="115"/>
      <c r="Z11" s="311"/>
      <c r="AA11" s="115"/>
      <c r="AB11" s="311"/>
      <c r="AC11" s="115"/>
      <c r="AD11" s="115"/>
    </row>
    <row r="12" spans="1:30">
      <c r="A12" s="255" t="s">
        <v>838</v>
      </c>
      <c r="B12" s="260"/>
      <c r="C12" s="115"/>
      <c r="D12" s="260" t="s">
        <v>75</v>
      </c>
      <c r="E12" s="110" t="s">
        <v>839</v>
      </c>
      <c r="F12" s="260">
        <v>3200000</v>
      </c>
      <c r="G12" s="260"/>
      <c r="H12" s="260"/>
      <c r="I12" s="260">
        <v>3200000</v>
      </c>
      <c r="J12" s="310"/>
      <c r="K12" s="310"/>
      <c r="L12" s="260">
        <v>3200000</v>
      </c>
      <c r="M12" s="260"/>
      <c r="N12" s="310">
        <v>250000</v>
      </c>
      <c r="O12" s="260"/>
      <c r="P12" s="310">
        <v>1200000</v>
      </c>
      <c r="Q12" s="260"/>
      <c r="R12" s="310">
        <v>1500000</v>
      </c>
      <c r="S12" s="260"/>
      <c r="T12" s="310">
        <v>250000</v>
      </c>
      <c r="U12" s="260"/>
      <c r="V12" s="310"/>
      <c r="W12" s="260"/>
      <c r="X12" s="310"/>
      <c r="Y12" s="260"/>
      <c r="Z12" s="310"/>
      <c r="AA12" s="260"/>
      <c r="AB12" s="310"/>
      <c r="AC12" s="260"/>
      <c r="AD12" s="260"/>
    </row>
    <row r="13" spans="1:30">
      <c r="A13" s="255" t="s">
        <v>1159</v>
      </c>
      <c r="B13" s="115"/>
      <c r="C13" s="115"/>
      <c r="D13" s="115"/>
      <c r="E13" s="105"/>
      <c r="F13" s="115">
        <v>58000</v>
      </c>
      <c r="G13" s="115"/>
      <c r="H13" s="115"/>
      <c r="I13" s="260">
        <v>58000</v>
      </c>
      <c r="J13" s="310"/>
      <c r="K13" s="311">
        <v>58000</v>
      </c>
      <c r="L13" s="115"/>
      <c r="M13" s="115"/>
      <c r="N13" s="311"/>
      <c r="O13" s="115"/>
      <c r="P13" s="311"/>
      <c r="Q13" s="115"/>
      <c r="R13" s="311"/>
      <c r="S13" s="115"/>
      <c r="T13" s="311"/>
      <c r="U13" s="115"/>
      <c r="V13" s="311"/>
      <c r="W13" s="115"/>
      <c r="X13" s="311"/>
      <c r="Y13" s="115"/>
      <c r="Z13" s="311"/>
      <c r="AA13" s="115"/>
      <c r="AB13" s="311"/>
      <c r="AC13" s="115"/>
      <c r="AD13" s="115"/>
    </row>
    <row r="14" spans="1:30">
      <c r="A14" s="255" t="s">
        <v>391</v>
      </c>
      <c r="B14" s="115"/>
      <c r="C14" s="115"/>
      <c r="D14" s="115" t="s">
        <v>74</v>
      </c>
      <c r="E14" s="105"/>
      <c r="F14" s="115">
        <v>2000000</v>
      </c>
      <c r="G14" s="115"/>
      <c r="H14" s="115"/>
      <c r="I14" s="260">
        <v>2000000</v>
      </c>
      <c r="J14" s="310"/>
      <c r="K14" s="311"/>
      <c r="L14" s="115">
        <v>2000000</v>
      </c>
      <c r="M14" s="115"/>
      <c r="N14" s="311"/>
      <c r="O14" s="115"/>
      <c r="P14" s="311"/>
      <c r="Q14" s="115"/>
      <c r="R14" s="311"/>
      <c r="S14" s="115"/>
      <c r="T14" s="311"/>
      <c r="U14" s="115"/>
      <c r="V14" s="311"/>
      <c r="W14" s="115"/>
      <c r="X14" s="311"/>
      <c r="Y14" s="115"/>
      <c r="Z14" s="311"/>
      <c r="AA14" s="115"/>
      <c r="AB14" s="311"/>
      <c r="AC14" s="115"/>
      <c r="AD14" s="115"/>
    </row>
    <row r="15" spans="1:30">
      <c r="A15" s="255" t="s">
        <v>430</v>
      </c>
      <c r="B15" s="115"/>
      <c r="C15" s="115"/>
      <c r="D15" s="115"/>
      <c r="E15" s="105"/>
      <c r="F15" s="115"/>
      <c r="G15" s="115"/>
      <c r="H15" s="115"/>
      <c r="I15" s="260">
        <v>0</v>
      </c>
      <c r="J15" s="310"/>
      <c r="K15" s="311"/>
      <c r="L15" s="115">
        <v>0</v>
      </c>
      <c r="M15" s="115"/>
      <c r="N15" s="311"/>
      <c r="O15" s="115"/>
      <c r="P15" s="311"/>
      <c r="Q15" s="115"/>
      <c r="R15" s="311"/>
      <c r="S15" s="115"/>
      <c r="T15" s="311"/>
      <c r="U15" s="115"/>
      <c r="V15" s="311"/>
      <c r="W15" s="115"/>
      <c r="X15" s="311"/>
      <c r="Y15" s="115"/>
      <c r="Z15" s="311"/>
      <c r="AA15" s="115"/>
      <c r="AB15" s="311"/>
      <c r="AC15" s="115"/>
      <c r="AD15" s="115"/>
    </row>
    <row r="16" spans="1:30">
      <c r="A16" s="255" t="s">
        <v>432</v>
      </c>
      <c r="B16" s="115"/>
      <c r="C16" s="115"/>
      <c r="D16" s="115"/>
      <c r="E16" s="105"/>
      <c r="F16" s="115"/>
      <c r="G16" s="115"/>
      <c r="H16" s="115"/>
      <c r="I16" s="260">
        <v>0</v>
      </c>
      <c r="J16" s="310"/>
      <c r="K16" s="311"/>
      <c r="L16" s="115">
        <v>0</v>
      </c>
      <c r="M16" s="115"/>
      <c r="N16" s="311"/>
      <c r="O16" s="115"/>
      <c r="P16" s="311"/>
      <c r="Q16" s="115"/>
      <c r="R16" s="311"/>
      <c r="S16" s="115"/>
      <c r="T16" s="311"/>
      <c r="U16" s="115"/>
      <c r="V16" s="311"/>
      <c r="W16" s="115"/>
      <c r="X16" s="311"/>
      <c r="Y16" s="115"/>
      <c r="Z16" s="311"/>
      <c r="AA16" s="115"/>
      <c r="AB16" s="311"/>
      <c r="AC16" s="115"/>
      <c r="AD16" s="115"/>
    </row>
    <row r="17" spans="1:30">
      <c r="A17" s="255" t="s">
        <v>434</v>
      </c>
      <c r="B17" s="115"/>
      <c r="C17" s="115"/>
      <c r="D17" s="115"/>
      <c r="E17" s="105"/>
      <c r="F17" s="115"/>
      <c r="G17" s="115"/>
      <c r="H17" s="115"/>
      <c r="I17" s="260">
        <v>0</v>
      </c>
      <c r="J17" s="310"/>
      <c r="K17" s="311"/>
      <c r="L17" s="115">
        <v>0</v>
      </c>
      <c r="M17" s="115"/>
      <c r="N17" s="311"/>
      <c r="O17" s="115"/>
      <c r="P17" s="311"/>
      <c r="Q17" s="115"/>
      <c r="R17" s="311"/>
      <c r="S17" s="115"/>
      <c r="T17" s="311"/>
      <c r="U17" s="115"/>
      <c r="V17" s="311"/>
      <c r="W17" s="115"/>
      <c r="X17" s="311"/>
      <c r="Y17" s="115"/>
      <c r="Z17" s="311"/>
      <c r="AA17" s="115"/>
      <c r="AB17" s="311"/>
      <c r="AC17" s="115"/>
      <c r="AD17" s="115"/>
    </row>
    <row r="18" spans="1:30">
      <c r="A18" s="265" t="s">
        <v>172</v>
      </c>
      <c r="B18" s="274"/>
      <c r="C18" s="274"/>
      <c r="D18" s="274"/>
      <c r="E18" s="182"/>
      <c r="F18" s="274"/>
      <c r="G18" s="274"/>
      <c r="H18" s="274"/>
      <c r="I18" s="274">
        <v>0</v>
      </c>
      <c r="J18" s="312"/>
      <c r="K18" s="312"/>
      <c r="L18" s="274">
        <v>0</v>
      </c>
      <c r="M18" s="274"/>
      <c r="N18" s="312"/>
      <c r="O18" s="274"/>
      <c r="P18" s="312"/>
      <c r="Q18" s="274"/>
      <c r="R18" s="312"/>
      <c r="S18" s="274"/>
      <c r="T18" s="312"/>
      <c r="U18" s="274"/>
      <c r="V18" s="312"/>
      <c r="W18" s="274"/>
      <c r="X18" s="312"/>
      <c r="Y18" s="274"/>
      <c r="Z18" s="312"/>
      <c r="AA18" s="274"/>
      <c r="AB18" s="312"/>
      <c r="AC18" s="274"/>
      <c r="AD18" s="274"/>
    </row>
    <row r="19" spans="1:30">
      <c r="A19" s="255" t="s">
        <v>1163</v>
      </c>
      <c r="B19" s="115"/>
      <c r="C19" s="115"/>
      <c r="D19" s="115"/>
      <c r="E19" s="105"/>
      <c r="F19" s="115"/>
      <c r="G19" s="115"/>
      <c r="H19" s="115"/>
      <c r="I19" s="115"/>
      <c r="J19" s="311"/>
      <c r="K19" s="311">
        <v>8000</v>
      </c>
      <c r="L19" s="115"/>
      <c r="M19" s="115"/>
      <c r="N19" s="311"/>
      <c r="O19" s="115"/>
      <c r="P19" s="311"/>
      <c r="Q19" s="115"/>
      <c r="R19" s="311"/>
      <c r="S19" s="115"/>
      <c r="T19" s="311"/>
      <c r="U19" s="115"/>
      <c r="V19" s="311"/>
      <c r="W19" s="115"/>
      <c r="X19" s="311"/>
      <c r="Y19" s="115"/>
      <c r="Z19" s="311"/>
      <c r="AA19" s="115"/>
      <c r="AB19" s="311"/>
      <c r="AC19" s="115"/>
      <c r="AD19" s="115"/>
    </row>
    <row r="20" spans="1:30">
      <c r="A20" s="265" t="s">
        <v>174</v>
      </c>
      <c r="B20" s="274"/>
      <c r="C20" s="274"/>
      <c r="D20" s="274"/>
      <c r="E20" s="182"/>
      <c r="F20" s="274"/>
      <c r="G20" s="274"/>
      <c r="H20" s="274"/>
      <c r="I20" s="274">
        <v>0</v>
      </c>
      <c r="J20" s="312"/>
      <c r="K20" s="312"/>
      <c r="L20" s="274">
        <v>0</v>
      </c>
      <c r="M20" s="274"/>
      <c r="N20" s="312"/>
      <c r="O20" s="274"/>
      <c r="P20" s="312"/>
      <c r="Q20" s="274"/>
      <c r="R20" s="312"/>
      <c r="S20" s="274"/>
      <c r="T20" s="312"/>
      <c r="U20" s="274"/>
      <c r="V20" s="312"/>
      <c r="W20" s="274"/>
      <c r="X20" s="312"/>
      <c r="Y20" s="274"/>
      <c r="Z20" s="312"/>
      <c r="AA20" s="274"/>
      <c r="AB20" s="312"/>
      <c r="AC20" s="274"/>
      <c r="AD20" s="274"/>
    </row>
    <row r="21" spans="1:30">
      <c r="A21" s="255" t="s">
        <v>436</v>
      </c>
      <c r="B21" s="115"/>
      <c r="C21" s="115"/>
      <c r="D21" s="115"/>
      <c r="E21" s="105"/>
      <c r="F21" s="115"/>
      <c r="G21" s="115"/>
      <c r="H21" s="115"/>
      <c r="I21" s="260">
        <v>0</v>
      </c>
      <c r="J21" s="310"/>
      <c r="K21" s="311"/>
      <c r="L21" s="115">
        <v>0</v>
      </c>
      <c r="M21" s="115"/>
      <c r="N21" s="311"/>
      <c r="O21" s="115"/>
      <c r="P21" s="311"/>
      <c r="Q21" s="115"/>
      <c r="R21" s="311"/>
      <c r="S21" s="115"/>
      <c r="T21" s="311"/>
      <c r="U21" s="115"/>
      <c r="V21" s="311"/>
      <c r="W21" s="115"/>
      <c r="X21" s="311"/>
      <c r="Y21" s="115"/>
      <c r="Z21" s="311"/>
      <c r="AA21" s="115"/>
      <c r="AB21" s="311"/>
      <c r="AC21" s="115"/>
      <c r="AD21" s="115"/>
    </row>
    <row r="22" spans="1:30">
      <c r="A22" s="248" t="s">
        <v>863</v>
      </c>
      <c r="B22" s="260"/>
      <c r="C22" s="260"/>
      <c r="D22" s="260"/>
      <c r="E22" s="110"/>
      <c r="F22" s="260"/>
      <c r="G22" s="260"/>
      <c r="H22" s="260"/>
      <c r="I22" s="260">
        <v>0</v>
      </c>
      <c r="J22" s="310"/>
      <c r="K22" s="310"/>
      <c r="L22" s="260">
        <v>0</v>
      </c>
      <c r="M22" s="260"/>
      <c r="N22" s="310"/>
      <c r="O22" s="260"/>
      <c r="P22" s="310"/>
      <c r="Q22" s="260"/>
      <c r="R22" s="310"/>
      <c r="S22" s="260"/>
      <c r="T22" s="310"/>
      <c r="U22" s="260"/>
      <c r="V22" s="310"/>
      <c r="W22" s="260"/>
      <c r="X22" s="310"/>
      <c r="Y22" s="260"/>
      <c r="Z22" s="310"/>
      <c r="AA22" s="260"/>
      <c r="AB22" s="310"/>
      <c r="AC22" s="260"/>
      <c r="AD22" s="260"/>
    </row>
    <row r="23" spans="1:30">
      <c r="A23" s="255" t="s">
        <v>1083</v>
      </c>
      <c r="B23" s="115"/>
      <c r="C23" s="115"/>
      <c r="D23" s="115"/>
      <c r="E23" s="105"/>
      <c r="F23" s="115"/>
      <c r="G23" s="115"/>
      <c r="H23" s="115"/>
      <c r="I23" s="115"/>
      <c r="J23" s="311"/>
      <c r="K23" s="311">
        <v>2000</v>
      </c>
      <c r="L23" s="115"/>
      <c r="M23" s="115"/>
      <c r="N23" s="311">
        <v>2000</v>
      </c>
      <c r="O23" s="115"/>
      <c r="P23" s="311">
        <v>2000</v>
      </c>
      <c r="Q23" s="115"/>
      <c r="R23" s="311">
        <v>2000</v>
      </c>
      <c r="S23" s="115"/>
      <c r="T23" s="311">
        <v>2000</v>
      </c>
      <c r="U23" s="115"/>
      <c r="V23" s="311">
        <v>2000</v>
      </c>
      <c r="W23" s="115"/>
      <c r="X23" s="311">
        <v>2000</v>
      </c>
      <c r="Y23" s="115"/>
      <c r="Z23" s="311">
        <v>2000</v>
      </c>
      <c r="AA23" s="115"/>
      <c r="AB23" s="311">
        <v>2000</v>
      </c>
      <c r="AC23" s="115"/>
      <c r="AD23" s="115"/>
    </row>
    <row r="24" spans="1:30">
      <c r="A24" s="255" t="s">
        <v>438</v>
      </c>
      <c r="B24" s="115"/>
      <c r="C24" s="115"/>
      <c r="D24" s="115"/>
      <c r="E24" s="105"/>
      <c r="F24" s="115"/>
      <c r="G24" s="115"/>
      <c r="H24" s="115"/>
      <c r="I24" s="260">
        <v>0</v>
      </c>
      <c r="J24" s="310"/>
      <c r="K24" s="311"/>
      <c r="L24" s="115">
        <v>0</v>
      </c>
      <c r="M24" s="115"/>
      <c r="N24" s="311"/>
      <c r="O24" s="115"/>
      <c r="P24" s="311"/>
      <c r="Q24" s="115"/>
      <c r="R24" s="311"/>
      <c r="S24" s="115"/>
      <c r="T24" s="311"/>
      <c r="U24" s="115"/>
      <c r="V24" s="311"/>
      <c r="W24" s="115"/>
      <c r="X24" s="311"/>
      <c r="Y24" s="115"/>
      <c r="Z24" s="311"/>
      <c r="AA24" s="115"/>
      <c r="AB24" s="311"/>
      <c r="AC24" s="115"/>
      <c r="AD24" s="115"/>
    </row>
    <row r="25" spans="1:30">
      <c r="A25" s="255" t="s">
        <v>440</v>
      </c>
      <c r="B25" s="115"/>
      <c r="C25" s="115"/>
      <c r="D25" s="115"/>
      <c r="E25" s="105"/>
      <c r="F25" s="115"/>
      <c r="G25" s="115"/>
      <c r="H25" s="115"/>
      <c r="I25" s="260">
        <v>0</v>
      </c>
      <c r="J25" s="310"/>
      <c r="K25" s="311"/>
      <c r="L25" s="115">
        <v>0</v>
      </c>
      <c r="M25" s="115"/>
      <c r="N25" s="311"/>
      <c r="O25" s="115"/>
      <c r="P25" s="311"/>
      <c r="Q25" s="115"/>
      <c r="R25" s="311"/>
      <c r="S25" s="115"/>
      <c r="T25" s="311"/>
      <c r="U25" s="115"/>
      <c r="V25" s="311"/>
      <c r="W25" s="115"/>
      <c r="X25" s="311"/>
      <c r="Y25" s="115"/>
      <c r="Z25" s="311"/>
      <c r="AA25" s="115"/>
      <c r="AB25" s="311"/>
      <c r="AC25" s="115"/>
      <c r="AD25" s="115"/>
    </row>
    <row r="26" spans="1:30">
      <c r="A26" s="255" t="s">
        <v>199</v>
      </c>
      <c r="B26" s="115"/>
      <c r="C26" s="115"/>
      <c r="D26" s="115"/>
      <c r="E26" s="105"/>
      <c r="F26" s="115"/>
      <c r="G26" s="115"/>
      <c r="H26" s="115"/>
      <c r="I26" s="260">
        <v>0</v>
      </c>
      <c r="J26" s="310"/>
      <c r="K26" s="311"/>
      <c r="L26" s="115">
        <v>0</v>
      </c>
      <c r="M26" s="115"/>
      <c r="N26" s="311"/>
      <c r="O26" s="115"/>
      <c r="P26" s="311"/>
      <c r="Q26" s="115"/>
      <c r="R26" s="311"/>
      <c r="S26" s="115"/>
      <c r="T26" s="311"/>
      <c r="U26" s="115"/>
      <c r="V26" s="311"/>
      <c r="W26" s="115"/>
      <c r="X26" s="311"/>
      <c r="Y26" s="115"/>
      <c r="Z26" s="311"/>
      <c r="AA26" s="115"/>
      <c r="AB26" s="311"/>
      <c r="AC26" s="115"/>
      <c r="AD26" s="115"/>
    </row>
    <row r="27" spans="1:30">
      <c r="A27" s="255" t="s">
        <v>311</v>
      </c>
      <c r="B27" s="115">
        <v>62447</v>
      </c>
      <c r="C27" s="115"/>
      <c r="D27" s="115" t="s">
        <v>74</v>
      </c>
      <c r="E27" s="105" t="s">
        <v>806</v>
      </c>
      <c r="F27" s="115">
        <v>474000</v>
      </c>
      <c r="G27" s="115"/>
      <c r="H27" s="115">
        <f>Tabelle4[[#This Row],[Kredit-  / Budgetsumme
(RADAR: Gesamtkosten S)]]-Tabelle4[[#This Row],[Kreditrest per 1.1. aktuelles Jahr]]</f>
        <v>0</v>
      </c>
      <c r="I27" s="260">
        <v>411553</v>
      </c>
      <c r="J27" s="310"/>
      <c r="K27" s="311">
        <v>400000</v>
      </c>
      <c r="L27" s="115">
        <v>11553</v>
      </c>
      <c r="M27" s="115"/>
      <c r="N27" s="311" t="s">
        <v>804</v>
      </c>
      <c r="O27" s="115"/>
      <c r="P27" s="311"/>
      <c r="Q27" s="115"/>
      <c r="R27" s="311"/>
      <c r="S27" s="115"/>
      <c r="T27" s="311"/>
      <c r="U27" s="115"/>
      <c r="V27" s="311"/>
      <c r="W27" s="115"/>
      <c r="X27" s="311"/>
      <c r="Y27" s="115"/>
      <c r="Z27" s="311"/>
      <c r="AA27" s="115"/>
      <c r="AB27" s="311"/>
      <c r="AC27" s="115"/>
      <c r="AD27" s="115"/>
    </row>
    <row r="28" spans="1:30">
      <c r="A28" s="255" t="s">
        <v>194</v>
      </c>
      <c r="B28" s="115"/>
      <c r="C28" s="115"/>
      <c r="D28" s="115"/>
      <c r="E28" s="105"/>
      <c r="F28" s="115"/>
      <c r="G28" s="115"/>
      <c r="H28" s="115"/>
      <c r="I28" s="260"/>
      <c r="J28" s="310"/>
      <c r="K28" s="311">
        <v>10000</v>
      </c>
      <c r="L28" s="115"/>
      <c r="M28" s="115"/>
      <c r="N28" s="311">
        <v>10000</v>
      </c>
      <c r="O28" s="115"/>
      <c r="P28" s="311">
        <v>10000</v>
      </c>
      <c r="Q28" s="115"/>
      <c r="R28" s="311">
        <v>10000</v>
      </c>
      <c r="S28" s="115"/>
      <c r="T28" s="311">
        <v>10000</v>
      </c>
      <c r="U28" s="115"/>
      <c r="V28" s="311">
        <v>10000</v>
      </c>
      <c r="W28" s="115"/>
      <c r="X28" s="311">
        <v>10000</v>
      </c>
      <c r="Y28" s="115"/>
      <c r="Z28" s="311">
        <v>10000</v>
      </c>
      <c r="AA28" s="115"/>
      <c r="AB28" s="311">
        <v>10000</v>
      </c>
      <c r="AC28" s="115"/>
      <c r="AD28" s="115"/>
    </row>
    <row r="29" spans="1:30">
      <c r="A29" s="255" t="s">
        <v>1213</v>
      </c>
      <c r="B29" s="115"/>
      <c r="C29" s="115"/>
      <c r="D29" s="115"/>
      <c r="E29" s="105"/>
      <c r="F29" s="115"/>
      <c r="G29" s="115"/>
      <c r="H29" s="115"/>
      <c r="I29" s="115"/>
      <c r="J29" s="311"/>
      <c r="K29" s="311"/>
      <c r="L29" s="115">
        <v>0</v>
      </c>
      <c r="M29" s="115"/>
      <c r="N29" s="311"/>
      <c r="O29" s="115"/>
      <c r="P29" s="311"/>
      <c r="Q29" s="115"/>
      <c r="R29" s="311"/>
      <c r="S29" s="115"/>
      <c r="T29" s="311"/>
      <c r="U29" s="115"/>
      <c r="V29" s="311"/>
      <c r="W29" s="115"/>
      <c r="X29" s="311"/>
      <c r="Y29" s="115"/>
      <c r="Z29" s="311"/>
      <c r="AA29" s="115"/>
      <c r="AB29" s="311"/>
      <c r="AC29" s="115"/>
      <c r="AD29" s="115"/>
    </row>
    <row r="30" spans="1:30">
      <c r="A30" s="255" t="s">
        <v>442</v>
      </c>
      <c r="B30" s="115"/>
      <c r="C30" s="115"/>
      <c r="D30" s="115"/>
      <c r="E30" s="105"/>
      <c r="F30" s="115"/>
      <c r="G30" s="115"/>
      <c r="H30" s="115"/>
      <c r="I30" s="260">
        <v>0</v>
      </c>
      <c r="J30" s="310"/>
      <c r="K30" s="311"/>
      <c r="L30" s="115">
        <v>0</v>
      </c>
      <c r="M30" s="115"/>
      <c r="N30" s="311"/>
      <c r="O30" s="115"/>
      <c r="P30" s="311"/>
      <c r="Q30" s="115"/>
      <c r="R30" s="311"/>
      <c r="S30" s="115"/>
      <c r="T30" s="311"/>
      <c r="U30" s="115"/>
      <c r="V30" s="311"/>
      <c r="W30" s="115"/>
      <c r="X30" s="311"/>
      <c r="Y30" s="115"/>
      <c r="Z30" s="311"/>
      <c r="AA30" s="115"/>
      <c r="AB30" s="311"/>
      <c r="AC30" s="115"/>
      <c r="AD30" s="115"/>
    </row>
    <row r="31" spans="1:30">
      <c r="A31" s="255" t="s">
        <v>444</v>
      </c>
      <c r="B31" s="115"/>
      <c r="C31" s="115"/>
      <c r="D31" s="115"/>
      <c r="E31" s="105"/>
      <c r="F31" s="115"/>
      <c r="G31" s="115"/>
      <c r="H31" s="115"/>
      <c r="I31" s="260">
        <v>0</v>
      </c>
      <c r="J31" s="310"/>
      <c r="K31" s="311"/>
      <c r="L31" s="115">
        <v>0</v>
      </c>
      <c r="M31" s="115"/>
      <c r="N31" s="311"/>
      <c r="O31" s="115"/>
      <c r="P31" s="311"/>
      <c r="Q31" s="115"/>
      <c r="R31" s="311"/>
      <c r="S31" s="115"/>
      <c r="T31" s="311"/>
      <c r="U31" s="115"/>
      <c r="V31" s="311"/>
      <c r="W31" s="115"/>
      <c r="X31" s="311"/>
      <c r="Y31" s="115"/>
      <c r="Z31" s="311"/>
      <c r="AA31" s="115"/>
      <c r="AB31" s="311"/>
      <c r="AC31" s="115"/>
      <c r="AD31" s="115"/>
    </row>
    <row r="32" spans="1:30">
      <c r="A32" s="255" t="s">
        <v>446</v>
      </c>
      <c r="B32" s="115"/>
      <c r="C32" s="115"/>
      <c r="D32" s="115"/>
      <c r="E32" s="105"/>
      <c r="F32" s="115"/>
      <c r="G32" s="115"/>
      <c r="H32" s="115"/>
      <c r="I32" s="260">
        <v>0</v>
      </c>
      <c r="J32" s="310"/>
      <c r="K32" s="311"/>
      <c r="L32" s="115">
        <v>0</v>
      </c>
      <c r="M32" s="115"/>
      <c r="N32" s="311"/>
      <c r="O32" s="115"/>
      <c r="P32" s="311"/>
      <c r="Q32" s="115"/>
      <c r="R32" s="311"/>
      <c r="S32" s="115"/>
      <c r="T32" s="311"/>
      <c r="U32" s="115"/>
      <c r="V32" s="311"/>
      <c r="W32" s="115"/>
      <c r="X32" s="311"/>
      <c r="Y32" s="115"/>
      <c r="Z32" s="311"/>
      <c r="AA32" s="115"/>
      <c r="AB32" s="311"/>
      <c r="AC32" s="115"/>
      <c r="AD32" s="115"/>
    </row>
    <row r="33" spans="1:30">
      <c r="A33" s="255" t="s">
        <v>232</v>
      </c>
      <c r="B33" s="115"/>
      <c r="C33" s="115"/>
      <c r="D33" s="115"/>
      <c r="E33" s="105"/>
      <c r="F33" s="115">
        <v>4000</v>
      </c>
      <c r="G33" s="115"/>
      <c r="H33" s="115"/>
      <c r="I33" s="260">
        <v>4000</v>
      </c>
      <c r="J33" s="310"/>
      <c r="K33" s="311">
        <v>4000</v>
      </c>
      <c r="L33" s="115"/>
      <c r="M33" s="115"/>
      <c r="N33" s="311"/>
      <c r="O33" s="115"/>
      <c r="P33" s="311"/>
      <c r="Q33" s="115"/>
      <c r="R33" s="311"/>
      <c r="S33" s="115"/>
      <c r="T33" s="311"/>
      <c r="U33" s="115"/>
      <c r="V33" s="311"/>
      <c r="W33" s="115"/>
      <c r="X33" s="311"/>
      <c r="Y33" s="115"/>
      <c r="Z33" s="311"/>
      <c r="AA33" s="115"/>
      <c r="AB33" s="311"/>
      <c r="AC33" s="115"/>
      <c r="AD33" s="115"/>
    </row>
    <row r="34" spans="1:30">
      <c r="A34" s="255" t="s">
        <v>234</v>
      </c>
      <c r="B34" s="115"/>
      <c r="C34" s="115"/>
      <c r="D34" s="115" t="s">
        <v>74</v>
      </c>
      <c r="E34" s="105" t="s">
        <v>1115</v>
      </c>
      <c r="F34" s="115">
        <v>225000</v>
      </c>
      <c r="G34" s="115"/>
      <c r="H34" s="115"/>
      <c r="I34" s="260">
        <v>225000</v>
      </c>
      <c r="J34" s="310"/>
      <c r="K34" s="311">
        <v>200000</v>
      </c>
      <c r="L34" s="115">
        <v>25000</v>
      </c>
      <c r="M34" s="115"/>
      <c r="N34" s="311"/>
      <c r="O34" s="115"/>
      <c r="P34" s="311"/>
      <c r="Q34" s="115"/>
      <c r="R34" s="311"/>
      <c r="S34" s="115"/>
      <c r="T34" s="311"/>
      <c r="U34" s="115"/>
      <c r="V34" s="311"/>
      <c r="W34" s="115"/>
      <c r="X34" s="311"/>
      <c r="Y34" s="115"/>
      <c r="Z34" s="311"/>
      <c r="AA34" s="115"/>
      <c r="AB34" s="311"/>
      <c r="AC34" s="115"/>
      <c r="AD34" s="115"/>
    </row>
    <row r="35" spans="1:30">
      <c r="A35" s="255" t="s">
        <v>237</v>
      </c>
      <c r="B35" s="115"/>
      <c r="C35" s="115"/>
      <c r="D35" s="115" t="s">
        <v>75</v>
      </c>
      <c r="E35" s="105"/>
      <c r="F35" s="115"/>
      <c r="G35" s="115"/>
      <c r="H35" s="115"/>
      <c r="I35" s="260">
        <v>0</v>
      </c>
      <c r="J35" s="310"/>
      <c r="K35" s="311"/>
      <c r="L35" s="115">
        <v>0</v>
      </c>
      <c r="M35" s="115"/>
      <c r="N35" s="311"/>
      <c r="O35" s="115"/>
      <c r="P35" s="311"/>
      <c r="Q35" s="115"/>
      <c r="R35" s="311"/>
      <c r="S35" s="115"/>
      <c r="T35" s="311"/>
      <c r="U35" s="115"/>
      <c r="V35" s="311"/>
      <c r="W35" s="115"/>
      <c r="X35" s="311"/>
      <c r="Y35" s="115"/>
      <c r="Z35" s="311"/>
      <c r="AA35" s="115"/>
      <c r="AB35" s="311"/>
      <c r="AC35" s="115"/>
      <c r="AD35" s="115"/>
    </row>
    <row r="36" spans="1:30">
      <c r="A36" s="255" t="s">
        <v>239</v>
      </c>
      <c r="B36" s="115"/>
      <c r="C36" s="115"/>
      <c r="D36" s="115"/>
      <c r="E36" s="105"/>
      <c r="F36" s="115">
        <v>170000</v>
      </c>
      <c r="G36" s="115"/>
      <c r="H36" s="115"/>
      <c r="I36" s="260">
        <v>170000</v>
      </c>
      <c r="J36" s="310"/>
      <c r="K36" s="311"/>
      <c r="L36" s="115">
        <v>170000</v>
      </c>
      <c r="M36" s="115"/>
      <c r="N36" s="311">
        <v>100000</v>
      </c>
      <c r="O36" s="115"/>
      <c r="P36" s="311">
        <v>70000</v>
      </c>
      <c r="Q36" s="115"/>
      <c r="R36" s="311"/>
      <c r="S36" s="115"/>
      <c r="T36" s="311"/>
      <c r="U36" s="115"/>
      <c r="V36" s="311"/>
      <c r="W36" s="115"/>
      <c r="X36" s="311"/>
      <c r="Y36" s="115"/>
      <c r="Z36" s="311"/>
      <c r="AA36" s="115"/>
      <c r="AB36" s="311"/>
      <c r="AC36" s="115"/>
      <c r="AD36" s="115"/>
    </row>
    <row r="37" spans="1:30">
      <c r="A37" s="248" t="s">
        <v>861</v>
      </c>
      <c r="B37" s="115"/>
      <c r="C37" s="260"/>
      <c r="D37" s="260"/>
      <c r="E37" s="110"/>
      <c r="F37" s="260">
        <v>7000</v>
      </c>
      <c r="G37" s="260"/>
      <c r="H37" s="260"/>
      <c r="I37" s="260">
        <v>7000</v>
      </c>
      <c r="J37" s="310"/>
      <c r="K37" s="310">
        <v>7000</v>
      </c>
      <c r="L37" s="260"/>
      <c r="M37" s="260"/>
      <c r="N37" s="310"/>
      <c r="O37" s="260"/>
      <c r="P37" s="310"/>
      <c r="Q37" s="260"/>
      <c r="R37" s="310"/>
      <c r="S37" s="260"/>
      <c r="T37" s="310"/>
      <c r="U37" s="260"/>
      <c r="V37" s="310"/>
      <c r="W37" s="260"/>
      <c r="X37" s="310"/>
      <c r="Y37" s="260"/>
      <c r="Z37" s="310"/>
      <c r="AA37" s="260"/>
      <c r="AB37" s="310"/>
      <c r="AC37" s="260"/>
      <c r="AD37" s="260"/>
    </row>
    <row r="38" spans="1:30">
      <c r="A38" s="255" t="s">
        <v>313</v>
      </c>
      <c r="B38" s="115">
        <v>555427</v>
      </c>
      <c r="C38" s="115"/>
      <c r="D38" s="115" t="s">
        <v>74</v>
      </c>
      <c r="E38" s="105" t="s">
        <v>816</v>
      </c>
      <c r="F38" s="115">
        <v>785000</v>
      </c>
      <c r="G38" s="115"/>
      <c r="H38" s="115">
        <f>Tabelle4[[#This Row],[Kredit-  / Budgetsumme
(RADAR: Gesamtkosten S)]]-Tabelle4[[#This Row],[Kreditrest per 1.1. aktuelles Jahr]]</f>
        <v>0</v>
      </c>
      <c r="I38" s="260">
        <v>229573</v>
      </c>
      <c r="J38" s="310"/>
      <c r="K38" s="311"/>
      <c r="L38" s="115">
        <v>229573</v>
      </c>
      <c r="M38" s="115"/>
      <c r="N38" s="311">
        <v>229573</v>
      </c>
      <c r="O38" s="115"/>
      <c r="P38" s="311"/>
      <c r="Q38" s="115"/>
      <c r="R38" s="311"/>
      <c r="S38" s="115"/>
      <c r="T38" s="311"/>
      <c r="U38" s="115"/>
      <c r="V38" s="311"/>
      <c r="W38" s="115"/>
      <c r="X38" s="311"/>
      <c r="Y38" s="115"/>
      <c r="Z38" s="311"/>
      <c r="AA38" s="115"/>
      <c r="AB38" s="311"/>
      <c r="AC38" s="115"/>
      <c r="AD38" s="115"/>
    </row>
    <row r="39" spans="1:30">
      <c r="A39" s="248" t="s">
        <v>784</v>
      </c>
      <c r="B39" s="260"/>
      <c r="C39" s="115"/>
      <c r="D39" s="115" t="s">
        <v>75</v>
      </c>
      <c r="E39" s="110"/>
      <c r="F39" s="260">
        <v>280000</v>
      </c>
      <c r="G39" s="260"/>
      <c r="H39" s="260"/>
      <c r="I39" s="260">
        <v>280000</v>
      </c>
      <c r="J39" s="310"/>
      <c r="K39" s="310">
        <v>280000</v>
      </c>
      <c r="L39" s="260"/>
      <c r="M39" s="260"/>
      <c r="N39" s="310"/>
      <c r="O39" s="260"/>
      <c r="P39" s="310"/>
      <c r="Q39" s="260"/>
      <c r="R39" s="310"/>
      <c r="S39" s="260"/>
      <c r="T39" s="310"/>
      <c r="U39" s="260"/>
      <c r="V39" s="310"/>
      <c r="W39" s="260"/>
      <c r="X39" s="310"/>
      <c r="Y39" s="260"/>
      <c r="Z39" s="310"/>
      <c r="AA39" s="260"/>
      <c r="AB39" s="310"/>
      <c r="AC39" s="260"/>
      <c r="AD39" s="260"/>
    </row>
    <row r="40" spans="1:30">
      <c r="A40" s="265" t="s">
        <v>448</v>
      </c>
      <c r="B40" s="115"/>
      <c r="C40" s="115"/>
      <c r="D40" s="115"/>
      <c r="E40" s="105"/>
      <c r="F40" s="115"/>
      <c r="G40" s="115"/>
      <c r="H40" s="115"/>
      <c r="I40" s="260">
        <v>0</v>
      </c>
      <c r="J40" s="310"/>
      <c r="K40" s="311"/>
      <c r="L40" s="115">
        <v>0</v>
      </c>
      <c r="M40" s="115"/>
      <c r="N40" s="311"/>
      <c r="O40" s="115"/>
      <c r="P40" s="311"/>
      <c r="Q40" s="115"/>
      <c r="R40" s="311"/>
      <c r="S40" s="115"/>
      <c r="T40" s="311"/>
      <c r="U40" s="115"/>
      <c r="V40" s="311"/>
      <c r="W40" s="115"/>
      <c r="X40" s="311"/>
      <c r="Y40" s="115"/>
      <c r="Z40" s="311"/>
      <c r="AA40" s="115"/>
      <c r="AB40" s="311"/>
      <c r="AC40" s="115"/>
      <c r="AD40" s="115"/>
    </row>
    <row r="41" spans="1:30">
      <c r="A41" s="265" t="s">
        <v>317</v>
      </c>
      <c r="B41" s="115"/>
      <c r="C41" s="115"/>
      <c r="D41" s="115"/>
      <c r="E41" s="105"/>
      <c r="F41" s="115"/>
      <c r="G41" s="115"/>
      <c r="H41" s="115"/>
      <c r="I41" s="260">
        <v>0</v>
      </c>
      <c r="J41" s="310"/>
      <c r="K41" s="311"/>
      <c r="L41" s="115">
        <v>0</v>
      </c>
      <c r="M41" s="115"/>
      <c r="N41" s="311"/>
      <c r="O41" s="115"/>
      <c r="P41" s="311"/>
      <c r="Q41" s="115"/>
      <c r="R41" s="311"/>
      <c r="S41" s="115"/>
      <c r="T41" s="311"/>
      <c r="U41" s="115"/>
      <c r="V41" s="311"/>
      <c r="W41" s="115"/>
      <c r="X41" s="311"/>
      <c r="Y41" s="115"/>
      <c r="Z41" s="311"/>
      <c r="AA41" s="115"/>
      <c r="AB41" s="311"/>
      <c r="AC41" s="115"/>
      <c r="AD41" s="115"/>
    </row>
    <row r="42" spans="1:30">
      <c r="A42" s="255" t="s">
        <v>1107</v>
      </c>
      <c r="B42" s="115"/>
      <c r="C42" s="115"/>
      <c r="D42" s="115" t="s">
        <v>74</v>
      </c>
      <c r="E42" s="105" t="s">
        <v>1108</v>
      </c>
      <c r="F42" s="115">
        <v>225000</v>
      </c>
      <c r="G42" s="115"/>
      <c r="H42" s="115"/>
      <c r="I42" s="260">
        <v>225000</v>
      </c>
      <c r="J42" s="310"/>
      <c r="K42" s="311">
        <v>225000</v>
      </c>
      <c r="L42" s="115">
        <v>0</v>
      </c>
      <c r="M42" s="115"/>
      <c r="N42" s="311"/>
      <c r="O42" s="115"/>
      <c r="P42" s="311"/>
      <c r="Q42" s="115"/>
      <c r="R42" s="311"/>
      <c r="S42" s="115"/>
      <c r="T42" s="311"/>
      <c r="U42" s="115"/>
      <c r="V42" s="311"/>
      <c r="W42" s="115"/>
      <c r="X42" s="311"/>
      <c r="Y42" s="115"/>
      <c r="Z42" s="311"/>
      <c r="AA42" s="115"/>
      <c r="AB42" s="311"/>
      <c r="AC42" s="115"/>
      <c r="AD42" s="115"/>
    </row>
    <row r="43" spans="1:30">
      <c r="A43" s="265" t="s">
        <v>450</v>
      </c>
      <c r="B43" s="115"/>
      <c r="C43" s="115"/>
      <c r="D43" s="115"/>
      <c r="E43" s="105"/>
      <c r="F43" s="115"/>
      <c r="G43" s="115"/>
      <c r="H43" s="115"/>
      <c r="I43" s="260">
        <v>0</v>
      </c>
      <c r="J43" s="310"/>
      <c r="K43" s="311"/>
      <c r="L43" s="115">
        <v>0</v>
      </c>
      <c r="M43" s="115"/>
      <c r="N43" s="311"/>
      <c r="O43" s="115"/>
      <c r="P43" s="311"/>
      <c r="Q43" s="115"/>
      <c r="R43" s="311"/>
      <c r="S43" s="115"/>
      <c r="T43" s="311"/>
      <c r="U43" s="115"/>
      <c r="V43" s="311"/>
      <c r="W43" s="115"/>
      <c r="X43" s="311"/>
      <c r="Y43" s="115"/>
      <c r="Z43" s="311"/>
      <c r="AA43" s="115"/>
      <c r="AB43" s="311"/>
      <c r="AC43" s="115"/>
      <c r="AD43" s="115"/>
    </row>
    <row r="44" spans="1:30">
      <c r="A44" s="255" t="s">
        <v>319</v>
      </c>
      <c r="B44" s="115"/>
      <c r="C44" s="115"/>
      <c r="D44" s="115"/>
      <c r="E44" s="105"/>
      <c r="F44" s="115"/>
      <c r="G44" s="115"/>
      <c r="H44" s="115"/>
      <c r="I44" s="260">
        <v>0</v>
      </c>
      <c r="J44" s="310"/>
      <c r="K44" s="311"/>
      <c r="L44" s="115">
        <v>0</v>
      </c>
      <c r="M44" s="115"/>
      <c r="N44" s="311"/>
      <c r="O44" s="115"/>
      <c r="P44" s="311"/>
      <c r="Q44" s="115"/>
      <c r="R44" s="311"/>
      <c r="S44" s="115"/>
      <c r="T44" s="311"/>
      <c r="U44" s="115"/>
      <c r="V44" s="311"/>
      <c r="W44" s="115"/>
      <c r="X44" s="311"/>
      <c r="Y44" s="115"/>
      <c r="Z44" s="311"/>
      <c r="AA44" s="115"/>
      <c r="AB44" s="311"/>
      <c r="AC44" s="115"/>
      <c r="AD44" s="115"/>
    </row>
    <row r="45" spans="1:30">
      <c r="A45" s="255" t="s">
        <v>452</v>
      </c>
      <c r="B45" s="115"/>
      <c r="C45" s="115"/>
      <c r="D45" s="115"/>
      <c r="E45" s="105"/>
      <c r="F45" s="115"/>
      <c r="G45" s="115"/>
      <c r="H45" s="115"/>
      <c r="I45" s="260">
        <v>0</v>
      </c>
      <c r="J45" s="310"/>
      <c r="K45" s="311"/>
      <c r="L45" s="115">
        <v>0</v>
      </c>
      <c r="M45" s="115"/>
      <c r="N45" s="311"/>
      <c r="O45" s="115"/>
      <c r="P45" s="311"/>
      <c r="Q45" s="115"/>
      <c r="R45" s="311"/>
      <c r="S45" s="115"/>
      <c r="T45" s="311"/>
      <c r="U45" s="115"/>
      <c r="V45" s="311"/>
      <c r="W45" s="115"/>
      <c r="X45" s="311"/>
      <c r="Y45" s="115"/>
      <c r="Z45" s="311"/>
      <c r="AA45" s="115"/>
      <c r="AB45" s="311"/>
      <c r="AC45" s="115"/>
      <c r="AD45" s="115"/>
    </row>
    <row r="46" spans="1:30">
      <c r="A46" s="255" t="s">
        <v>410</v>
      </c>
      <c r="B46" s="115"/>
      <c r="C46" s="115"/>
      <c r="D46" s="115"/>
      <c r="E46" s="105" t="s">
        <v>1110</v>
      </c>
      <c r="F46" s="115">
        <v>2300000</v>
      </c>
      <c r="G46" s="115"/>
      <c r="H46" s="115"/>
      <c r="I46" s="260">
        <v>2300000</v>
      </c>
      <c r="J46" s="310"/>
      <c r="K46" s="311">
        <v>200000</v>
      </c>
      <c r="L46" s="115">
        <v>2100000</v>
      </c>
      <c r="M46" s="115"/>
      <c r="N46" s="311">
        <v>1900000</v>
      </c>
      <c r="O46" s="115"/>
      <c r="P46" s="311">
        <v>200000</v>
      </c>
      <c r="Q46" s="115"/>
      <c r="R46" s="311"/>
      <c r="S46" s="115"/>
      <c r="T46" s="311"/>
      <c r="U46" s="115"/>
      <c r="V46" s="311"/>
      <c r="W46" s="115"/>
      <c r="X46" s="311"/>
      <c r="Y46" s="115"/>
      <c r="Z46" s="311"/>
      <c r="AA46" s="115"/>
      <c r="AB46" s="311"/>
      <c r="AC46" s="115"/>
      <c r="AD46" s="115"/>
    </row>
    <row r="47" spans="1:30">
      <c r="A47" s="255" t="s">
        <v>241</v>
      </c>
      <c r="B47" s="115"/>
      <c r="C47" s="115"/>
      <c r="D47" s="115"/>
      <c r="E47" s="105"/>
      <c r="F47" s="115">
        <v>24000</v>
      </c>
      <c r="G47" s="115"/>
      <c r="H47" s="115"/>
      <c r="I47" s="260">
        <v>24000</v>
      </c>
      <c r="J47" s="310"/>
      <c r="K47" s="311">
        <v>24000</v>
      </c>
      <c r="L47" s="115"/>
      <c r="M47" s="115"/>
      <c r="N47" s="311"/>
      <c r="O47" s="115"/>
      <c r="P47" s="311"/>
      <c r="Q47" s="115"/>
      <c r="R47" s="311"/>
      <c r="S47" s="115"/>
      <c r="T47" s="311"/>
      <c r="U47" s="115"/>
      <c r="V47" s="311"/>
      <c r="W47" s="115"/>
      <c r="X47" s="311"/>
      <c r="Y47" s="115"/>
      <c r="Z47" s="311"/>
      <c r="AA47" s="115"/>
      <c r="AB47" s="311"/>
      <c r="AC47" s="115"/>
      <c r="AD47" s="115"/>
    </row>
    <row r="48" spans="1:30">
      <c r="A48" s="248" t="s">
        <v>855</v>
      </c>
      <c r="B48" s="260"/>
      <c r="C48" s="115"/>
      <c r="D48" s="260" t="s">
        <v>74</v>
      </c>
      <c r="E48" s="105" t="s">
        <v>1116</v>
      </c>
      <c r="F48" s="260">
        <v>265000</v>
      </c>
      <c r="G48" s="260"/>
      <c r="H48" s="260"/>
      <c r="I48" s="260">
        <v>265000</v>
      </c>
      <c r="J48" s="310"/>
      <c r="K48" s="310">
        <v>265000</v>
      </c>
      <c r="L48" s="260"/>
      <c r="M48" s="260"/>
      <c r="N48" s="310"/>
      <c r="O48" s="260"/>
      <c r="P48" s="310"/>
      <c r="Q48" s="260"/>
      <c r="R48" s="310"/>
      <c r="S48" s="260"/>
      <c r="T48" s="310"/>
      <c r="U48" s="260"/>
      <c r="V48" s="310"/>
      <c r="W48" s="260"/>
      <c r="X48" s="310"/>
      <c r="Y48" s="260"/>
      <c r="Z48" s="310"/>
      <c r="AA48" s="260"/>
      <c r="AB48" s="310"/>
      <c r="AC48" s="260"/>
      <c r="AD48" s="260"/>
    </row>
    <row r="49" spans="1:30">
      <c r="A49" s="255" t="s">
        <v>276</v>
      </c>
      <c r="B49" s="115"/>
      <c r="C49" s="115"/>
      <c r="D49" s="115"/>
      <c r="E49" s="105"/>
      <c r="F49" s="115"/>
      <c r="G49" s="115"/>
      <c r="H49" s="115"/>
      <c r="I49" s="260">
        <v>0</v>
      </c>
      <c r="J49" s="310"/>
      <c r="K49" s="311"/>
      <c r="L49" s="115">
        <v>0</v>
      </c>
      <c r="M49" s="115"/>
      <c r="N49" s="311"/>
      <c r="O49" s="115"/>
      <c r="P49" s="311"/>
      <c r="Q49" s="115"/>
      <c r="R49" s="311"/>
      <c r="S49" s="115"/>
      <c r="T49" s="311"/>
      <c r="U49" s="115"/>
      <c r="V49" s="311"/>
      <c r="W49" s="115"/>
      <c r="X49" s="311"/>
      <c r="Y49" s="115"/>
      <c r="Z49" s="311"/>
      <c r="AA49" s="115"/>
      <c r="AB49" s="311"/>
      <c r="AC49" s="115"/>
      <c r="AD49" s="115"/>
    </row>
    <row r="50" spans="1:30">
      <c r="A50" s="248" t="s">
        <v>783</v>
      </c>
      <c r="B50" s="115">
        <v>24800</v>
      </c>
      <c r="C50" s="260"/>
      <c r="D50" s="260"/>
      <c r="E50" s="260"/>
      <c r="F50" s="260">
        <v>24800</v>
      </c>
      <c r="G50" s="260"/>
      <c r="H50" s="260">
        <v>24800</v>
      </c>
      <c r="I50" s="260">
        <v>0</v>
      </c>
      <c r="J50" s="310"/>
      <c r="K50" s="310"/>
      <c r="L50" s="260"/>
      <c r="M50" s="260"/>
      <c r="N50" s="310"/>
      <c r="O50" s="260"/>
      <c r="P50" s="310"/>
      <c r="Q50" s="260"/>
      <c r="R50" s="310"/>
      <c r="S50" s="260"/>
      <c r="T50" s="310"/>
      <c r="U50" s="260"/>
      <c r="V50" s="310"/>
      <c r="W50" s="260"/>
      <c r="X50" s="310"/>
      <c r="Y50" s="260"/>
      <c r="Z50" s="310"/>
      <c r="AA50" s="260"/>
      <c r="AB50" s="310"/>
      <c r="AC50" s="260"/>
      <c r="AD50" s="260"/>
    </row>
    <row r="51" spans="1:30">
      <c r="A51" s="255" t="s">
        <v>602</v>
      </c>
      <c r="B51" s="115"/>
      <c r="C51" s="115"/>
      <c r="D51" s="115"/>
      <c r="E51" s="105"/>
      <c r="F51" s="115"/>
      <c r="G51" s="115"/>
      <c r="H51" s="115"/>
      <c r="I51" s="260">
        <v>0</v>
      </c>
      <c r="J51" s="310"/>
      <c r="K51" s="311"/>
      <c r="L51" s="115">
        <v>0</v>
      </c>
      <c r="M51" s="115"/>
      <c r="N51" s="311"/>
      <c r="O51" s="115"/>
      <c r="P51" s="311"/>
      <c r="Q51" s="115"/>
      <c r="R51" s="311"/>
      <c r="S51" s="115"/>
      <c r="T51" s="311"/>
      <c r="U51" s="115"/>
      <c r="V51" s="311"/>
      <c r="W51" s="115"/>
      <c r="X51" s="311"/>
      <c r="Y51" s="115"/>
      <c r="Z51" s="311"/>
      <c r="AA51" s="115"/>
      <c r="AB51" s="311"/>
      <c r="AC51" s="115"/>
      <c r="AD51" s="115"/>
    </row>
    <row r="52" spans="1:30">
      <c r="A52" s="255" t="s">
        <v>279</v>
      </c>
      <c r="B52" s="115"/>
      <c r="C52" s="115"/>
      <c r="D52" s="115" t="s">
        <v>620</v>
      </c>
      <c r="E52" s="110" t="s">
        <v>829</v>
      </c>
      <c r="F52" s="115">
        <v>2500000</v>
      </c>
      <c r="G52" s="115"/>
      <c r="H52" s="115"/>
      <c r="I52" s="260">
        <v>2500000</v>
      </c>
      <c r="J52" s="310"/>
      <c r="K52" s="311"/>
      <c r="L52" s="115">
        <v>2500000</v>
      </c>
      <c r="M52" s="115"/>
      <c r="N52" s="311"/>
      <c r="O52" s="115"/>
      <c r="P52" s="311"/>
      <c r="Q52" s="115"/>
      <c r="R52" s="311"/>
      <c r="S52" s="115"/>
      <c r="T52" s="311"/>
      <c r="U52" s="115"/>
      <c r="V52" s="311"/>
      <c r="W52" s="115"/>
      <c r="X52" s="311"/>
      <c r="Y52" s="115"/>
      <c r="Z52" s="311"/>
      <c r="AA52" s="115"/>
      <c r="AB52" s="311"/>
      <c r="AC52" s="115"/>
      <c r="AD52" s="115"/>
    </row>
    <row r="53" spans="1:30">
      <c r="A53" s="255" t="s">
        <v>1162</v>
      </c>
      <c r="B53" s="115"/>
      <c r="C53" s="115"/>
      <c r="D53" s="115"/>
      <c r="E53" s="105"/>
      <c r="F53" s="115"/>
      <c r="G53" s="115"/>
      <c r="H53" s="115"/>
      <c r="I53" s="115"/>
      <c r="J53" s="311"/>
      <c r="K53" s="311">
        <v>6000</v>
      </c>
      <c r="L53" s="115"/>
      <c r="M53" s="115"/>
      <c r="N53" s="311"/>
      <c r="O53" s="115"/>
      <c r="P53" s="311"/>
      <c r="Q53" s="115"/>
      <c r="R53" s="311"/>
      <c r="S53" s="115"/>
      <c r="T53" s="311"/>
      <c r="U53" s="115"/>
      <c r="V53" s="311"/>
      <c r="W53" s="115"/>
      <c r="X53" s="311"/>
      <c r="Y53" s="115"/>
      <c r="Z53" s="311"/>
      <c r="AA53" s="115"/>
      <c r="AB53" s="311"/>
      <c r="AC53" s="115"/>
      <c r="AD53" s="115"/>
    </row>
    <row r="54" spans="1:30">
      <c r="A54" s="255" t="s">
        <v>456</v>
      </c>
      <c r="B54" s="115"/>
      <c r="C54" s="115"/>
      <c r="D54" s="115"/>
      <c r="E54" s="105"/>
      <c r="F54" s="115"/>
      <c r="G54" s="115"/>
      <c r="H54" s="115"/>
      <c r="I54" s="260">
        <v>0</v>
      </c>
      <c r="J54" s="310"/>
      <c r="K54" s="311"/>
      <c r="L54" s="115">
        <v>0</v>
      </c>
      <c r="M54" s="115"/>
      <c r="N54" s="311"/>
      <c r="O54" s="115"/>
      <c r="P54" s="311"/>
      <c r="Q54" s="115"/>
      <c r="R54" s="311"/>
      <c r="S54" s="115"/>
      <c r="T54" s="311"/>
      <c r="U54" s="115"/>
      <c r="V54" s="311"/>
      <c r="W54" s="115"/>
      <c r="X54" s="311"/>
      <c r="Y54" s="115"/>
      <c r="Z54" s="311"/>
      <c r="AA54" s="115"/>
      <c r="AB54" s="311"/>
      <c r="AC54" s="115"/>
      <c r="AD54" s="115"/>
    </row>
    <row r="55" spans="1:30">
      <c r="A55" s="255" t="s">
        <v>340</v>
      </c>
      <c r="B55" s="115">
        <v>565247</v>
      </c>
      <c r="C55" s="115">
        <v>96500</v>
      </c>
      <c r="D55" s="115" t="s">
        <v>74</v>
      </c>
      <c r="E55" s="105" t="s">
        <v>807</v>
      </c>
      <c r="F55" s="115">
        <v>830000</v>
      </c>
      <c r="G55" s="115">
        <v>96500</v>
      </c>
      <c r="H55" s="115">
        <f>Tabelle4[[#This Row],[Kredit-  / Budgetsumme
(RADAR: Gesamtkosten S)]]-Tabelle4[[#This Row],[Kreditrest per 1.1. aktuelles Jahr]]</f>
        <v>0</v>
      </c>
      <c r="I55" s="260">
        <v>264753</v>
      </c>
      <c r="J55" s="310"/>
      <c r="K55" s="311"/>
      <c r="L55" s="115">
        <v>264753</v>
      </c>
      <c r="M55" s="115"/>
      <c r="N55" s="311"/>
      <c r="O55" s="115"/>
      <c r="P55" s="311"/>
      <c r="Q55" s="115"/>
      <c r="R55" s="311"/>
      <c r="S55" s="115"/>
      <c r="T55" s="311"/>
      <c r="U55" s="115"/>
      <c r="V55" s="311"/>
      <c r="W55" s="115"/>
      <c r="X55" s="311"/>
      <c r="Y55" s="115"/>
      <c r="Z55" s="311"/>
      <c r="AA55" s="115"/>
      <c r="AB55" s="311"/>
      <c r="AC55" s="115"/>
      <c r="AD55" s="115"/>
    </row>
    <row r="56" spans="1:30">
      <c r="A56" s="255" t="s">
        <v>459</v>
      </c>
      <c r="B56" s="115"/>
      <c r="C56" s="115"/>
      <c r="D56" s="115"/>
      <c r="E56" s="105"/>
      <c r="F56" s="115"/>
      <c r="G56" s="115"/>
      <c r="H56" s="115"/>
      <c r="I56" s="260">
        <v>0</v>
      </c>
      <c r="J56" s="310"/>
      <c r="K56" s="311"/>
      <c r="L56" s="115">
        <v>0</v>
      </c>
      <c r="M56" s="115"/>
      <c r="N56" s="311"/>
      <c r="O56" s="115"/>
      <c r="P56" s="311"/>
      <c r="Q56" s="115"/>
      <c r="R56" s="311"/>
      <c r="S56" s="115"/>
      <c r="T56" s="311"/>
      <c r="U56" s="115"/>
      <c r="V56" s="311"/>
      <c r="W56" s="115"/>
      <c r="X56" s="311"/>
      <c r="Y56" s="115"/>
      <c r="Z56" s="311"/>
      <c r="AA56" s="115"/>
      <c r="AB56" s="311"/>
      <c r="AC56" s="115"/>
      <c r="AD56" s="115"/>
    </row>
    <row r="57" spans="1:30">
      <c r="A57" s="255" t="s">
        <v>845</v>
      </c>
      <c r="B57" s="115"/>
      <c r="C57" s="115"/>
      <c r="D57" s="115"/>
      <c r="E57" s="105"/>
      <c r="F57" s="115"/>
      <c r="G57" s="115"/>
      <c r="H57" s="115"/>
      <c r="I57" s="260"/>
      <c r="J57" s="310"/>
      <c r="K57" s="311">
        <v>3000</v>
      </c>
      <c r="L57" s="115"/>
      <c r="M57" s="115"/>
      <c r="N57" s="311">
        <v>3000</v>
      </c>
      <c r="O57" s="115"/>
      <c r="P57" s="311">
        <v>3000</v>
      </c>
      <c r="Q57" s="115"/>
      <c r="R57" s="311">
        <v>3000</v>
      </c>
      <c r="S57" s="115"/>
      <c r="T57" s="311">
        <v>3000</v>
      </c>
      <c r="U57" s="115"/>
      <c r="V57" s="311">
        <v>3000</v>
      </c>
      <c r="W57" s="115"/>
      <c r="X57" s="311">
        <v>3000</v>
      </c>
      <c r="Y57" s="115"/>
      <c r="Z57" s="311">
        <v>3000</v>
      </c>
      <c r="AA57" s="115"/>
      <c r="AB57" s="311">
        <v>3000</v>
      </c>
      <c r="AC57" s="115"/>
      <c r="AD57" s="115"/>
    </row>
    <row r="58" spans="1:30">
      <c r="A58" s="255" t="s">
        <v>282</v>
      </c>
      <c r="B58" s="115"/>
      <c r="C58" s="115"/>
      <c r="D58" s="115"/>
      <c r="E58" s="105" t="s">
        <v>817</v>
      </c>
      <c r="F58" s="115"/>
      <c r="G58" s="115"/>
      <c r="H58" s="115"/>
      <c r="I58" s="260">
        <v>0</v>
      </c>
      <c r="J58" s="310"/>
      <c r="K58" s="311"/>
      <c r="L58" s="115">
        <v>0</v>
      </c>
      <c r="M58" s="115"/>
      <c r="N58" s="311"/>
      <c r="O58" s="115"/>
      <c r="P58" s="311"/>
      <c r="Q58" s="115"/>
      <c r="R58" s="311"/>
      <c r="S58" s="115"/>
      <c r="T58" s="311"/>
      <c r="U58" s="115"/>
      <c r="V58" s="311"/>
      <c r="W58" s="115"/>
      <c r="X58" s="311"/>
      <c r="Y58" s="115"/>
      <c r="Z58" s="311"/>
      <c r="AA58" s="115"/>
      <c r="AB58" s="311"/>
      <c r="AC58" s="115"/>
      <c r="AD58" s="115"/>
    </row>
    <row r="59" spans="1:30">
      <c r="A59" s="255" t="s">
        <v>461</v>
      </c>
      <c r="B59" s="115"/>
      <c r="C59" s="115"/>
      <c r="D59" s="115"/>
      <c r="E59" s="105"/>
      <c r="F59" s="115"/>
      <c r="G59" s="115"/>
      <c r="H59" s="115"/>
      <c r="I59" s="260">
        <v>0</v>
      </c>
      <c r="J59" s="310"/>
      <c r="K59" s="311"/>
      <c r="L59" s="115">
        <v>0</v>
      </c>
      <c r="M59" s="115"/>
      <c r="N59" s="311"/>
      <c r="O59" s="115"/>
      <c r="P59" s="311"/>
      <c r="Q59" s="115"/>
      <c r="R59" s="311"/>
      <c r="S59" s="115"/>
      <c r="T59" s="311"/>
      <c r="U59" s="115"/>
      <c r="V59" s="311"/>
      <c r="W59" s="115"/>
      <c r="X59" s="311"/>
      <c r="Y59" s="115"/>
      <c r="Z59" s="311"/>
      <c r="AA59" s="115"/>
      <c r="AB59" s="311"/>
      <c r="AC59" s="115"/>
      <c r="AD59" s="115"/>
    </row>
    <row r="60" spans="1:30">
      <c r="A60" s="255" t="s">
        <v>463</v>
      </c>
      <c r="B60" s="115"/>
      <c r="C60" s="115"/>
      <c r="D60" s="115"/>
      <c r="E60" s="105" t="s">
        <v>814</v>
      </c>
      <c r="F60" s="115"/>
      <c r="G60" s="115"/>
      <c r="H60" s="115"/>
      <c r="I60" s="260">
        <v>0</v>
      </c>
      <c r="J60" s="310"/>
      <c r="K60" s="311"/>
      <c r="L60" s="115">
        <v>0</v>
      </c>
      <c r="M60" s="115"/>
      <c r="N60" s="311"/>
      <c r="O60" s="115"/>
      <c r="P60" s="311"/>
      <c r="Q60" s="115"/>
      <c r="R60" s="311"/>
      <c r="S60" s="115"/>
      <c r="T60" s="311"/>
      <c r="U60" s="115"/>
      <c r="V60" s="311"/>
      <c r="W60" s="115"/>
      <c r="X60" s="311"/>
      <c r="Y60" s="115"/>
      <c r="Z60" s="311"/>
      <c r="AA60" s="115"/>
      <c r="AB60" s="311"/>
      <c r="AC60" s="115"/>
      <c r="AD60" s="115"/>
    </row>
    <row r="61" spans="1:30">
      <c r="A61" s="255" t="s">
        <v>465</v>
      </c>
      <c r="B61" s="115"/>
      <c r="C61" s="115"/>
      <c r="D61" s="115"/>
      <c r="E61" s="105"/>
      <c r="F61" s="115"/>
      <c r="G61" s="115"/>
      <c r="H61" s="115"/>
      <c r="I61" s="260">
        <v>0</v>
      </c>
      <c r="J61" s="310"/>
      <c r="K61" s="311"/>
      <c r="L61" s="115">
        <v>0</v>
      </c>
      <c r="M61" s="115"/>
      <c r="N61" s="311"/>
      <c r="O61" s="115"/>
      <c r="P61" s="311"/>
      <c r="Q61" s="115"/>
      <c r="R61" s="311"/>
      <c r="S61" s="115"/>
      <c r="T61" s="311"/>
      <c r="U61" s="115"/>
      <c r="V61" s="311"/>
      <c r="W61" s="115"/>
      <c r="X61" s="311"/>
      <c r="Y61" s="115"/>
      <c r="Z61" s="311"/>
      <c r="AA61" s="115"/>
      <c r="AB61" s="311"/>
      <c r="AC61" s="115"/>
      <c r="AD61" s="115"/>
    </row>
    <row r="62" spans="1:30">
      <c r="A62" s="255" t="s">
        <v>1158</v>
      </c>
      <c r="B62" s="115"/>
      <c r="C62" s="115"/>
      <c r="D62" s="115"/>
      <c r="E62" s="105"/>
      <c r="F62" s="115"/>
      <c r="G62" s="115"/>
      <c r="H62" s="115"/>
      <c r="I62" s="115"/>
      <c r="J62" s="311"/>
      <c r="K62" s="311">
        <v>35000</v>
      </c>
      <c r="L62" s="115"/>
      <c r="M62" s="115"/>
      <c r="N62" s="311"/>
      <c r="O62" s="115"/>
      <c r="P62" s="311"/>
      <c r="Q62" s="115"/>
      <c r="R62" s="311"/>
      <c r="S62" s="115"/>
      <c r="T62" s="311"/>
      <c r="U62" s="115"/>
      <c r="V62" s="311"/>
      <c r="W62" s="115"/>
      <c r="X62" s="311"/>
      <c r="Y62" s="115"/>
      <c r="Z62" s="311"/>
      <c r="AA62" s="115"/>
      <c r="AB62" s="311"/>
      <c r="AC62" s="115"/>
      <c r="AD62" s="115"/>
    </row>
    <row r="63" spans="1:30">
      <c r="A63" s="255" t="s">
        <v>285</v>
      </c>
      <c r="B63" s="115">
        <v>107635.63</v>
      </c>
      <c r="C63" s="115"/>
      <c r="D63" s="115" t="s">
        <v>74</v>
      </c>
      <c r="E63" s="105" t="s">
        <v>813</v>
      </c>
      <c r="F63" s="115">
        <v>144000</v>
      </c>
      <c r="G63" s="115"/>
      <c r="H63" s="115">
        <v>107635.63</v>
      </c>
      <c r="I63" s="260">
        <v>36364.369999999995</v>
      </c>
      <c r="J63" s="310"/>
      <c r="K63" s="311"/>
      <c r="L63" s="115">
        <v>36364.369999999995</v>
      </c>
      <c r="M63" s="115"/>
      <c r="N63" s="311"/>
      <c r="O63" s="115"/>
      <c r="P63" s="311"/>
      <c r="Q63" s="115"/>
      <c r="R63" s="311"/>
      <c r="S63" s="115"/>
      <c r="T63" s="311"/>
      <c r="U63" s="115"/>
      <c r="V63" s="311"/>
      <c r="W63" s="115"/>
      <c r="X63" s="311"/>
      <c r="Y63" s="115"/>
      <c r="Z63" s="311"/>
      <c r="AA63" s="115"/>
      <c r="AB63" s="311"/>
      <c r="AC63" s="115"/>
      <c r="AD63" s="115"/>
    </row>
    <row r="64" spans="1:30">
      <c r="A64" s="255" t="s">
        <v>843</v>
      </c>
      <c r="B64" s="115"/>
      <c r="C64" s="115"/>
      <c r="D64" s="115" t="s">
        <v>74</v>
      </c>
      <c r="E64" s="105" t="s">
        <v>813</v>
      </c>
      <c r="F64" s="115">
        <v>2610000</v>
      </c>
      <c r="G64" s="115"/>
      <c r="H64" s="115"/>
      <c r="I64" s="260">
        <v>2610000</v>
      </c>
      <c r="J64" s="310"/>
      <c r="K64" s="311">
        <v>350000</v>
      </c>
      <c r="L64" s="115">
        <v>2260000</v>
      </c>
      <c r="M64" s="115"/>
      <c r="N64" s="311">
        <v>750000</v>
      </c>
      <c r="O64" s="115"/>
      <c r="P64" s="311">
        <v>750000</v>
      </c>
      <c r="Q64" s="115"/>
      <c r="R64" s="311">
        <v>850000</v>
      </c>
      <c r="S64" s="115"/>
      <c r="T64" s="311"/>
      <c r="U64" s="115"/>
      <c r="V64" s="311"/>
      <c r="W64" s="115"/>
      <c r="X64" s="311"/>
      <c r="Y64" s="115"/>
      <c r="Z64" s="311"/>
      <c r="AA64" s="115"/>
      <c r="AB64" s="311"/>
      <c r="AC64" s="115"/>
      <c r="AD64" s="115"/>
    </row>
    <row r="65" spans="1:30">
      <c r="A65" s="265" t="s">
        <v>467</v>
      </c>
      <c r="B65" s="115"/>
      <c r="C65" s="115"/>
      <c r="D65" s="115"/>
      <c r="E65" s="105"/>
      <c r="F65" s="115"/>
      <c r="G65" s="115"/>
      <c r="H65" s="115"/>
      <c r="I65" s="260">
        <v>0</v>
      </c>
      <c r="J65" s="310"/>
      <c r="K65" s="311"/>
      <c r="L65" s="115">
        <v>0</v>
      </c>
      <c r="M65" s="115"/>
      <c r="N65" s="311"/>
      <c r="O65" s="115"/>
      <c r="P65" s="311"/>
      <c r="Q65" s="115"/>
      <c r="R65" s="311"/>
      <c r="S65" s="115"/>
      <c r="T65" s="311"/>
      <c r="U65" s="115"/>
      <c r="V65" s="311"/>
      <c r="W65" s="115"/>
      <c r="X65" s="311"/>
      <c r="Y65" s="115"/>
      <c r="Z65" s="311"/>
      <c r="AA65" s="115"/>
      <c r="AB65" s="311"/>
      <c r="AC65" s="115"/>
      <c r="AD65" s="115"/>
    </row>
    <row r="66" spans="1:30">
      <c r="A66" s="255" t="s">
        <v>412</v>
      </c>
      <c r="B66" s="115">
        <v>50000</v>
      </c>
      <c r="C66" s="115"/>
      <c r="D66" s="115"/>
      <c r="E66" s="105"/>
      <c r="F66" s="115">
        <v>60000</v>
      </c>
      <c r="G66" s="115"/>
      <c r="H66" s="115">
        <v>50000</v>
      </c>
      <c r="I66" s="260">
        <v>10000</v>
      </c>
      <c r="J66" s="310"/>
      <c r="K66" s="311">
        <v>10000</v>
      </c>
      <c r="L66" s="115"/>
      <c r="M66" s="115"/>
      <c r="N66" s="311"/>
      <c r="O66" s="115"/>
      <c r="P66" s="311"/>
      <c r="Q66" s="115"/>
      <c r="R66" s="311"/>
      <c r="S66" s="115"/>
      <c r="T66" s="311"/>
      <c r="U66" s="115"/>
      <c r="V66" s="311"/>
      <c r="W66" s="115"/>
      <c r="X66" s="311"/>
      <c r="Y66" s="115"/>
      <c r="Z66" s="311"/>
      <c r="AA66" s="115"/>
      <c r="AB66" s="311"/>
      <c r="AC66" s="115"/>
      <c r="AD66" s="115"/>
    </row>
    <row r="67" spans="1:30">
      <c r="A67" s="265" t="s">
        <v>124</v>
      </c>
      <c r="B67" s="115"/>
      <c r="C67" s="115"/>
      <c r="D67" s="115"/>
      <c r="E67" s="105"/>
      <c r="F67" s="115"/>
      <c r="G67" s="115"/>
      <c r="H67" s="115"/>
      <c r="I67" s="260">
        <v>0</v>
      </c>
      <c r="J67" s="310"/>
      <c r="K67" s="311"/>
      <c r="L67" s="115">
        <v>0</v>
      </c>
      <c r="M67" s="115"/>
      <c r="N67" s="311"/>
      <c r="O67" s="115"/>
      <c r="P67" s="311"/>
      <c r="Q67" s="115"/>
      <c r="R67" s="311"/>
      <c r="S67" s="115"/>
      <c r="T67" s="311"/>
      <c r="U67" s="115"/>
      <c r="V67" s="311"/>
      <c r="W67" s="115"/>
      <c r="X67" s="311"/>
      <c r="Y67" s="115"/>
      <c r="Z67" s="311"/>
      <c r="AA67" s="115"/>
      <c r="AB67" s="311"/>
      <c r="AC67" s="115"/>
      <c r="AD67" s="115"/>
    </row>
    <row r="68" spans="1:30">
      <c r="A68" s="265" t="s">
        <v>127</v>
      </c>
      <c r="B68" s="115"/>
      <c r="C68" s="115"/>
      <c r="D68" s="115"/>
      <c r="E68" s="105"/>
      <c r="F68" s="115"/>
      <c r="G68" s="115"/>
      <c r="H68" s="115"/>
      <c r="I68" s="260">
        <v>0</v>
      </c>
      <c r="J68" s="310"/>
      <c r="K68" s="311"/>
      <c r="L68" s="115">
        <v>0</v>
      </c>
      <c r="M68" s="115"/>
      <c r="N68" s="311"/>
      <c r="O68" s="115"/>
      <c r="P68" s="311"/>
      <c r="Q68" s="115"/>
      <c r="R68" s="311"/>
      <c r="S68" s="115"/>
      <c r="T68" s="311"/>
      <c r="U68" s="115"/>
      <c r="V68" s="311"/>
      <c r="W68" s="115"/>
      <c r="X68" s="311"/>
      <c r="Y68" s="115"/>
      <c r="Z68" s="311"/>
      <c r="AA68" s="115"/>
      <c r="AB68" s="311"/>
      <c r="AC68" s="115"/>
      <c r="AD68" s="115"/>
    </row>
    <row r="69" spans="1:30">
      <c r="A69" s="265" t="s">
        <v>201</v>
      </c>
      <c r="B69" s="115"/>
      <c r="C69" s="115"/>
      <c r="D69" s="115"/>
      <c r="E69" s="105"/>
      <c r="F69" s="115"/>
      <c r="G69" s="115"/>
      <c r="H69" s="115"/>
      <c r="I69" s="260"/>
      <c r="J69" s="310"/>
      <c r="K69" s="311"/>
      <c r="L69" s="115"/>
      <c r="M69" s="115"/>
      <c r="N69" s="311"/>
      <c r="O69" s="115"/>
      <c r="P69" s="311"/>
      <c r="Q69" s="115"/>
      <c r="R69" s="311"/>
      <c r="S69" s="115"/>
      <c r="T69" s="311"/>
      <c r="U69" s="115"/>
      <c r="V69" s="311"/>
      <c r="W69" s="115"/>
      <c r="X69" s="311"/>
      <c r="Y69" s="115"/>
      <c r="Z69" s="311"/>
      <c r="AA69" s="115"/>
      <c r="AB69" s="311"/>
      <c r="AC69" s="115"/>
      <c r="AD69" s="115"/>
    </row>
    <row r="70" spans="1:30">
      <c r="A70" s="265" t="s">
        <v>130</v>
      </c>
      <c r="B70" s="115"/>
      <c r="C70" s="115"/>
      <c r="D70" s="115"/>
      <c r="E70" s="105"/>
      <c r="F70" s="115"/>
      <c r="G70" s="115"/>
      <c r="H70" s="115"/>
      <c r="I70" s="260">
        <v>0</v>
      </c>
      <c r="J70" s="310"/>
      <c r="K70" s="311"/>
      <c r="L70" s="115">
        <v>0</v>
      </c>
      <c r="M70" s="115"/>
      <c r="N70" s="311"/>
      <c r="O70" s="115"/>
      <c r="P70" s="311"/>
      <c r="Q70" s="115"/>
      <c r="R70" s="311"/>
      <c r="S70" s="115"/>
      <c r="T70" s="311"/>
      <c r="U70" s="115"/>
      <c r="V70" s="311"/>
      <c r="W70" s="115"/>
      <c r="X70" s="311"/>
      <c r="Y70" s="115"/>
      <c r="Z70" s="311"/>
      <c r="AA70" s="115"/>
      <c r="AB70" s="311"/>
      <c r="AC70" s="115"/>
      <c r="AD70" s="115"/>
    </row>
    <row r="71" spans="1:30">
      <c r="A71" s="265" t="s">
        <v>203</v>
      </c>
      <c r="B71" s="115"/>
      <c r="C71" s="115"/>
      <c r="D71" s="115"/>
      <c r="E71" s="105"/>
      <c r="F71" s="115"/>
      <c r="G71" s="115"/>
      <c r="H71" s="115"/>
      <c r="I71" s="260">
        <v>0</v>
      </c>
      <c r="J71" s="310"/>
      <c r="K71" s="311"/>
      <c r="L71" s="115">
        <v>0</v>
      </c>
      <c r="M71" s="115"/>
      <c r="N71" s="311"/>
      <c r="O71" s="115"/>
      <c r="P71" s="311"/>
      <c r="Q71" s="115"/>
      <c r="R71" s="311"/>
      <c r="S71" s="115"/>
      <c r="T71" s="311"/>
      <c r="U71" s="115"/>
      <c r="V71" s="311"/>
      <c r="W71" s="115"/>
      <c r="X71" s="311"/>
      <c r="Y71" s="115"/>
      <c r="Z71" s="311"/>
      <c r="AA71" s="115"/>
      <c r="AB71" s="311"/>
      <c r="AC71" s="115"/>
      <c r="AD71" s="115"/>
    </row>
    <row r="72" spans="1:30">
      <c r="A72" s="265" t="s">
        <v>133</v>
      </c>
      <c r="B72" s="115"/>
      <c r="C72" s="115"/>
      <c r="D72" s="115"/>
      <c r="E72" s="105"/>
      <c r="F72" s="115"/>
      <c r="G72" s="115"/>
      <c r="H72" s="115"/>
      <c r="I72" s="260">
        <v>0</v>
      </c>
      <c r="J72" s="310"/>
      <c r="K72" s="311"/>
      <c r="L72" s="115">
        <v>0</v>
      </c>
      <c r="M72" s="115"/>
      <c r="N72" s="311"/>
      <c r="O72" s="115"/>
      <c r="P72" s="311"/>
      <c r="Q72" s="115"/>
      <c r="R72" s="311"/>
      <c r="S72" s="115"/>
      <c r="T72" s="311"/>
      <c r="U72" s="115"/>
      <c r="V72" s="311"/>
      <c r="W72" s="115"/>
      <c r="X72" s="311"/>
      <c r="Y72" s="115"/>
      <c r="Z72" s="311"/>
      <c r="AA72" s="115"/>
      <c r="AB72" s="311"/>
      <c r="AC72" s="115"/>
      <c r="AD72" s="115"/>
    </row>
    <row r="73" spans="1:30">
      <c r="A73" s="265" t="s">
        <v>205</v>
      </c>
      <c r="B73" s="115"/>
      <c r="C73" s="115"/>
      <c r="D73" s="115"/>
      <c r="E73" s="105"/>
      <c r="F73" s="115"/>
      <c r="G73" s="115"/>
      <c r="H73" s="115"/>
      <c r="I73" s="260">
        <v>0</v>
      </c>
      <c r="J73" s="310"/>
      <c r="K73" s="311"/>
      <c r="L73" s="115">
        <v>0</v>
      </c>
      <c r="M73" s="115"/>
      <c r="N73" s="311"/>
      <c r="O73" s="115"/>
      <c r="P73" s="311"/>
      <c r="Q73" s="115"/>
      <c r="R73" s="311"/>
      <c r="S73" s="115"/>
      <c r="T73" s="311"/>
      <c r="U73" s="115"/>
      <c r="V73" s="311"/>
      <c r="W73" s="115"/>
      <c r="X73" s="311"/>
      <c r="Y73" s="115"/>
      <c r="Z73" s="311"/>
      <c r="AA73" s="115"/>
      <c r="AB73" s="311"/>
      <c r="AC73" s="115"/>
      <c r="AD73" s="115"/>
    </row>
    <row r="74" spans="1:30">
      <c r="A74" s="255" t="s">
        <v>178</v>
      </c>
      <c r="B74" s="115"/>
      <c r="C74" s="115"/>
      <c r="D74" s="115"/>
      <c r="E74" s="105"/>
      <c r="F74" s="115"/>
      <c r="G74" s="115"/>
      <c r="H74" s="115"/>
      <c r="I74" s="260"/>
      <c r="J74" s="310"/>
      <c r="K74" s="311">
        <v>1000</v>
      </c>
      <c r="L74" s="115"/>
      <c r="M74" s="115"/>
      <c r="N74" s="311">
        <v>1000</v>
      </c>
      <c r="O74" s="115"/>
      <c r="P74" s="311">
        <v>1000</v>
      </c>
      <c r="Q74" s="115"/>
      <c r="R74" s="311">
        <v>1000</v>
      </c>
      <c r="S74" s="115"/>
      <c r="T74" s="311">
        <v>1000</v>
      </c>
      <c r="U74" s="115"/>
      <c r="V74" s="311">
        <v>1000</v>
      </c>
      <c r="W74" s="115"/>
      <c r="X74" s="311">
        <v>1000</v>
      </c>
      <c r="Y74" s="115"/>
      <c r="Z74" s="311">
        <v>1000</v>
      </c>
      <c r="AA74" s="115"/>
      <c r="AB74" s="311">
        <v>1000</v>
      </c>
      <c r="AC74" s="115"/>
      <c r="AD74" s="115"/>
    </row>
    <row r="75" spans="1:30">
      <c r="A75" s="265" t="s">
        <v>136</v>
      </c>
      <c r="B75" s="115"/>
      <c r="C75" s="115"/>
      <c r="D75" s="115"/>
      <c r="E75" s="105"/>
      <c r="F75" s="115"/>
      <c r="G75" s="115"/>
      <c r="H75" s="115"/>
      <c r="I75" s="260">
        <v>0</v>
      </c>
      <c r="J75" s="310"/>
      <c r="K75" s="311"/>
      <c r="L75" s="115">
        <v>0</v>
      </c>
      <c r="M75" s="115"/>
      <c r="N75" s="311"/>
      <c r="O75" s="115"/>
      <c r="P75" s="311"/>
      <c r="Q75" s="115"/>
      <c r="R75" s="311"/>
      <c r="S75" s="115"/>
      <c r="T75" s="311"/>
      <c r="U75" s="115"/>
      <c r="V75" s="311"/>
      <c r="W75" s="115"/>
      <c r="X75" s="311"/>
      <c r="Y75" s="115"/>
      <c r="Z75" s="311"/>
      <c r="AA75" s="115"/>
      <c r="AB75" s="311"/>
      <c r="AC75" s="115"/>
      <c r="AD75" s="115"/>
    </row>
    <row r="76" spans="1:30">
      <c r="A76" s="265" t="s">
        <v>180</v>
      </c>
      <c r="B76" s="115"/>
      <c r="C76" s="115"/>
      <c r="D76" s="115"/>
      <c r="E76" s="105"/>
      <c r="F76" s="115"/>
      <c r="G76" s="115"/>
      <c r="H76" s="115"/>
      <c r="I76" s="260">
        <v>0</v>
      </c>
      <c r="J76" s="310"/>
      <c r="K76" s="311"/>
      <c r="L76" s="115">
        <v>0</v>
      </c>
      <c r="M76" s="115"/>
      <c r="N76" s="311"/>
      <c r="O76" s="115"/>
      <c r="P76" s="311"/>
      <c r="Q76" s="115"/>
      <c r="R76" s="311"/>
      <c r="S76" s="115"/>
      <c r="T76" s="311"/>
      <c r="U76" s="115"/>
      <c r="V76" s="311"/>
      <c r="W76" s="115"/>
      <c r="X76" s="311"/>
      <c r="Y76" s="115"/>
      <c r="Z76" s="311"/>
      <c r="AA76" s="115"/>
      <c r="AB76" s="311"/>
      <c r="AC76" s="115"/>
      <c r="AD76" s="115"/>
    </row>
    <row r="77" spans="1:30">
      <c r="A77" s="255" t="s">
        <v>393</v>
      </c>
      <c r="B77" s="115">
        <v>20238</v>
      </c>
      <c r="C77" s="115"/>
      <c r="D77" s="115" t="s">
        <v>74</v>
      </c>
      <c r="E77" s="105" t="s">
        <v>808</v>
      </c>
      <c r="F77" s="115">
        <v>120000</v>
      </c>
      <c r="G77" s="115"/>
      <c r="H77" s="115">
        <v>20238</v>
      </c>
      <c r="I77" s="260">
        <v>99762</v>
      </c>
      <c r="J77" s="310"/>
      <c r="K77" s="311">
        <v>99762</v>
      </c>
      <c r="L77" s="115">
        <v>0</v>
      </c>
      <c r="M77" s="115"/>
      <c r="N77" s="311"/>
      <c r="O77" s="115"/>
      <c r="P77" s="311"/>
      <c r="Q77" s="115"/>
      <c r="R77" s="311"/>
      <c r="S77" s="115"/>
      <c r="T77" s="311"/>
      <c r="U77" s="115"/>
      <c r="V77" s="311"/>
      <c r="W77" s="115"/>
      <c r="X77" s="311"/>
      <c r="Y77" s="115"/>
      <c r="Z77" s="311"/>
      <c r="AA77" s="115"/>
      <c r="AB77" s="311"/>
      <c r="AC77" s="115"/>
      <c r="AD77" s="115"/>
    </row>
    <row r="78" spans="1:30">
      <c r="A78" s="248" t="s">
        <v>785</v>
      </c>
      <c r="B78" s="260"/>
      <c r="C78" s="260"/>
      <c r="D78" s="260"/>
      <c r="E78" s="110"/>
      <c r="F78" s="260"/>
      <c r="G78" s="260"/>
      <c r="H78" s="260"/>
      <c r="I78" s="260"/>
      <c r="J78" s="310"/>
      <c r="K78" s="310">
        <v>15000</v>
      </c>
      <c r="L78" s="260"/>
      <c r="M78" s="260"/>
      <c r="N78" s="310"/>
      <c r="O78" s="260"/>
      <c r="P78" s="310"/>
      <c r="Q78" s="260"/>
      <c r="R78" s="310"/>
      <c r="S78" s="260"/>
      <c r="T78" s="310"/>
      <c r="U78" s="260"/>
      <c r="V78" s="310"/>
      <c r="W78" s="260"/>
      <c r="X78" s="310"/>
      <c r="Y78" s="260"/>
      <c r="Z78" s="310"/>
      <c r="AA78" s="260"/>
      <c r="AB78" s="310"/>
      <c r="AC78" s="260"/>
      <c r="AD78" s="260"/>
    </row>
    <row r="79" spans="1:30">
      <c r="A79" s="279" t="s">
        <v>1096</v>
      </c>
      <c r="B79" s="287"/>
      <c r="C79" s="287"/>
      <c r="D79" s="287"/>
      <c r="E79" s="188"/>
      <c r="F79" s="287"/>
      <c r="G79" s="287"/>
      <c r="H79" s="287"/>
      <c r="I79" s="287"/>
      <c r="J79" s="313"/>
      <c r="K79" s="313"/>
      <c r="L79" s="287">
        <v>0</v>
      </c>
      <c r="M79" s="287"/>
      <c r="N79" s="313"/>
      <c r="O79" s="287"/>
      <c r="P79" s="313"/>
      <c r="Q79" s="287"/>
      <c r="R79" s="313"/>
      <c r="S79" s="287"/>
      <c r="T79" s="313"/>
      <c r="U79" s="287"/>
      <c r="V79" s="313"/>
      <c r="W79" s="287"/>
      <c r="X79" s="313"/>
      <c r="Y79" s="287"/>
      <c r="Z79" s="313"/>
      <c r="AA79" s="287"/>
      <c r="AB79" s="313"/>
      <c r="AC79" s="287"/>
      <c r="AD79" s="287"/>
    </row>
    <row r="80" spans="1:30">
      <c r="A80" s="265" t="s">
        <v>415</v>
      </c>
      <c r="B80" s="115"/>
      <c r="C80" s="115"/>
      <c r="D80" s="115"/>
      <c r="E80" s="105"/>
      <c r="F80" s="115"/>
      <c r="G80" s="115"/>
      <c r="H80" s="115"/>
      <c r="I80" s="260">
        <v>0</v>
      </c>
      <c r="J80" s="310"/>
      <c r="K80" s="311"/>
      <c r="L80" s="115">
        <v>0</v>
      </c>
      <c r="M80" s="115"/>
      <c r="N80" s="311"/>
      <c r="O80" s="115"/>
      <c r="P80" s="311"/>
      <c r="Q80" s="115"/>
      <c r="R80" s="311"/>
      <c r="S80" s="115"/>
      <c r="T80" s="311"/>
      <c r="U80" s="115"/>
      <c r="V80" s="311"/>
      <c r="W80" s="115"/>
      <c r="X80" s="311"/>
      <c r="Y80" s="115"/>
      <c r="Z80" s="311"/>
      <c r="AA80" s="115"/>
      <c r="AB80" s="311"/>
      <c r="AC80" s="115"/>
      <c r="AD80" s="115"/>
    </row>
    <row r="81" spans="1:30">
      <c r="A81" s="255" t="s">
        <v>470</v>
      </c>
      <c r="B81" s="115"/>
      <c r="C81" s="115"/>
      <c r="D81" s="115"/>
      <c r="E81" s="105"/>
      <c r="F81" s="115"/>
      <c r="G81" s="115"/>
      <c r="H81" s="115"/>
      <c r="I81" s="260">
        <v>0</v>
      </c>
      <c r="J81" s="310"/>
      <c r="K81" s="311"/>
      <c r="L81" s="115">
        <v>0</v>
      </c>
      <c r="M81" s="115"/>
      <c r="N81" s="311"/>
      <c r="O81" s="115"/>
      <c r="P81" s="311"/>
      <c r="Q81" s="115"/>
      <c r="R81" s="311"/>
      <c r="S81" s="115"/>
      <c r="T81" s="311"/>
      <c r="U81" s="115"/>
      <c r="V81" s="311"/>
      <c r="W81" s="115"/>
      <c r="X81" s="311"/>
      <c r="Y81" s="115"/>
      <c r="Z81" s="311"/>
      <c r="AA81" s="115"/>
      <c r="AB81" s="311"/>
      <c r="AC81" s="115"/>
      <c r="AD81" s="115"/>
    </row>
    <row r="82" spans="1:30">
      <c r="A82" s="255" t="s">
        <v>1161</v>
      </c>
      <c r="B82" s="115"/>
      <c r="C82" s="115"/>
      <c r="D82" s="115"/>
      <c r="E82" s="105"/>
      <c r="F82" s="115"/>
      <c r="G82" s="115"/>
      <c r="H82" s="115"/>
      <c r="I82" s="115"/>
      <c r="J82" s="311"/>
      <c r="K82" s="311">
        <v>30000</v>
      </c>
      <c r="L82" s="115"/>
      <c r="M82" s="115"/>
      <c r="N82" s="311"/>
      <c r="O82" s="115"/>
      <c r="P82" s="311"/>
      <c r="Q82" s="115"/>
      <c r="R82" s="311"/>
      <c r="S82" s="115"/>
      <c r="T82" s="311"/>
      <c r="U82" s="115"/>
      <c r="V82" s="311"/>
      <c r="W82" s="115"/>
      <c r="X82" s="311"/>
      <c r="Y82" s="115"/>
      <c r="Z82" s="311"/>
      <c r="AA82" s="115"/>
      <c r="AB82" s="311"/>
      <c r="AC82" s="115"/>
      <c r="AD82" s="115"/>
    </row>
    <row r="83" spans="1:30">
      <c r="A83" s="255" t="s">
        <v>1082</v>
      </c>
      <c r="B83" s="115"/>
      <c r="C83" s="115"/>
      <c r="D83" s="115"/>
      <c r="E83" s="105"/>
      <c r="F83" s="115"/>
      <c r="G83" s="115"/>
      <c r="H83" s="115"/>
      <c r="I83" s="115"/>
      <c r="J83" s="311"/>
      <c r="K83" s="311">
        <v>1000</v>
      </c>
      <c r="L83" s="115"/>
      <c r="M83" s="115"/>
      <c r="N83" s="311">
        <v>1000</v>
      </c>
      <c r="O83" s="115"/>
      <c r="P83" s="311">
        <v>1000</v>
      </c>
      <c r="Q83" s="115"/>
      <c r="R83" s="311">
        <v>1000</v>
      </c>
      <c r="S83" s="115"/>
      <c r="T83" s="311">
        <v>1000</v>
      </c>
      <c r="U83" s="115"/>
      <c r="V83" s="311">
        <v>1000</v>
      </c>
      <c r="W83" s="115"/>
      <c r="X83" s="311">
        <v>1000</v>
      </c>
      <c r="Y83" s="115"/>
      <c r="Z83" s="311">
        <v>1000</v>
      </c>
      <c r="AA83" s="115"/>
      <c r="AB83" s="311">
        <v>1000</v>
      </c>
      <c r="AC83" s="115"/>
      <c r="AD83" s="115"/>
    </row>
    <row r="84" spans="1:30">
      <c r="A84" s="248" t="s">
        <v>832</v>
      </c>
      <c r="B84" s="260"/>
      <c r="C84" s="260"/>
      <c r="D84" s="260" t="s">
        <v>620</v>
      </c>
      <c r="E84" s="110" t="s">
        <v>833</v>
      </c>
      <c r="F84" s="260"/>
      <c r="G84" s="260"/>
      <c r="H84" s="260"/>
      <c r="I84" s="260">
        <v>0</v>
      </c>
      <c r="J84" s="310"/>
      <c r="K84" s="310">
        <v>60000</v>
      </c>
      <c r="L84" s="260">
        <v>-60000</v>
      </c>
      <c r="M84" s="260"/>
      <c r="N84" s="310">
        <v>60000</v>
      </c>
      <c r="O84" s="260"/>
      <c r="P84" s="310">
        <v>60000</v>
      </c>
      <c r="Q84" s="260"/>
      <c r="R84" s="310">
        <v>60000</v>
      </c>
      <c r="S84" s="260"/>
      <c r="T84" s="310">
        <v>60000</v>
      </c>
      <c r="U84" s="260"/>
      <c r="V84" s="310">
        <v>60000</v>
      </c>
      <c r="W84" s="260"/>
      <c r="X84" s="310">
        <v>60000</v>
      </c>
      <c r="Y84" s="260"/>
      <c r="Z84" s="310">
        <v>60000</v>
      </c>
      <c r="AA84" s="260"/>
      <c r="AB84" s="310">
        <v>60000</v>
      </c>
      <c r="AC84" s="260"/>
      <c r="AD84" s="260"/>
    </row>
    <row r="85" spans="1:30">
      <c r="A85" s="255" t="s">
        <v>244</v>
      </c>
      <c r="B85" s="115"/>
      <c r="C85" s="115"/>
      <c r="D85" s="115"/>
      <c r="E85" s="105"/>
      <c r="F85" s="115"/>
      <c r="G85" s="115"/>
      <c r="H85" s="115"/>
      <c r="I85" s="260">
        <v>0</v>
      </c>
      <c r="J85" s="310"/>
      <c r="K85" s="311"/>
      <c r="L85" s="115">
        <v>0</v>
      </c>
      <c r="M85" s="115"/>
      <c r="N85" s="311"/>
      <c r="O85" s="115"/>
      <c r="P85" s="311"/>
      <c r="Q85" s="115"/>
      <c r="R85" s="311"/>
      <c r="S85" s="115"/>
      <c r="T85" s="311"/>
      <c r="U85" s="115"/>
      <c r="V85" s="311"/>
      <c r="W85" s="115"/>
      <c r="X85" s="311"/>
      <c r="Y85" s="115"/>
      <c r="Z85" s="311"/>
      <c r="AA85" s="115"/>
      <c r="AB85" s="311"/>
      <c r="AC85" s="115"/>
      <c r="AD85" s="115"/>
    </row>
    <row r="86" spans="1:30">
      <c r="A86" s="255" t="s">
        <v>865</v>
      </c>
      <c r="B86" s="115"/>
      <c r="C86" s="115"/>
      <c r="D86" s="115"/>
      <c r="E86" s="105"/>
      <c r="F86" s="115"/>
      <c r="G86" s="115"/>
      <c r="H86" s="115"/>
      <c r="I86" s="115">
        <v>0</v>
      </c>
      <c r="J86" s="311"/>
      <c r="K86" s="311"/>
      <c r="L86" s="115">
        <v>0</v>
      </c>
      <c r="M86" s="115"/>
      <c r="N86" s="311"/>
      <c r="O86" s="115"/>
      <c r="P86" s="311"/>
      <c r="Q86" s="115"/>
      <c r="R86" s="311"/>
      <c r="S86" s="115"/>
      <c r="T86" s="311"/>
      <c r="U86" s="115"/>
      <c r="V86" s="311"/>
      <c r="W86" s="115"/>
      <c r="X86" s="311"/>
      <c r="Y86" s="115"/>
      <c r="Z86" s="311"/>
      <c r="AA86" s="115"/>
      <c r="AB86" s="311"/>
      <c r="AC86" s="115"/>
      <c r="AD86" s="115"/>
    </row>
    <row r="87" spans="1:30">
      <c r="A87" s="265" t="s">
        <v>249</v>
      </c>
      <c r="B87" s="115"/>
      <c r="C87" s="115"/>
      <c r="D87" s="115"/>
      <c r="E87" s="105"/>
      <c r="F87" s="115"/>
      <c r="G87" s="115"/>
      <c r="H87" s="115"/>
      <c r="I87" s="260">
        <v>0</v>
      </c>
      <c r="J87" s="310"/>
      <c r="K87" s="311"/>
      <c r="L87" s="115">
        <v>0</v>
      </c>
      <c r="M87" s="115"/>
      <c r="N87" s="311"/>
      <c r="O87" s="115"/>
      <c r="P87" s="311"/>
      <c r="Q87" s="115"/>
      <c r="R87" s="311"/>
      <c r="S87" s="115"/>
      <c r="T87" s="311"/>
      <c r="U87" s="115"/>
      <c r="V87" s="311"/>
      <c r="W87" s="115"/>
      <c r="X87" s="311"/>
      <c r="Y87" s="115"/>
      <c r="Z87" s="311"/>
      <c r="AA87" s="115"/>
      <c r="AB87" s="311"/>
      <c r="AC87" s="115"/>
      <c r="AD87" s="115"/>
    </row>
    <row r="88" spans="1:30">
      <c r="A88" s="255" t="s">
        <v>196</v>
      </c>
      <c r="B88" s="115"/>
      <c r="C88" s="115"/>
      <c r="D88" s="115"/>
      <c r="E88" s="105"/>
      <c r="F88" s="115"/>
      <c r="G88" s="115"/>
      <c r="H88" s="115"/>
      <c r="I88" s="260">
        <v>0</v>
      </c>
      <c r="J88" s="310"/>
      <c r="K88" s="311"/>
      <c r="L88" s="115">
        <v>0</v>
      </c>
      <c r="M88" s="115"/>
      <c r="N88" s="311"/>
      <c r="O88" s="115"/>
      <c r="P88" s="311"/>
      <c r="Q88" s="115"/>
      <c r="R88" s="311"/>
      <c r="S88" s="115"/>
      <c r="T88" s="311"/>
      <c r="U88" s="115"/>
      <c r="V88" s="311"/>
      <c r="W88" s="115"/>
      <c r="X88" s="311"/>
      <c r="Y88" s="115"/>
      <c r="Z88" s="311"/>
      <c r="AA88" s="115"/>
      <c r="AB88" s="311"/>
      <c r="AC88" s="115"/>
      <c r="AD88" s="115"/>
    </row>
    <row r="89" spans="1:30">
      <c r="A89" s="255" t="s">
        <v>473</v>
      </c>
      <c r="B89" s="115"/>
      <c r="C89" s="115"/>
      <c r="D89" s="115"/>
      <c r="E89" s="105"/>
      <c r="F89" s="115"/>
      <c r="G89" s="115"/>
      <c r="H89" s="115"/>
      <c r="I89" s="260">
        <v>0</v>
      </c>
      <c r="J89" s="310"/>
      <c r="K89" s="311"/>
      <c r="L89" s="115">
        <v>0</v>
      </c>
      <c r="M89" s="115"/>
      <c r="N89" s="311"/>
      <c r="O89" s="115"/>
      <c r="P89" s="311"/>
      <c r="Q89" s="115"/>
      <c r="R89" s="311"/>
      <c r="S89" s="115"/>
      <c r="T89" s="311"/>
      <c r="U89" s="115"/>
      <c r="V89" s="311"/>
      <c r="W89" s="115"/>
      <c r="X89" s="311"/>
      <c r="Y89" s="115"/>
      <c r="Z89" s="311"/>
      <c r="AA89" s="115"/>
      <c r="AB89" s="311"/>
      <c r="AC89" s="115"/>
      <c r="AD89" s="115"/>
    </row>
    <row r="90" spans="1:30">
      <c r="A90" s="255" t="s">
        <v>866</v>
      </c>
      <c r="B90" s="115"/>
      <c r="C90" s="115"/>
      <c r="D90" s="115"/>
      <c r="E90" s="105"/>
      <c r="F90" s="115"/>
      <c r="G90" s="115"/>
      <c r="H90" s="115"/>
      <c r="I90" s="260"/>
      <c r="J90" s="310"/>
      <c r="K90" s="311">
        <v>90000</v>
      </c>
      <c r="L90" s="115"/>
      <c r="M90" s="115"/>
      <c r="N90" s="311">
        <v>80000</v>
      </c>
      <c r="O90" s="115"/>
      <c r="P90" s="311">
        <v>50000</v>
      </c>
      <c r="Q90" s="115"/>
      <c r="R90" s="311">
        <v>50000</v>
      </c>
      <c r="S90" s="115"/>
      <c r="T90" s="311"/>
      <c r="U90" s="115"/>
      <c r="V90" s="311"/>
      <c r="W90" s="115"/>
      <c r="X90" s="311"/>
      <c r="Y90" s="115"/>
      <c r="Z90" s="311"/>
      <c r="AA90" s="115"/>
      <c r="AB90" s="311"/>
      <c r="AC90" s="115"/>
      <c r="AD90" s="115"/>
    </row>
    <row r="91" spans="1:30">
      <c r="A91" s="255" t="s">
        <v>867</v>
      </c>
      <c r="B91" s="115">
        <v>225458</v>
      </c>
      <c r="C91" s="115"/>
      <c r="D91" s="115" t="s">
        <v>74</v>
      </c>
      <c r="E91" s="105" t="s">
        <v>830</v>
      </c>
      <c r="F91" s="115">
        <v>270000</v>
      </c>
      <c r="G91" s="115"/>
      <c r="H91" s="115">
        <f>Tabelle4[[#This Row],[Kredit-  / Budgetsumme
(RADAR: Gesamtkosten S)]]-Tabelle4[[#This Row],[Kreditrest per 1.1. aktuelles Jahr]]</f>
        <v>0</v>
      </c>
      <c r="I91" s="260">
        <v>44542</v>
      </c>
      <c r="J91" s="310"/>
      <c r="K91" s="311"/>
      <c r="L91" s="115">
        <v>44542</v>
      </c>
      <c r="M91" s="115"/>
      <c r="N91" s="311"/>
      <c r="O91" s="115"/>
      <c r="P91" s="311"/>
      <c r="Q91" s="115"/>
      <c r="R91" s="311"/>
      <c r="S91" s="115"/>
      <c r="T91" s="311"/>
      <c r="U91" s="115"/>
      <c r="V91" s="311"/>
      <c r="W91" s="115"/>
      <c r="X91" s="311"/>
      <c r="Y91" s="115"/>
      <c r="Z91" s="311"/>
      <c r="AA91" s="115"/>
      <c r="AB91" s="311"/>
      <c r="AC91" s="115"/>
      <c r="AD91" s="115"/>
    </row>
    <row r="92" spans="1:30">
      <c r="A92" s="255" t="s">
        <v>844</v>
      </c>
      <c r="B92" s="260"/>
      <c r="C92" s="260"/>
      <c r="D92" s="260" t="s">
        <v>75</v>
      </c>
      <c r="E92" s="110"/>
      <c r="F92" s="115"/>
      <c r="G92" s="260"/>
      <c r="H92" s="260"/>
      <c r="I92" s="260">
        <v>0</v>
      </c>
      <c r="J92" s="310"/>
      <c r="K92" s="310"/>
      <c r="L92" s="260">
        <v>0</v>
      </c>
      <c r="M92" s="260"/>
      <c r="N92" s="310"/>
      <c r="O92" s="260"/>
      <c r="P92" s="310"/>
      <c r="Q92" s="260"/>
      <c r="R92" s="310"/>
      <c r="S92" s="260"/>
      <c r="T92" s="310"/>
      <c r="U92" s="260"/>
      <c r="V92" s="310"/>
      <c r="W92" s="260"/>
      <c r="X92" s="310"/>
      <c r="Y92" s="260"/>
      <c r="Z92" s="310"/>
      <c r="AA92" s="260"/>
      <c r="AB92" s="310"/>
      <c r="AC92" s="260"/>
      <c r="AD92" s="260"/>
    </row>
    <row r="93" spans="1:30">
      <c r="A93" s="255" t="s">
        <v>475</v>
      </c>
      <c r="B93" s="115"/>
      <c r="C93" s="115"/>
      <c r="D93" s="115"/>
      <c r="E93" s="105" t="s">
        <v>829</v>
      </c>
      <c r="F93" s="115"/>
      <c r="G93" s="115"/>
      <c r="H93" s="115"/>
      <c r="I93" s="260">
        <v>0</v>
      </c>
      <c r="J93" s="310"/>
      <c r="K93" s="311"/>
      <c r="L93" s="115">
        <v>0</v>
      </c>
      <c r="M93" s="115"/>
      <c r="N93" s="311">
        <v>250000</v>
      </c>
      <c r="O93" s="115"/>
      <c r="P93" s="311">
        <v>250000</v>
      </c>
      <c r="Q93" s="115"/>
      <c r="R93" s="311" t="s">
        <v>804</v>
      </c>
      <c r="S93" s="115"/>
      <c r="T93" s="311" t="s">
        <v>804</v>
      </c>
      <c r="U93" s="115"/>
      <c r="V93" s="311" t="s">
        <v>804</v>
      </c>
      <c r="W93" s="115"/>
      <c r="X93" s="311" t="s">
        <v>804</v>
      </c>
      <c r="Y93" s="115"/>
      <c r="Z93" s="311" t="s">
        <v>804</v>
      </c>
      <c r="AA93" s="115"/>
      <c r="AB93" s="311" t="s">
        <v>804</v>
      </c>
      <c r="AC93" s="115"/>
      <c r="AD93" s="115"/>
    </row>
    <row r="94" spans="1:30">
      <c r="A94" s="255" t="s">
        <v>477</v>
      </c>
      <c r="B94" s="115"/>
      <c r="C94" s="115"/>
      <c r="D94" s="115"/>
      <c r="E94" s="105"/>
      <c r="F94" s="115"/>
      <c r="G94" s="115"/>
      <c r="H94" s="115"/>
      <c r="I94" s="260">
        <v>0</v>
      </c>
      <c r="J94" s="310"/>
      <c r="K94" s="311"/>
      <c r="L94" s="115">
        <v>0</v>
      </c>
      <c r="M94" s="115"/>
      <c r="N94" s="311"/>
      <c r="O94" s="115"/>
      <c r="P94" s="311"/>
      <c r="Q94" s="115"/>
      <c r="R94" s="311"/>
      <c r="S94" s="115"/>
      <c r="T94" s="311"/>
      <c r="U94" s="115"/>
      <c r="V94" s="311"/>
      <c r="W94" s="115"/>
      <c r="X94" s="311"/>
      <c r="Y94" s="115"/>
      <c r="Z94" s="311"/>
      <c r="AA94" s="115"/>
      <c r="AB94" s="311"/>
      <c r="AC94" s="115"/>
      <c r="AD94" s="115"/>
    </row>
    <row r="95" spans="1:30">
      <c r="A95" s="265" t="s">
        <v>121</v>
      </c>
      <c r="B95" s="115"/>
      <c r="C95" s="115"/>
      <c r="D95" s="115"/>
      <c r="E95" s="105"/>
      <c r="F95" s="115"/>
      <c r="G95" s="115"/>
      <c r="H95" s="115"/>
      <c r="I95" s="260">
        <v>0</v>
      </c>
      <c r="J95" s="310"/>
      <c r="K95" s="311"/>
      <c r="L95" s="115">
        <v>0</v>
      </c>
      <c r="M95" s="115"/>
      <c r="N95" s="311"/>
      <c r="O95" s="115"/>
      <c r="P95" s="311"/>
      <c r="Q95" s="115"/>
      <c r="R95" s="311"/>
      <c r="S95" s="115"/>
      <c r="T95" s="311"/>
      <c r="U95" s="115"/>
      <c r="V95" s="311"/>
      <c r="W95" s="115"/>
      <c r="X95" s="311"/>
      <c r="Y95" s="115"/>
      <c r="Z95" s="311"/>
      <c r="AA95" s="115"/>
      <c r="AB95" s="311"/>
      <c r="AC95" s="115"/>
      <c r="AD95" s="115"/>
    </row>
    <row r="96" spans="1:30">
      <c r="A96" s="265" t="s">
        <v>142</v>
      </c>
      <c r="B96" s="115"/>
      <c r="C96" s="115"/>
      <c r="D96" s="115"/>
      <c r="E96" s="105"/>
      <c r="F96" s="115"/>
      <c r="G96" s="115"/>
      <c r="H96" s="115"/>
      <c r="I96" s="260">
        <v>0</v>
      </c>
      <c r="J96" s="310"/>
      <c r="K96" s="311"/>
      <c r="L96" s="115">
        <v>0</v>
      </c>
      <c r="M96" s="115"/>
      <c r="N96" s="311"/>
      <c r="O96" s="115"/>
      <c r="P96" s="311"/>
      <c r="Q96" s="115"/>
      <c r="R96" s="311"/>
      <c r="S96" s="115"/>
      <c r="T96" s="311"/>
      <c r="U96" s="115"/>
      <c r="V96" s="311"/>
      <c r="W96" s="115"/>
      <c r="X96" s="311"/>
      <c r="Y96" s="115"/>
      <c r="Z96" s="311"/>
      <c r="AA96" s="115"/>
      <c r="AB96" s="311"/>
      <c r="AC96" s="115"/>
      <c r="AD96" s="115"/>
    </row>
    <row r="97" spans="1:30">
      <c r="A97" s="255" t="s">
        <v>479</v>
      </c>
      <c r="B97" s="115"/>
      <c r="C97" s="115"/>
      <c r="D97" s="115"/>
      <c r="E97" s="105"/>
      <c r="F97" s="115"/>
      <c r="G97" s="115"/>
      <c r="H97" s="115"/>
      <c r="I97" s="260">
        <v>0</v>
      </c>
      <c r="J97" s="310"/>
      <c r="K97" s="311"/>
      <c r="L97" s="115">
        <v>0</v>
      </c>
      <c r="M97" s="115"/>
      <c r="N97" s="311"/>
      <c r="O97" s="115"/>
      <c r="P97" s="311"/>
      <c r="Q97" s="115"/>
      <c r="R97" s="311"/>
      <c r="S97" s="115"/>
      <c r="T97" s="311"/>
      <c r="U97" s="115"/>
      <c r="V97" s="311"/>
      <c r="W97" s="115"/>
      <c r="X97" s="311"/>
      <c r="Y97" s="115"/>
      <c r="Z97" s="311"/>
      <c r="AA97" s="115"/>
      <c r="AB97" s="311"/>
      <c r="AC97" s="115"/>
      <c r="AD97" s="115"/>
    </row>
    <row r="98" spans="1:30">
      <c r="A98" s="255" t="s">
        <v>288</v>
      </c>
      <c r="B98" s="115"/>
      <c r="C98" s="115"/>
      <c r="D98" s="115"/>
      <c r="E98" s="105"/>
      <c r="F98" s="115"/>
      <c r="G98" s="115"/>
      <c r="H98" s="115"/>
      <c r="I98" s="260">
        <v>0</v>
      </c>
      <c r="J98" s="310"/>
      <c r="K98" s="311"/>
      <c r="L98" s="115">
        <v>0</v>
      </c>
      <c r="M98" s="115"/>
      <c r="N98" s="311"/>
      <c r="O98" s="115"/>
      <c r="P98" s="311"/>
      <c r="Q98" s="115"/>
      <c r="R98" s="311"/>
      <c r="S98" s="115"/>
      <c r="T98" s="311"/>
      <c r="U98" s="115"/>
      <c r="V98" s="311"/>
      <c r="W98" s="115"/>
      <c r="X98" s="311"/>
      <c r="Y98" s="115"/>
      <c r="Z98" s="311"/>
      <c r="AA98" s="115"/>
      <c r="AB98" s="311"/>
      <c r="AC98" s="115"/>
      <c r="AD98" s="115"/>
    </row>
    <row r="99" spans="1:30">
      <c r="A99" s="265" t="s">
        <v>591</v>
      </c>
      <c r="B99" s="115"/>
      <c r="C99" s="115"/>
      <c r="D99" s="115"/>
      <c r="E99" s="105"/>
      <c r="F99" s="115"/>
      <c r="G99" s="115"/>
      <c r="H99" s="115"/>
      <c r="I99" s="260">
        <v>0</v>
      </c>
      <c r="J99" s="310"/>
      <c r="K99" s="311"/>
      <c r="L99" s="115">
        <v>0</v>
      </c>
      <c r="M99" s="115"/>
      <c r="N99" s="311"/>
      <c r="O99" s="115"/>
      <c r="P99" s="311"/>
      <c r="Q99" s="115"/>
      <c r="R99" s="311"/>
      <c r="S99" s="115"/>
      <c r="T99" s="311"/>
      <c r="U99" s="115"/>
      <c r="V99" s="311"/>
      <c r="W99" s="115"/>
      <c r="X99" s="311"/>
      <c r="Y99" s="115"/>
      <c r="Z99" s="311"/>
      <c r="AA99" s="115"/>
      <c r="AB99" s="311"/>
      <c r="AC99" s="115"/>
      <c r="AD99" s="115"/>
    </row>
    <row r="100" spans="1:30">
      <c r="A100" s="265" t="s">
        <v>593</v>
      </c>
      <c r="B100" s="115"/>
      <c r="C100" s="115"/>
      <c r="D100" s="115"/>
      <c r="E100" s="105"/>
      <c r="F100" s="115"/>
      <c r="G100" s="115"/>
      <c r="H100" s="115"/>
      <c r="I100" s="260">
        <v>0</v>
      </c>
      <c r="J100" s="310"/>
      <c r="K100" s="311"/>
      <c r="L100" s="115">
        <v>0</v>
      </c>
      <c r="M100" s="115"/>
      <c r="N100" s="311"/>
      <c r="O100" s="115"/>
      <c r="P100" s="311"/>
      <c r="Q100" s="115"/>
      <c r="R100" s="311"/>
      <c r="S100" s="115"/>
      <c r="T100" s="311"/>
      <c r="U100" s="115"/>
      <c r="V100" s="311"/>
      <c r="W100" s="115"/>
      <c r="X100" s="311"/>
      <c r="Y100" s="115"/>
      <c r="Z100" s="311"/>
      <c r="AA100" s="115"/>
      <c r="AB100" s="311"/>
      <c r="AC100" s="115"/>
      <c r="AD100" s="115"/>
    </row>
    <row r="101" spans="1:30">
      <c r="A101" s="265" t="s">
        <v>595</v>
      </c>
      <c r="B101" s="115"/>
      <c r="C101" s="115"/>
      <c r="D101" s="115"/>
      <c r="E101" s="105"/>
      <c r="F101" s="115"/>
      <c r="G101" s="115"/>
      <c r="H101" s="115"/>
      <c r="I101" s="260">
        <v>0</v>
      </c>
      <c r="J101" s="310"/>
      <c r="K101" s="311"/>
      <c r="L101" s="115">
        <v>0</v>
      </c>
      <c r="M101" s="115"/>
      <c r="N101" s="311"/>
      <c r="O101" s="115"/>
      <c r="P101" s="311"/>
      <c r="Q101" s="115"/>
      <c r="R101" s="311"/>
      <c r="S101" s="115"/>
      <c r="T101" s="311"/>
      <c r="U101" s="115"/>
      <c r="V101" s="311"/>
      <c r="W101" s="115"/>
      <c r="X101" s="311"/>
      <c r="Y101" s="115"/>
      <c r="Z101" s="311"/>
      <c r="AA101" s="115"/>
      <c r="AB101" s="311"/>
      <c r="AC101" s="115"/>
      <c r="AD101" s="115"/>
    </row>
    <row r="102" spans="1:30">
      <c r="A102" s="265" t="s">
        <v>597</v>
      </c>
      <c r="B102" s="115"/>
      <c r="C102" s="115"/>
      <c r="D102" s="115"/>
      <c r="E102" s="105"/>
      <c r="F102" s="115"/>
      <c r="G102" s="115"/>
      <c r="H102" s="115"/>
      <c r="I102" s="260">
        <v>0</v>
      </c>
      <c r="J102" s="310"/>
      <c r="K102" s="311"/>
      <c r="L102" s="115">
        <v>0</v>
      </c>
      <c r="M102" s="115"/>
      <c r="N102" s="311"/>
      <c r="O102" s="115"/>
      <c r="P102" s="311"/>
      <c r="Q102" s="115"/>
      <c r="R102" s="311"/>
      <c r="S102" s="115"/>
      <c r="T102" s="311"/>
      <c r="U102" s="115"/>
      <c r="V102" s="311"/>
      <c r="W102" s="115"/>
      <c r="X102" s="311"/>
      <c r="Y102" s="115"/>
      <c r="Z102" s="311"/>
      <c r="AA102" s="115"/>
      <c r="AB102" s="311"/>
      <c r="AC102" s="115"/>
      <c r="AD102" s="115"/>
    </row>
    <row r="103" spans="1:30">
      <c r="A103" s="265" t="s">
        <v>910</v>
      </c>
      <c r="B103" s="115"/>
      <c r="C103" s="115"/>
      <c r="D103" s="115"/>
      <c r="E103" s="105"/>
      <c r="F103" s="115"/>
      <c r="G103" s="115"/>
      <c r="H103" s="115"/>
      <c r="I103" s="260">
        <v>0</v>
      </c>
      <c r="J103" s="310"/>
      <c r="K103" s="311"/>
      <c r="L103" s="115">
        <v>0</v>
      </c>
      <c r="M103" s="115"/>
      <c r="N103" s="311"/>
      <c r="O103" s="115"/>
      <c r="P103" s="311"/>
      <c r="Q103" s="115"/>
      <c r="R103" s="311"/>
      <c r="S103" s="115"/>
      <c r="T103" s="311"/>
      <c r="U103" s="115"/>
      <c r="V103" s="311"/>
      <c r="W103" s="115"/>
      <c r="X103" s="311"/>
      <c r="Y103" s="115"/>
      <c r="Z103" s="311"/>
      <c r="AA103" s="115"/>
      <c r="AB103" s="311"/>
      <c r="AC103" s="115"/>
      <c r="AD103" s="115"/>
    </row>
    <row r="104" spans="1:30">
      <c r="A104" s="255" t="s">
        <v>481</v>
      </c>
      <c r="B104" s="115"/>
      <c r="C104" s="115"/>
      <c r="D104" s="115"/>
      <c r="E104" s="105"/>
      <c r="F104" s="115"/>
      <c r="G104" s="115"/>
      <c r="H104" s="115"/>
      <c r="I104" s="260">
        <v>0</v>
      </c>
      <c r="J104" s="310"/>
      <c r="K104" s="311"/>
      <c r="L104" s="115">
        <v>0</v>
      </c>
      <c r="M104" s="115"/>
      <c r="N104" s="311"/>
      <c r="O104" s="115"/>
      <c r="P104" s="311"/>
      <c r="Q104" s="115"/>
      <c r="R104" s="311"/>
      <c r="S104" s="115"/>
      <c r="T104" s="311"/>
      <c r="U104" s="115"/>
      <c r="V104" s="311"/>
      <c r="W104" s="115"/>
      <c r="X104" s="311"/>
      <c r="Y104" s="115"/>
      <c r="Z104" s="311"/>
      <c r="AA104" s="115"/>
      <c r="AB104" s="311"/>
      <c r="AC104" s="115"/>
      <c r="AD104" s="115"/>
    </row>
    <row r="105" spans="1:30">
      <c r="A105" s="255" t="s">
        <v>484</v>
      </c>
      <c r="B105" s="115"/>
      <c r="C105" s="115"/>
      <c r="D105" s="115"/>
      <c r="E105" s="105"/>
      <c r="F105" s="115"/>
      <c r="G105" s="115"/>
      <c r="H105" s="115"/>
      <c r="I105" s="260">
        <v>0</v>
      </c>
      <c r="J105" s="310"/>
      <c r="K105" s="311"/>
      <c r="L105" s="115">
        <v>0</v>
      </c>
      <c r="M105" s="115"/>
      <c r="N105" s="311"/>
      <c r="O105" s="115"/>
      <c r="P105" s="311"/>
      <c r="Q105" s="115"/>
      <c r="R105" s="311"/>
      <c r="S105" s="115"/>
      <c r="T105" s="311"/>
      <c r="U105" s="115"/>
      <c r="V105" s="311"/>
      <c r="W105" s="115"/>
      <c r="X105" s="311"/>
      <c r="Y105" s="115"/>
      <c r="Z105" s="311"/>
      <c r="AA105" s="115"/>
      <c r="AB105" s="311"/>
      <c r="AC105" s="115"/>
      <c r="AD105" s="115"/>
    </row>
    <row r="106" spans="1:30">
      <c r="A106" s="255" t="s">
        <v>291</v>
      </c>
      <c r="B106" s="115"/>
      <c r="C106" s="115"/>
      <c r="D106" s="115"/>
      <c r="E106" s="105"/>
      <c r="F106" s="115"/>
      <c r="G106" s="115"/>
      <c r="H106" s="115"/>
      <c r="I106" s="260">
        <v>0</v>
      </c>
      <c r="J106" s="310"/>
      <c r="K106" s="311"/>
      <c r="L106" s="115">
        <v>0</v>
      </c>
      <c r="M106" s="115"/>
      <c r="N106" s="311"/>
      <c r="O106" s="115"/>
      <c r="P106" s="311"/>
      <c r="Q106" s="115"/>
      <c r="R106" s="311"/>
      <c r="S106" s="115"/>
      <c r="T106" s="311"/>
      <c r="U106" s="115"/>
      <c r="V106" s="311"/>
      <c r="W106" s="115"/>
      <c r="X106" s="311"/>
      <c r="Y106" s="115"/>
      <c r="Z106" s="311"/>
      <c r="AA106" s="115"/>
      <c r="AB106" s="311"/>
      <c r="AC106" s="115"/>
      <c r="AD106" s="115"/>
    </row>
    <row r="107" spans="1:30">
      <c r="A107" s="255" t="s">
        <v>487</v>
      </c>
      <c r="B107" s="115"/>
      <c r="C107" s="115"/>
      <c r="D107" s="115"/>
      <c r="E107" s="105"/>
      <c r="F107" s="115"/>
      <c r="G107" s="115"/>
      <c r="H107" s="115"/>
      <c r="I107" s="260">
        <v>0</v>
      </c>
      <c r="J107" s="310"/>
      <c r="K107" s="311"/>
      <c r="L107" s="115">
        <v>0</v>
      </c>
      <c r="M107" s="115"/>
      <c r="N107" s="311"/>
      <c r="O107" s="115"/>
      <c r="P107" s="311"/>
      <c r="Q107" s="115"/>
      <c r="R107" s="311"/>
      <c r="S107" s="115"/>
      <c r="T107" s="311"/>
      <c r="U107" s="115"/>
      <c r="V107" s="311"/>
      <c r="W107" s="115"/>
      <c r="X107" s="311"/>
      <c r="Y107" s="115"/>
      <c r="Z107" s="311"/>
      <c r="AA107" s="115"/>
      <c r="AB107" s="311"/>
      <c r="AC107" s="115"/>
      <c r="AD107" s="115"/>
    </row>
    <row r="108" spans="1:30">
      <c r="A108" s="255" t="s">
        <v>489</v>
      </c>
      <c r="B108" s="115"/>
      <c r="C108" s="115"/>
      <c r="D108" s="115"/>
      <c r="E108" s="105"/>
      <c r="F108" s="115"/>
      <c r="G108" s="115"/>
      <c r="H108" s="115"/>
      <c r="I108" s="260">
        <v>0</v>
      </c>
      <c r="J108" s="310"/>
      <c r="K108" s="311"/>
      <c r="L108" s="115">
        <v>0</v>
      </c>
      <c r="M108" s="115"/>
      <c r="N108" s="311"/>
      <c r="O108" s="115"/>
      <c r="P108" s="311"/>
      <c r="Q108" s="115"/>
      <c r="R108" s="311"/>
      <c r="S108" s="115"/>
      <c r="T108" s="311"/>
      <c r="U108" s="115"/>
      <c r="V108" s="311"/>
      <c r="W108" s="115"/>
      <c r="X108" s="311"/>
      <c r="Y108" s="115"/>
      <c r="Z108" s="311"/>
      <c r="AA108" s="115"/>
      <c r="AB108" s="311"/>
      <c r="AC108" s="115"/>
      <c r="AD108" s="115"/>
    </row>
    <row r="109" spans="1:30">
      <c r="A109" s="255" t="s">
        <v>491</v>
      </c>
      <c r="B109" s="115"/>
      <c r="C109" s="115"/>
      <c r="D109" s="115"/>
      <c r="E109" s="105"/>
      <c r="F109" s="115"/>
      <c r="G109" s="115"/>
      <c r="H109" s="115"/>
      <c r="I109" s="260"/>
      <c r="J109" s="310"/>
      <c r="K109" s="311"/>
      <c r="L109" s="115"/>
      <c r="M109" s="115"/>
      <c r="N109" s="311"/>
      <c r="O109" s="115"/>
      <c r="P109" s="311"/>
      <c r="Q109" s="115"/>
      <c r="R109" s="311"/>
      <c r="S109" s="115"/>
      <c r="T109" s="311"/>
      <c r="U109" s="115"/>
      <c r="V109" s="311"/>
      <c r="W109" s="115"/>
      <c r="X109" s="311"/>
      <c r="Y109" s="115"/>
      <c r="Z109" s="311"/>
      <c r="AA109" s="115"/>
      <c r="AB109" s="311"/>
      <c r="AC109" s="115"/>
      <c r="AD109" s="115"/>
    </row>
    <row r="110" spans="1:30">
      <c r="A110" s="255" t="s">
        <v>398</v>
      </c>
      <c r="B110" s="115"/>
      <c r="C110" s="115"/>
      <c r="D110" s="115"/>
      <c r="E110" s="105"/>
      <c r="F110" s="115"/>
      <c r="G110" s="115"/>
      <c r="H110" s="115"/>
      <c r="I110" s="260">
        <v>0</v>
      </c>
      <c r="J110" s="310"/>
      <c r="K110" s="311"/>
      <c r="L110" s="115">
        <v>0</v>
      </c>
      <c r="M110" s="115"/>
      <c r="N110" s="311"/>
      <c r="O110" s="115"/>
      <c r="P110" s="311"/>
      <c r="Q110" s="115"/>
      <c r="R110" s="311"/>
      <c r="S110" s="115"/>
      <c r="T110" s="311"/>
      <c r="U110" s="115"/>
      <c r="V110" s="311"/>
      <c r="W110" s="115"/>
      <c r="X110" s="311"/>
      <c r="Y110" s="115"/>
      <c r="Z110" s="311"/>
      <c r="AA110" s="115"/>
      <c r="AB110" s="311"/>
      <c r="AC110" s="115"/>
      <c r="AD110" s="115"/>
    </row>
    <row r="111" spans="1:30">
      <c r="A111" s="265" t="s">
        <v>343</v>
      </c>
      <c r="B111" s="115">
        <v>70384.3</v>
      </c>
      <c r="C111" s="115"/>
      <c r="D111" s="115" t="s">
        <v>74</v>
      </c>
      <c r="E111" s="105" t="s">
        <v>810</v>
      </c>
      <c r="F111" s="115"/>
      <c r="G111" s="115"/>
      <c r="H111" s="115">
        <v>70384.3</v>
      </c>
      <c r="I111" s="260">
        <v>-70384.3</v>
      </c>
      <c r="J111" s="310"/>
      <c r="K111" s="311"/>
      <c r="L111" s="115">
        <v>-70384.3</v>
      </c>
      <c r="M111" s="115"/>
      <c r="N111" s="311"/>
      <c r="O111" s="115"/>
      <c r="P111" s="311"/>
      <c r="Q111" s="115"/>
      <c r="R111" s="311"/>
      <c r="S111" s="115"/>
      <c r="T111" s="311"/>
      <c r="U111" s="115"/>
      <c r="V111" s="311"/>
      <c r="W111" s="115"/>
      <c r="X111" s="311"/>
      <c r="Y111" s="115"/>
      <c r="Z111" s="311"/>
      <c r="AA111" s="115"/>
      <c r="AB111" s="311"/>
      <c r="AC111" s="115"/>
      <c r="AD111" s="115"/>
    </row>
    <row r="112" spans="1:30">
      <c r="A112" s="248" t="s">
        <v>818</v>
      </c>
      <c r="B112" s="260"/>
      <c r="C112" s="260"/>
      <c r="D112" s="260" t="s">
        <v>620</v>
      </c>
      <c r="E112" s="110" t="s">
        <v>819</v>
      </c>
      <c r="F112" s="260">
        <v>3000000</v>
      </c>
      <c r="G112" s="260"/>
      <c r="H112" s="260"/>
      <c r="I112" s="260">
        <v>3000000</v>
      </c>
      <c r="J112" s="310"/>
      <c r="K112" s="310">
        <v>150000</v>
      </c>
      <c r="L112" s="260">
        <v>2850000</v>
      </c>
      <c r="M112" s="260"/>
      <c r="N112" s="310">
        <v>150000</v>
      </c>
      <c r="O112" s="260"/>
      <c r="P112" s="310">
        <v>1350000</v>
      </c>
      <c r="Q112" s="260"/>
      <c r="R112" s="310">
        <v>1350000</v>
      </c>
      <c r="S112" s="260">
        <v>3000000</v>
      </c>
      <c r="T112" s="310"/>
      <c r="U112" s="260"/>
      <c r="V112" s="310"/>
      <c r="W112" s="260"/>
      <c r="X112" s="310"/>
      <c r="Y112" s="260"/>
      <c r="Z112" s="310"/>
      <c r="AA112" s="260"/>
      <c r="AB112" s="310"/>
      <c r="AC112" s="260"/>
      <c r="AD112" s="260"/>
    </row>
    <row r="113" spans="1:30">
      <c r="A113" s="265" t="s">
        <v>493</v>
      </c>
      <c r="B113" s="115"/>
      <c r="C113" s="115"/>
      <c r="D113" s="115" t="s">
        <v>75</v>
      </c>
      <c r="E113" s="105"/>
      <c r="F113" s="115"/>
      <c r="G113" s="115"/>
      <c r="H113" s="115"/>
      <c r="I113" s="260">
        <v>0</v>
      </c>
      <c r="J113" s="310"/>
      <c r="K113" s="311"/>
      <c r="L113" s="115">
        <v>0</v>
      </c>
      <c r="M113" s="115"/>
      <c r="N113" s="311"/>
      <c r="O113" s="115"/>
      <c r="P113" s="311"/>
      <c r="Q113" s="115"/>
      <c r="R113" s="311"/>
      <c r="S113" s="115"/>
      <c r="T113" s="311"/>
      <c r="U113" s="115"/>
      <c r="V113" s="311"/>
      <c r="W113" s="115"/>
      <c r="X113" s="311"/>
      <c r="Y113" s="115"/>
      <c r="Z113" s="311"/>
      <c r="AA113" s="115"/>
      <c r="AB113" s="311"/>
      <c r="AC113" s="115"/>
      <c r="AD113" s="115"/>
    </row>
    <row r="114" spans="1:30">
      <c r="A114" s="255" t="s">
        <v>495</v>
      </c>
      <c r="B114" s="115"/>
      <c r="C114" s="115"/>
      <c r="D114" s="115"/>
      <c r="E114" s="105"/>
      <c r="F114" s="115"/>
      <c r="G114" s="115"/>
      <c r="H114" s="115"/>
      <c r="I114" s="260">
        <v>0</v>
      </c>
      <c r="J114" s="310"/>
      <c r="K114" s="311"/>
      <c r="L114" s="115">
        <v>0</v>
      </c>
      <c r="M114" s="115"/>
      <c r="N114" s="311"/>
      <c r="O114" s="115"/>
      <c r="P114" s="311"/>
      <c r="Q114" s="115"/>
      <c r="R114" s="311"/>
      <c r="S114" s="115"/>
      <c r="T114" s="311"/>
      <c r="U114" s="115"/>
      <c r="V114" s="311"/>
      <c r="W114" s="115"/>
      <c r="X114" s="311"/>
      <c r="Y114" s="115"/>
      <c r="Z114" s="311"/>
      <c r="AA114" s="115"/>
      <c r="AB114" s="311"/>
      <c r="AC114" s="115"/>
      <c r="AD114" s="115"/>
    </row>
    <row r="115" spans="1:30">
      <c r="A115" s="265" t="s">
        <v>347</v>
      </c>
      <c r="B115" s="115"/>
      <c r="C115" s="115"/>
      <c r="D115" s="115"/>
      <c r="E115" s="105"/>
      <c r="F115" s="115"/>
      <c r="G115" s="115"/>
      <c r="H115" s="115"/>
      <c r="I115" s="260">
        <v>0</v>
      </c>
      <c r="J115" s="310"/>
      <c r="K115" s="311"/>
      <c r="L115" s="115">
        <v>0</v>
      </c>
      <c r="M115" s="115"/>
      <c r="N115" s="311"/>
      <c r="O115" s="115"/>
      <c r="P115" s="311"/>
      <c r="Q115" s="115"/>
      <c r="R115" s="311"/>
      <c r="S115" s="115"/>
      <c r="T115" s="311"/>
      <c r="U115" s="115"/>
      <c r="V115" s="311"/>
      <c r="W115" s="115"/>
      <c r="X115" s="311"/>
      <c r="Y115" s="115"/>
      <c r="Z115" s="311"/>
      <c r="AA115" s="115"/>
      <c r="AB115" s="311"/>
      <c r="AC115" s="115"/>
      <c r="AD115" s="115"/>
    </row>
    <row r="116" spans="1:30">
      <c r="A116" s="265" t="s">
        <v>350</v>
      </c>
      <c r="B116" s="115"/>
      <c r="C116" s="115"/>
      <c r="D116" s="115"/>
      <c r="E116" s="105"/>
      <c r="F116" s="115"/>
      <c r="G116" s="115"/>
      <c r="H116" s="115"/>
      <c r="I116" s="260">
        <v>0</v>
      </c>
      <c r="J116" s="310"/>
      <c r="K116" s="311"/>
      <c r="L116" s="115">
        <v>0</v>
      </c>
      <c r="M116" s="115"/>
      <c r="N116" s="311"/>
      <c r="O116" s="115"/>
      <c r="P116" s="311"/>
      <c r="Q116" s="115"/>
      <c r="R116" s="311"/>
      <c r="S116" s="115"/>
      <c r="T116" s="311"/>
      <c r="U116" s="115"/>
      <c r="V116" s="311"/>
      <c r="W116" s="115"/>
      <c r="X116" s="311"/>
      <c r="Y116" s="115"/>
      <c r="Z116" s="311"/>
      <c r="AA116" s="115"/>
      <c r="AB116" s="311"/>
      <c r="AC116" s="115"/>
      <c r="AD116" s="115"/>
    </row>
    <row r="117" spans="1:30">
      <c r="A117" s="255" t="s">
        <v>497</v>
      </c>
      <c r="B117" s="115"/>
      <c r="C117" s="115"/>
      <c r="D117" s="115"/>
      <c r="E117" s="105"/>
      <c r="F117" s="115"/>
      <c r="G117" s="115"/>
      <c r="H117" s="115"/>
      <c r="I117" s="260">
        <v>0</v>
      </c>
      <c r="J117" s="310"/>
      <c r="K117" s="311"/>
      <c r="L117" s="115">
        <v>0</v>
      </c>
      <c r="M117" s="115"/>
      <c r="N117" s="311"/>
      <c r="O117" s="115"/>
      <c r="P117" s="311"/>
      <c r="Q117" s="115"/>
      <c r="R117" s="311"/>
      <c r="S117" s="115"/>
      <c r="T117" s="311"/>
      <c r="U117" s="115"/>
      <c r="V117" s="311"/>
      <c r="W117" s="115"/>
      <c r="X117" s="311"/>
      <c r="Y117" s="115"/>
      <c r="Z117" s="311"/>
      <c r="AA117" s="115"/>
      <c r="AB117" s="311"/>
      <c r="AC117" s="115"/>
      <c r="AD117" s="115"/>
    </row>
    <row r="118" spans="1:30">
      <c r="A118" s="255" t="s">
        <v>353</v>
      </c>
      <c r="B118" s="115">
        <v>79100</v>
      </c>
      <c r="C118" s="115"/>
      <c r="D118" s="115"/>
      <c r="E118" s="105"/>
      <c r="F118" s="115">
        <v>108000</v>
      </c>
      <c r="G118" s="115"/>
      <c r="H118" s="115">
        <f>Tabelle4[[#This Row],[Kredit-  / Budgetsumme
(RADAR: Gesamtkosten S)]]-Tabelle4[[#This Row],[Kreditrest per 1.1. aktuelles Jahr]]</f>
        <v>0</v>
      </c>
      <c r="I118" s="260">
        <v>28900</v>
      </c>
      <c r="J118" s="310"/>
      <c r="K118" s="311">
        <v>28900</v>
      </c>
      <c r="L118" s="115">
        <v>0</v>
      </c>
      <c r="M118" s="115"/>
      <c r="N118" s="311"/>
      <c r="O118" s="115"/>
      <c r="P118" s="311"/>
      <c r="Q118" s="115"/>
      <c r="R118" s="311"/>
      <c r="S118" s="115"/>
      <c r="T118" s="311"/>
      <c r="U118" s="115"/>
      <c r="V118" s="311"/>
      <c r="W118" s="115"/>
      <c r="X118" s="311"/>
      <c r="Y118" s="115"/>
      <c r="Z118" s="311"/>
      <c r="AA118" s="115"/>
      <c r="AB118" s="311"/>
      <c r="AC118" s="115"/>
      <c r="AD118" s="115"/>
    </row>
    <row r="119" spans="1:30">
      <c r="A119" s="265" t="s">
        <v>147</v>
      </c>
      <c r="B119" s="115"/>
      <c r="C119" s="115"/>
      <c r="D119" s="115"/>
      <c r="E119" s="105"/>
      <c r="F119" s="115"/>
      <c r="G119" s="115"/>
      <c r="H119" s="115"/>
      <c r="I119" s="260">
        <v>0</v>
      </c>
      <c r="J119" s="310"/>
      <c r="K119" s="311"/>
      <c r="L119" s="115">
        <v>0</v>
      </c>
      <c r="M119" s="115"/>
      <c r="N119" s="311"/>
      <c r="O119" s="115"/>
      <c r="P119" s="311"/>
      <c r="Q119" s="115"/>
      <c r="R119" s="311"/>
      <c r="S119" s="115"/>
      <c r="T119" s="311"/>
      <c r="U119" s="115"/>
      <c r="V119" s="311"/>
      <c r="W119" s="115"/>
      <c r="X119" s="311"/>
      <c r="Y119" s="115"/>
      <c r="Z119" s="311"/>
      <c r="AA119" s="115"/>
      <c r="AB119" s="311"/>
      <c r="AC119" s="115"/>
      <c r="AD119" s="115"/>
    </row>
    <row r="120" spans="1:30">
      <c r="A120" s="255" t="s">
        <v>1084</v>
      </c>
      <c r="B120" s="115"/>
      <c r="C120" s="115"/>
      <c r="D120" s="115"/>
      <c r="E120" s="105"/>
      <c r="F120" s="115"/>
      <c r="G120" s="115"/>
      <c r="H120" s="115"/>
      <c r="I120" s="115"/>
      <c r="J120" s="311"/>
      <c r="K120" s="311">
        <v>20000</v>
      </c>
      <c r="L120" s="115"/>
      <c r="M120" s="115"/>
      <c r="N120" s="311">
        <v>20000</v>
      </c>
      <c r="O120" s="115"/>
      <c r="P120" s="311">
        <v>20000</v>
      </c>
      <c r="Q120" s="115"/>
      <c r="R120" s="311">
        <v>20000</v>
      </c>
      <c r="S120" s="115"/>
      <c r="T120" s="311">
        <v>20000</v>
      </c>
      <c r="U120" s="115"/>
      <c r="V120" s="311">
        <v>20000</v>
      </c>
      <c r="W120" s="115"/>
      <c r="X120" s="311">
        <v>20000</v>
      </c>
      <c r="Y120" s="115"/>
      <c r="Z120" s="311">
        <v>20000</v>
      </c>
      <c r="AA120" s="115"/>
      <c r="AB120" s="311"/>
      <c r="AC120" s="115"/>
      <c r="AD120" s="115"/>
    </row>
    <row r="121" spans="1:30">
      <c r="A121" s="255" t="s">
        <v>149</v>
      </c>
      <c r="B121" s="115"/>
      <c r="C121" s="115"/>
      <c r="D121" s="115"/>
      <c r="E121" s="105"/>
      <c r="F121" s="115"/>
      <c r="G121" s="115"/>
      <c r="H121" s="115"/>
      <c r="I121" s="260">
        <v>0</v>
      </c>
      <c r="J121" s="310"/>
      <c r="K121" s="311"/>
      <c r="L121" s="115">
        <v>0</v>
      </c>
      <c r="M121" s="115"/>
      <c r="N121" s="311"/>
      <c r="O121" s="115"/>
      <c r="P121" s="311"/>
      <c r="Q121" s="115"/>
      <c r="R121" s="311"/>
      <c r="S121" s="115"/>
      <c r="T121" s="311"/>
      <c r="U121" s="115"/>
      <c r="V121" s="311"/>
      <c r="W121" s="115"/>
      <c r="X121" s="311"/>
      <c r="Y121" s="115"/>
      <c r="Z121" s="311"/>
      <c r="AA121" s="115"/>
      <c r="AB121" s="311"/>
      <c r="AC121" s="115"/>
      <c r="AD121" s="115"/>
    </row>
    <row r="122" spans="1:30">
      <c r="A122" s="255" t="s">
        <v>499</v>
      </c>
      <c r="B122" s="115"/>
      <c r="C122" s="115"/>
      <c r="D122" s="115"/>
      <c r="E122" s="105"/>
      <c r="F122" s="115"/>
      <c r="G122" s="115"/>
      <c r="H122" s="115"/>
      <c r="I122" s="260">
        <v>0</v>
      </c>
      <c r="J122" s="310"/>
      <c r="K122" s="311"/>
      <c r="L122" s="115">
        <v>0</v>
      </c>
      <c r="M122" s="115"/>
      <c r="N122" s="311"/>
      <c r="O122" s="115"/>
      <c r="P122" s="311"/>
      <c r="Q122" s="115"/>
      <c r="R122" s="311"/>
      <c r="S122" s="115"/>
      <c r="T122" s="311"/>
      <c r="U122" s="115"/>
      <c r="V122" s="311"/>
      <c r="W122" s="115"/>
      <c r="X122" s="311"/>
      <c r="Y122" s="115"/>
      <c r="Z122" s="311"/>
      <c r="AA122" s="115"/>
      <c r="AB122" s="311"/>
      <c r="AC122" s="115"/>
      <c r="AD122" s="115"/>
    </row>
    <row r="123" spans="1:30">
      <c r="A123" s="255" t="s">
        <v>151</v>
      </c>
      <c r="B123" s="115"/>
      <c r="C123" s="115"/>
      <c r="D123" s="115"/>
      <c r="E123" s="105"/>
      <c r="F123" s="115"/>
      <c r="G123" s="115"/>
      <c r="H123" s="115"/>
      <c r="I123" s="260">
        <v>0</v>
      </c>
      <c r="J123" s="310"/>
      <c r="K123" s="311"/>
      <c r="L123" s="115">
        <v>0</v>
      </c>
      <c r="M123" s="115"/>
      <c r="N123" s="311"/>
      <c r="O123" s="115"/>
      <c r="P123" s="311"/>
      <c r="Q123" s="115"/>
      <c r="R123" s="311"/>
      <c r="S123" s="115"/>
      <c r="T123" s="311"/>
      <c r="U123" s="115"/>
      <c r="V123" s="311"/>
      <c r="W123" s="115"/>
      <c r="X123" s="311"/>
      <c r="Y123" s="115"/>
      <c r="Z123" s="311"/>
      <c r="AA123" s="115"/>
      <c r="AB123" s="311"/>
      <c r="AC123" s="115"/>
      <c r="AD123" s="115"/>
    </row>
    <row r="124" spans="1:30">
      <c r="A124" s="255" t="s">
        <v>357</v>
      </c>
      <c r="B124" s="115">
        <v>248</v>
      </c>
      <c r="C124" s="115"/>
      <c r="D124" s="115" t="s">
        <v>74</v>
      </c>
      <c r="E124" s="105" t="s">
        <v>812</v>
      </c>
      <c r="F124" s="115">
        <v>200000</v>
      </c>
      <c r="G124" s="115"/>
      <c r="H124" s="115">
        <v>248</v>
      </c>
      <c r="I124" s="260">
        <v>199752</v>
      </c>
      <c r="J124" s="310"/>
      <c r="K124" s="311">
        <v>180000</v>
      </c>
      <c r="L124" s="115">
        <v>19752</v>
      </c>
      <c r="M124" s="115"/>
      <c r="N124" s="311">
        <v>19752</v>
      </c>
      <c r="O124" s="115"/>
      <c r="P124" s="311"/>
      <c r="Q124" s="115"/>
      <c r="R124" s="311"/>
      <c r="S124" s="115"/>
      <c r="T124" s="311"/>
      <c r="U124" s="115"/>
      <c r="V124" s="311"/>
      <c r="W124" s="115"/>
      <c r="X124" s="311"/>
      <c r="Y124" s="115"/>
      <c r="Z124" s="311"/>
      <c r="AA124" s="115"/>
      <c r="AB124" s="311"/>
      <c r="AC124" s="115"/>
      <c r="AD124" s="115"/>
    </row>
    <row r="125" spans="1:30">
      <c r="A125" s="255" t="s">
        <v>502</v>
      </c>
      <c r="B125" s="115"/>
      <c r="C125" s="115"/>
      <c r="D125" s="115"/>
      <c r="E125" s="105"/>
      <c r="F125" s="115"/>
      <c r="G125" s="115"/>
      <c r="H125" s="115"/>
      <c r="I125" s="260">
        <v>0</v>
      </c>
      <c r="J125" s="310"/>
      <c r="K125" s="311">
        <v>15000</v>
      </c>
      <c r="L125" s="115">
        <v>-15000</v>
      </c>
      <c r="M125" s="115"/>
      <c r="N125" s="311"/>
      <c r="O125" s="115"/>
      <c r="P125" s="311"/>
      <c r="Q125" s="115"/>
      <c r="R125" s="311"/>
      <c r="S125" s="115"/>
      <c r="T125" s="311"/>
      <c r="U125" s="115"/>
      <c r="V125" s="311"/>
      <c r="W125" s="115"/>
      <c r="X125" s="311"/>
      <c r="Y125" s="115"/>
      <c r="Z125" s="311"/>
      <c r="AA125" s="115"/>
      <c r="AB125" s="311"/>
      <c r="AC125" s="115"/>
      <c r="AD125" s="115"/>
    </row>
    <row r="126" spans="1:30">
      <c r="A126" s="255" t="s">
        <v>401</v>
      </c>
      <c r="B126" s="115">
        <v>1565</v>
      </c>
      <c r="C126" s="115"/>
      <c r="D126" s="115" t="s">
        <v>74</v>
      </c>
      <c r="E126" s="105" t="s">
        <v>811</v>
      </c>
      <c r="F126" s="115">
        <v>150000</v>
      </c>
      <c r="G126" s="115"/>
      <c r="H126" s="115">
        <v>1565</v>
      </c>
      <c r="I126" s="260">
        <v>148435</v>
      </c>
      <c r="J126" s="310"/>
      <c r="K126" s="311">
        <v>120000</v>
      </c>
      <c r="L126" s="115">
        <v>28435</v>
      </c>
      <c r="M126" s="115"/>
      <c r="N126" s="311">
        <v>28435</v>
      </c>
      <c r="O126" s="115"/>
      <c r="P126" s="311"/>
      <c r="Q126" s="115"/>
      <c r="R126" s="311"/>
      <c r="S126" s="115"/>
      <c r="T126" s="311"/>
      <c r="U126" s="115"/>
      <c r="V126" s="311"/>
      <c r="W126" s="115"/>
      <c r="X126" s="311"/>
      <c r="Y126" s="115"/>
      <c r="Z126" s="311"/>
      <c r="AA126" s="115"/>
      <c r="AB126" s="311"/>
      <c r="AC126" s="115"/>
      <c r="AD126" s="115"/>
    </row>
    <row r="127" spans="1:30">
      <c r="A127" s="265" t="s">
        <v>505</v>
      </c>
      <c r="B127" s="115"/>
      <c r="C127" s="115"/>
      <c r="D127" s="115"/>
      <c r="E127" s="105"/>
      <c r="F127" s="115"/>
      <c r="G127" s="115"/>
      <c r="H127" s="115"/>
      <c r="I127" s="260">
        <v>0</v>
      </c>
      <c r="J127" s="310"/>
      <c r="K127" s="311"/>
      <c r="L127" s="115">
        <v>0</v>
      </c>
      <c r="M127" s="115"/>
      <c r="N127" s="311"/>
      <c r="O127" s="115"/>
      <c r="P127" s="311"/>
      <c r="Q127" s="115"/>
      <c r="R127" s="311"/>
      <c r="S127" s="115"/>
      <c r="T127" s="311"/>
      <c r="U127" s="115"/>
      <c r="V127" s="311"/>
      <c r="W127" s="115"/>
      <c r="X127" s="311"/>
      <c r="Y127" s="115"/>
      <c r="Z127" s="311"/>
      <c r="AA127" s="115"/>
      <c r="AB127" s="311"/>
      <c r="AC127" s="115"/>
      <c r="AD127" s="115"/>
    </row>
    <row r="128" spans="1:30">
      <c r="A128" s="255" t="s">
        <v>507</v>
      </c>
      <c r="B128" s="115"/>
      <c r="C128" s="115"/>
      <c r="D128" s="115"/>
      <c r="E128" s="105"/>
      <c r="F128" s="115"/>
      <c r="G128" s="115"/>
      <c r="H128" s="115"/>
      <c r="I128" s="260"/>
      <c r="J128" s="310"/>
      <c r="K128" s="311"/>
      <c r="L128" s="115"/>
      <c r="M128" s="115"/>
      <c r="N128" s="311"/>
      <c r="O128" s="115"/>
      <c r="P128" s="311"/>
      <c r="Q128" s="115"/>
      <c r="R128" s="311"/>
      <c r="S128" s="115"/>
      <c r="T128" s="311"/>
      <c r="U128" s="115"/>
      <c r="V128" s="311"/>
      <c r="W128" s="115"/>
      <c r="X128" s="311"/>
      <c r="Y128" s="115"/>
      <c r="Z128" s="311"/>
      <c r="AA128" s="115"/>
      <c r="AB128" s="311"/>
      <c r="AC128" s="115"/>
      <c r="AD128" s="115"/>
    </row>
    <row r="129" spans="1:30">
      <c r="A129" s="255" t="s">
        <v>361</v>
      </c>
      <c r="B129" s="115">
        <v>156835.29999999999</v>
      </c>
      <c r="C129" s="115"/>
      <c r="D129" s="115" t="s">
        <v>74</v>
      </c>
      <c r="E129" s="105"/>
      <c r="F129" s="115">
        <v>175000</v>
      </c>
      <c r="G129" s="115"/>
      <c r="H129" s="115">
        <v>156835.29999999999</v>
      </c>
      <c r="I129" s="260">
        <v>18164.700000000012</v>
      </c>
      <c r="J129" s="310"/>
      <c r="K129" s="311"/>
      <c r="L129" s="115">
        <v>18164.700000000012</v>
      </c>
      <c r="M129" s="115"/>
      <c r="N129" s="311"/>
      <c r="O129" s="115"/>
      <c r="P129" s="311"/>
      <c r="Q129" s="115"/>
      <c r="R129" s="311"/>
      <c r="S129" s="115"/>
      <c r="T129" s="311"/>
      <c r="U129" s="115"/>
      <c r="V129" s="311"/>
      <c r="W129" s="115"/>
      <c r="X129" s="311"/>
      <c r="Y129" s="115"/>
      <c r="Z129" s="311"/>
      <c r="AA129" s="115"/>
      <c r="AB129" s="311"/>
      <c r="AC129" s="115"/>
      <c r="AD129" s="115"/>
    </row>
    <row r="130" spans="1:30">
      <c r="A130" s="255" t="s">
        <v>509</v>
      </c>
      <c r="B130" s="115"/>
      <c r="C130" s="115"/>
      <c r="D130" s="115"/>
      <c r="E130" s="105"/>
      <c r="F130" s="115"/>
      <c r="G130" s="115"/>
      <c r="H130" s="115"/>
      <c r="I130" s="260">
        <v>0</v>
      </c>
      <c r="J130" s="310"/>
      <c r="K130" s="311"/>
      <c r="L130" s="115">
        <v>0</v>
      </c>
      <c r="M130" s="115"/>
      <c r="N130" s="311"/>
      <c r="O130" s="115"/>
      <c r="P130" s="311"/>
      <c r="Q130" s="115"/>
      <c r="R130" s="311"/>
      <c r="S130" s="115"/>
      <c r="T130" s="311"/>
      <c r="U130" s="115"/>
      <c r="V130" s="311"/>
      <c r="W130" s="115"/>
      <c r="X130" s="311"/>
      <c r="Y130" s="115"/>
      <c r="Z130" s="311"/>
      <c r="AA130" s="115"/>
      <c r="AB130" s="311"/>
      <c r="AC130" s="115"/>
      <c r="AD130" s="115"/>
    </row>
    <row r="131" spans="1:30">
      <c r="A131" s="255" t="s">
        <v>909</v>
      </c>
      <c r="B131" s="115"/>
      <c r="C131" s="115"/>
      <c r="D131" s="115"/>
      <c r="E131" s="105"/>
      <c r="F131" s="115"/>
      <c r="G131" s="115"/>
      <c r="H131" s="115"/>
      <c r="I131" s="260">
        <v>0</v>
      </c>
      <c r="J131" s="310"/>
      <c r="K131" s="311"/>
      <c r="L131" s="115">
        <v>0</v>
      </c>
      <c r="M131" s="115"/>
      <c r="N131" s="311"/>
      <c r="O131" s="115"/>
      <c r="P131" s="311"/>
      <c r="Q131" s="115"/>
      <c r="R131" s="311"/>
      <c r="S131" s="115"/>
      <c r="T131" s="311"/>
      <c r="U131" s="115"/>
      <c r="V131" s="311"/>
      <c r="W131" s="115"/>
      <c r="X131" s="311"/>
      <c r="Y131" s="115"/>
      <c r="Z131" s="311"/>
      <c r="AA131" s="115"/>
      <c r="AB131" s="311"/>
      <c r="AC131" s="115"/>
      <c r="AD131" s="115"/>
    </row>
    <row r="132" spans="1:30">
      <c r="A132" s="255" t="s">
        <v>513</v>
      </c>
      <c r="B132" s="115"/>
      <c r="C132" s="115"/>
      <c r="D132" s="115"/>
      <c r="E132" s="105"/>
      <c r="F132" s="115"/>
      <c r="G132" s="115"/>
      <c r="H132" s="115"/>
      <c r="I132" s="260">
        <v>0</v>
      </c>
      <c r="J132" s="310"/>
      <c r="K132" s="311"/>
      <c r="L132" s="115">
        <v>0</v>
      </c>
      <c r="M132" s="115"/>
      <c r="N132" s="311"/>
      <c r="O132" s="115"/>
      <c r="P132" s="311"/>
      <c r="Q132" s="115"/>
      <c r="R132" s="311"/>
      <c r="S132" s="115"/>
      <c r="T132" s="311"/>
      <c r="U132" s="115"/>
      <c r="V132" s="311"/>
      <c r="W132" s="115"/>
      <c r="X132" s="311"/>
      <c r="Y132" s="115"/>
      <c r="Z132" s="311"/>
      <c r="AA132" s="115"/>
      <c r="AB132" s="311"/>
      <c r="AC132" s="115"/>
      <c r="AD132" s="115"/>
    </row>
    <row r="133" spans="1:30">
      <c r="A133" s="255" t="s">
        <v>516</v>
      </c>
      <c r="B133" s="115"/>
      <c r="C133" s="115"/>
      <c r="D133" s="115"/>
      <c r="E133" s="105"/>
      <c r="F133" s="115"/>
      <c r="G133" s="115"/>
      <c r="H133" s="115"/>
      <c r="I133" s="260">
        <v>0</v>
      </c>
      <c r="J133" s="310"/>
      <c r="K133" s="311"/>
      <c r="L133" s="115">
        <v>0</v>
      </c>
      <c r="M133" s="115"/>
      <c r="N133" s="311"/>
      <c r="O133" s="115"/>
      <c r="P133" s="311"/>
      <c r="Q133" s="115"/>
      <c r="R133" s="311"/>
      <c r="S133" s="115"/>
      <c r="T133" s="311"/>
      <c r="U133" s="115"/>
      <c r="V133" s="311"/>
      <c r="W133" s="115"/>
      <c r="X133" s="311"/>
      <c r="Y133" s="115"/>
      <c r="Z133" s="311"/>
      <c r="AA133" s="115"/>
      <c r="AB133" s="311"/>
      <c r="AC133" s="115"/>
      <c r="AD133" s="115"/>
    </row>
    <row r="134" spans="1:30">
      <c r="A134" s="255" t="s">
        <v>518</v>
      </c>
      <c r="B134" s="115"/>
      <c r="C134" s="115"/>
      <c r="D134" s="115"/>
      <c r="E134" s="105"/>
      <c r="F134" s="115"/>
      <c r="G134" s="115"/>
      <c r="H134" s="115"/>
      <c r="I134" s="260">
        <v>0</v>
      </c>
      <c r="J134" s="310"/>
      <c r="K134" s="311"/>
      <c r="L134" s="115">
        <v>0</v>
      </c>
      <c r="M134" s="115"/>
      <c r="N134" s="311"/>
      <c r="O134" s="115"/>
      <c r="P134" s="311"/>
      <c r="Q134" s="115"/>
      <c r="R134" s="311"/>
      <c r="S134" s="115"/>
      <c r="T134" s="311"/>
      <c r="U134" s="115"/>
      <c r="V134" s="311"/>
      <c r="W134" s="115"/>
      <c r="X134" s="311"/>
      <c r="Y134" s="115"/>
      <c r="Z134" s="311"/>
      <c r="AA134" s="115"/>
      <c r="AB134" s="311"/>
      <c r="AC134" s="115"/>
      <c r="AD134" s="115"/>
    </row>
    <row r="135" spans="1:30">
      <c r="A135" s="255" t="s">
        <v>153</v>
      </c>
      <c r="B135" s="115"/>
      <c r="C135" s="115"/>
      <c r="D135" s="115"/>
      <c r="E135" s="105"/>
      <c r="F135" s="115"/>
      <c r="G135" s="115"/>
      <c r="H135" s="115"/>
      <c r="I135" s="260">
        <v>0</v>
      </c>
      <c r="J135" s="310"/>
      <c r="K135" s="311"/>
      <c r="L135" s="115">
        <v>0</v>
      </c>
      <c r="M135" s="115"/>
      <c r="N135" s="311"/>
      <c r="O135" s="115"/>
      <c r="P135" s="311"/>
      <c r="Q135" s="115"/>
      <c r="R135" s="311"/>
      <c r="S135" s="115"/>
      <c r="T135" s="311"/>
      <c r="U135" s="115"/>
      <c r="V135" s="311"/>
      <c r="W135" s="115"/>
      <c r="X135" s="311"/>
      <c r="Y135" s="115"/>
      <c r="Z135" s="311"/>
      <c r="AA135" s="115"/>
      <c r="AB135" s="311"/>
      <c r="AC135" s="115"/>
      <c r="AD135" s="115"/>
    </row>
    <row r="136" spans="1:30">
      <c r="A136" s="255" t="s">
        <v>321</v>
      </c>
      <c r="B136" s="115"/>
      <c r="C136" s="115"/>
      <c r="D136" s="115" t="s">
        <v>74</v>
      </c>
      <c r="E136" s="105"/>
      <c r="F136" s="115">
        <v>294000</v>
      </c>
      <c r="G136" s="115"/>
      <c r="H136" s="115"/>
      <c r="I136" s="260">
        <v>294000</v>
      </c>
      <c r="J136" s="310"/>
      <c r="K136" s="311">
        <v>294000</v>
      </c>
      <c r="L136" s="115">
        <v>0</v>
      </c>
      <c r="M136" s="115"/>
      <c r="N136" s="311"/>
      <c r="O136" s="115"/>
      <c r="P136" s="311"/>
      <c r="Q136" s="115"/>
      <c r="R136" s="311"/>
      <c r="S136" s="115"/>
      <c r="T136" s="311"/>
      <c r="U136" s="115"/>
      <c r="V136" s="311"/>
      <c r="W136" s="115"/>
      <c r="X136" s="311"/>
      <c r="Y136" s="115"/>
      <c r="Z136" s="311"/>
      <c r="AA136" s="115"/>
      <c r="AB136" s="311"/>
      <c r="AC136" s="115"/>
      <c r="AD136" s="115"/>
    </row>
    <row r="137" spans="1:30">
      <c r="A137" s="255" t="s">
        <v>294</v>
      </c>
      <c r="B137" s="115"/>
      <c r="C137" s="115"/>
      <c r="D137" s="115" t="s">
        <v>620</v>
      </c>
      <c r="E137" s="105"/>
      <c r="F137" s="115">
        <v>2000000</v>
      </c>
      <c r="G137" s="115"/>
      <c r="H137" s="115"/>
      <c r="I137" s="260">
        <v>2000000</v>
      </c>
      <c r="J137" s="310"/>
      <c r="K137" s="311">
        <v>50000</v>
      </c>
      <c r="L137" s="115">
        <v>1950000</v>
      </c>
      <c r="M137" s="115"/>
      <c r="N137" s="311">
        <v>1200000</v>
      </c>
      <c r="O137" s="115"/>
      <c r="P137" s="311">
        <v>750000</v>
      </c>
      <c r="Q137" s="115"/>
      <c r="R137" s="311"/>
      <c r="S137" s="115"/>
      <c r="T137" s="311"/>
      <c r="U137" s="115"/>
      <c r="V137" s="311"/>
      <c r="W137" s="115"/>
      <c r="X137" s="311"/>
      <c r="Y137" s="115"/>
      <c r="Z137" s="311"/>
      <c r="AA137" s="115"/>
      <c r="AB137" s="311"/>
      <c r="AC137" s="115"/>
      <c r="AD137" s="115"/>
    </row>
    <row r="138" spans="1:30">
      <c r="A138" s="255" t="s">
        <v>520</v>
      </c>
      <c r="B138" s="115"/>
      <c r="C138" s="115"/>
      <c r="D138" s="115"/>
      <c r="E138" s="105"/>
      <c r="F138" s="115"/>
      <c r="G138" s="115"/>
      <c r="H138" s="115"/>
      <c r="I138" s="260">
        <v>0</v>
      </c>
      <c r="J138" s="310"/>
      <c r="K138" s="311"/>
      <c r="L138" s="115">
        <v>0</v>
      </c>
      <c r="M138" s="115"/>
      <c r="N138" s="311"/>
      <c r="O138" s="115"/>
      <c r="P138" s="311"/>
      <c r="Q138" s="115"/>
      <c r="R138" s="311"/>
      <c r="S138" s="115"/>
      <c r="T138" s="311"/>
      <c r="U138" s="115"/>
      <c r="V138" s="311"/>
      <c r="W138" s="115"/>
      <c r="X138" s="311"/>
      <c r="Y138" s="115"/>
      <c r="Z138" s="311"/>
      <c r="AA138" s="115"/>
      <c r="AB138" s="311"/>
      <c r="AC138" s="115"/>
      <c r="AD138" s="115"/>
    </row>
    <row r="139" spans="1:30">
      <c r="A139" s="288" t="s">
        <v>1218</v>
      </c>
      <c r="B139" s="296"/>
      <c r="C139" s="296"/>
      <c r="D139" s="296"/>
      <c r="E139" s="217"/>
      <c r="F139" s="296"/>
      <c r="G139" s="296"/>
      <c r="H139" s="296"/>
      <c r="I139" s="296"/>
      <c r="J139" s="314"/>
      <c r="K139" s="314">
        <v>15000</v>
      </c>
      <c r="L139" s="296"/>
      <c r="M139" s="296"/>
      <c r="N139" s="314"/>
      <c r="O139" s="296"/>
      <c r="P139" s="314"/>
      <c r="Q139" s="296"/>
      <c r="R139" s="314"/>
      <c r="S139" s="296"/>
      <c r="T139" s="314"/>
      <c r="U139" s="296"/>
      <c r="V139" s="314"/>
      <c r="W139" s="296"/>
      <c r="X139" s="314"/>
      <c r="Y139" s="296"/>
      <c r="Z139" s="314"/>
      <c r="AA139" s="296"/>
      <c r="AB139" s="314"/>
      <c r="AC139" s="296"/>
      <c r="AD139" s="296"/>
    </row>
    <row r="140" spans="1:30">
      <c r="A140" s="255" t="s">
        <v>522</v>
      </c>
      <c r="B140" s="115"/>
      <c r="C140" s="115"/>
      <c r="D140" s="115"/>
      <c r="E140" s="105"/>
      <c r="F140" s="115"/>
      <c r="G140" s="115"/>
      <c r="H140" s="115"/>
      <c r="I140" s="260">
        <v>0</v>
      </c>
      <c r="J140" s="310"/>
      <c r="K140" s="311"/>
      <c r="L140" s="115">
        <v>0</v>
      </c>
      <c r="M140" s="115"/>
      <c r="N140" s="311"/>
      <c r="O140" s="115"/>
      <c r="P140" s="311"/>
      <c r="Q140" s="115"/>
      <c r="R140" s="311"/>
      <c r="S140" s="115"/>
      <c r="T140" s="311"/>
      <c r="U140" s="115"/>
      <c r="V140" s="311"/>
      <c r="W140" s="115"/>
      <c r="X140" s="311"/>
      <c r="Y140" s="115"/>
      <c r="Z140" s="311"/>
      <c r="AA140" s="115"/>
      <c r="AB140" s="311"/>
      <c r="AC140" s="115"/>
      <c r="AD140" s="115"/>
    </row>
    <row r="141" spans="1:30">
      <c r="A141" s="255" t="s">
        <v>419</v>
      </c>
      <c r="B141" s="115">
        <v>9628</v>
      </c>
      <c r="C141" s="115"/>
      <c r="D141" s="115" t="s">
        <v>74</v>
      </c>
      <c r="E141" s="105" t="s">
        <v>831</v>
      </c>
      <c r="F141" s="115">
        <v>232000</v>
      </c>
      <c r="G141" s="115"/>
      <c r="H141" s="115">
        <v>9628</v>
      </c>
      <c r="I141" s="260">
        <v>222372</v>
      </c>
      <c r="J141" s="310"/>
      <c r="K141" s="311">
        <v>222372</v>
      </c>
      <c r="L141" s="115">
        <v>0</v>
      </c>
      <c r="M141" s="115"/>
      <c r="N141" s="311"/>
      <c r="O141" s="115"/>
      <c r="P141" s="311"/>
      <c r="Q141" s="115"/>
      <c r="R141" s="311"/>
      <c r="S141" s="115"/>
      <c r="T141" s="311"/>
      <c r="U141" s="115"/>
      <c r="V141" s="311"/>
      <c r="W141" s="115"/>
      <c r="X141" s="311"/>
      <c r="Y141" s="115"/>
      <c r="Z141" s="311"/>
      <c r="AA141" s="115"/>
      <c r="AB141" s="311"/>
      <c r="AC141" s="115"/>
      <c r="AD141" s="115"/>
    </row>
    <row r="142" spans="1:30">
      <c r="A142" s="255" t="s">
        <v>208</v>
      </c>
      <c r="B142" s="115"/>
      <c r="C142" s="115"/>
      <c r="D142" s="115"/>
      <c r="E142" s="105"/>
      <c r="F142" s="115"/>
      <c r="G142" s="115"/>
      <c r="H142" s="115"/>
      <c r="I142" s="260"/>
      <c r="J142" s="310"/>
      <c r="K142" s="311"/>
      <c r="L142" s="115"/>
      <c r="M142" s="115"/>
      <c r="N142" s="311"/>
      <c r="O142" s="115"/>
      <c r="P142" s="311">
        <v>10000</v>
      </c>
      <c r="Q142" s="115"/>
      <c r="R142" s="311">
        <v>10000</v>
      </c>
      <c r="S142" s="115"/>
      <c r="T142" s="311">
        <v>10000</v>
      </c>
      <c r="U142" s="115"/>
      <c r="V142" s="311"/>
      <c r="W142" s="115"/>
      <c r="X142" s="311">
        <v>10000</v>
      </c>
      <c r="Y142" s="115"/>
      <c r="Z142" s="311">
        <v>10000</v>
      </c>
      <c r="AA142" s="115"/>
      <c r="AB142" s="311"/>
      <c r="AC142" s="115"/>
      <c r="AD142" s="115"/>
    </row>
    <row r="143" spans="1:30">
      <c r="A143" s="248" t="s">
        <v>851</v>
      </c>
      <c r="B143" s="115"/>
      <c r="C143" s="260"/>
      <c r="D143" s="260"/>
      <c r="E143" s="110"/>
      <c r="F143" s="260"/>
      <c r="G143" s="260"/>
      <c r="H143" s="260"/>
      <c r="I143" s="260"/>
      <c r="J143" s="310"/>
      <c r="K143" s="310">
        <v>3000</v>
      </c>
      <c r="L143" s="260"/>
      <c r="M143" s="260"/>
      <c r="N143" s="310">
        <v>3000</v>
      </c>
      <c r="O143" s="260"/>
      <c r="P143" s="310">
        <v>3000</v>
      </c>
      <c r="Q143" s="260"/>
      <c r="R143" s="310">
        <v>3000</v>
      </c>
      <c r="S143" s="260"/>
      <c r="T143" s="310">
        <v>3000</v>
      </c>
      <c r="U143" s="260"/>
      <c r="V143" s="310">
        <v>3000</v>
      </c>
      <c r="W143" s="260"/>
      <c r="X143" s="310">
        <v>3000</v>
      </c>
      <c r="Y143" s="260"/>
      <c r="Z143" s="310"/>
      <c r="AA143" s="260"/>
      <c r="AB143" s="310"/>
      <c r="AC143" s="260"/>
      <c r="AD143" s="260"/>
    </row>
    <row r="144" spans="1:30">
      <c r="A144" s="255" t="s">
        <v>211</v>
      </c>
      <c r="B144" s="115"/>
      <c r="C144" s="115"/>
      <c r="D144" s="115"/>
      <c r="E144" s="105"/>
      <c r="F144" s="115"/>
      <c r="G144" s="115"/>
      <c r="H144" s="115"/>
      <c r="I144" s="260">
        <v>0</v>
      </c>
      <c r="J144" s="310"/>
      <c r="K144" s="311"/>
      <c r="L144" s="115">
        <v>0</v>
      </c>
      <c r="M144" s="115"/>
      <c r="N144" s="311"/>
      <c r="O144" s="115"/>
      <c r="P144" s="311"/>
      <c r="Q144" s="115"/>
      <c r="R144" s="311"/>
      <c r="S144" s="115"/>
      <c r="T144" s="311"/>
      <c r="U144" s="115"/>
      <c r="V144" s="311"/>
      <c r="W144" s="115"/>
      <c r="X144" s="311"/>
      <c r="Y144" s="115"/>
      <c r="Z144" s="311"/>
      <c r="AA144" s="115"/>
      <c r="AB144" s="311"/>
      <c r="AC144" s="115"/>
      <c r="AD144" s="115"/>
    </row>
    <row r="145" spans="1:30">
      <c r="A145" s="255" t="s">
        <v>213</v>
      </c>
      <c r="B145" s="115"/>
      <c r="C145" s="115"/>
      <c r="D145" s="115"/>
      <c r="E145" s="105"/>
      <c r="F145" s="115"/>
      <c r="G145" s="115"/>
      <c r="H145" s="115"/>
      <c r="I145" s="260"/>
      <c r="J145" s="310"/>
      <c r="K145" s="311">
        <v>15000</v>
      </c>
      <c r="L145" s="115"/>
      <c r="M145" s="115"/>
      <c r="N145" s="311">
        <v>15000</v>
      </c>
      <c r="O145" s="115"/>
      <c r="P145" s="311">
        <v>15000</v>
      </c>
      <c r="Q145" s="115"/>
      <c r="R145" s="311">
        <v>15000</v>
      </c>
      <c r="S145" s="115"/>
      <c r="T145" s="311">
        <v>5000</v>
      </c>
      <c r="U145" s="115"/>
      <c r="V145" s="311">
        <v>5000</v>
      </c>
      <c r="W145" s="115"/>
      <c r="X145" s="311">
        <v>5000</v>
      </c>
      <c r="Y145" s="115"/>
      <c r="Z145" s="311">
        <v>5000</v>
      </c>
      <c r="AA145" s="115"/>
      <c r="AB145" s="311"/>
      <c r="AC145" s="115"/>
      <c r="AD145" s="115"/>
    </row>
    <row r="146" spans="1:30">
      <c r="A146" s="255" t="s">
        <v>182</v>
      </c>
      <c r="B146" s="115"/>
      <c r="C146" s="115"/>
      <c r="D146" s="115"/>
      <c r="E146" s="105"/>
      <c r="F146" s="115"/>
      <c r="G146" s="115"/>
      <c r="H146" s="115"/>
      <c r="I146" s="260">
        <v>0</v>
      </c>
      <c r="J146" s="310"/>
      <c r="K146" s="311"/>
      <c r="L146" s="115">
        <v>0</v>
      </c>
      <c r="M146" s="115"/>
      <c r="N146" s="311"/>
      <c r="O146" s="115"/>
      <c r="P146" s="311"/>
      <c r="Q146" s="115"/>
      <c r="R146" s="311"/>
      <c r="S146" s="115"/>
      <c r="T146" s="311"/>
      <c r="U146" s="115"/>
      <c r="V146" s="311"/>
      <c r="W146" s="115"/>
      <c r="X146" s="311"/>
      <c r="Y146" s="115"/>
      <c r="Z146" s="311"/>
      <c r="AA146" s="115"/>
      <c r="AB146" s="311"/>
      <c r="AC146" s="115"/>
      <c r="AD146" s="115"/>
    </row>
    <row r="147" spans="1:30">
      <c r="A147" s="255" t="s">
        <v>185</v>
      </c>
      <c r="B147" s="260"/>
      <c r="C147" s="260"/>
      <c r="D147" s="260"/>
      <c r="E147" s="260"/>
      <c r="F147" s="260"/>
      <c r="G147" s="260"/>
      <c r="H147" s="260"/>
      <c r="I147" s="260">
        <v>0</v>
      </c>
      <c r="J147" s="310"/>
      <c r="K147" s="310"/>
      <c r="L147" s="260">
        <v>0</v>
      </c>
      <c r="M147" s="260"/>
      <c r="N147" s="310"/>
      <c r="O147" s="260"/>
      <c r="P147" s="310"/>
      <c r="Q147" s="260"/>
      <c r="R147" s="310"/>
      <c r="S147" s="260"/>
      <c r="T147" s="310"/>
      <c r="U147" s="260"/>
      <c r="V147" s="310"/>
      <c r="W147" s="260"/>
      <c r="X147" s="310"/>
      <c r="Y147" s="260"/>
      <c r="Z147" s="310"/>
      <c r="AA147" s="260"/>
      <c r="AB147" s="310"/>
      <c r="AC147" s="115"/>
      <c r="AD147" s="115"/>
    </row>
    <row r="148" spans="1:30">
      <c r="A148" s="255" t="s">
        <v>187</v>
      </c>
      <c r="B148" s="115"/>
      <c r="C148" s="115">
        <v>8000</v>
      </c>
      <c r="D148" s="115"/>
      <c r="E148" s="105"/>
      <c r="F148" s="115"/>
      <c r="G148" s="115">
        <v>8000</v>
      </c>
      <c r="H148" s="115"/>
      <c r="I148" s="260"/>
      <c r="J148" s="310"/>
      <c r="K148" s="311">
        <v>60000</v>
      </c>
      <c r="L148" s="115"/>
      <c r="M148" s="115"/>
      <c r="N148" s="311">
        <v>60000</v>
      </c>
      <c r="O148" s="115"/>
      <c r="P148" s="311">
        <v>60000</v>
      </c>
      <c r="Q148" s="115"/>
      <c r="R148" s="311">
        <v>60000</v>
      </c>
      <c r="S148" s="115"/>
      <c r="T148" s="311">
        <v>60000</v>
      </c>
      <c r="U148" s="115"/>
      <c r="V148" s="311">
        <v>60000</v>
      </c>
      <c r="W148" s="115"/>
      <c r="X148" s="311">
        <v>60000</v>
      </c>
      <c r="Y148" s="115"/>
      <c r="Z148" s="311">
        <v>60000</v>
      </c>
      <c r="AA148" s="115"/>
      <c r="AB148" s="311">
        <v>60000</v>
      </c>
      <c r="AC148" s="115"/>
      <c r="AD148" s="115"/>
    </row>
    <row r="149" spans="1:30">
      <c r="A149" s="248" t="s">
        <v>847</v>
      </c>
      <c r="B149" s="115"/>
      <c r="C149" s="260"/>
      <c r="D149" s="260"/>
      <c r="E149" s="110"/>
      <c r="F149" s="260"/>
      <c r="G149" s="260"/>
      <c r="H149" s="260"/>
      <c r="I149" s="260"/>
      <c r="J149" s="310"/>
      <c r="K149" s="310"/>
      <c r="L149" s="260"/>
      <c r="M149" s="260"/>
      <c r="N149" s="310"/>
      <c r="O149" s="260"/>
      <c r="P149" s="310"/>
      <c r="Q149" s="260"/>
      <c r="R149" s="310"/>
      <c r="S149" s="260"/>
      <c r="T149" s="310"/>
      <c r="U149" s="260"/>
      <c r="V149" s="310"/>
      <c r="W149" s="260"/>
      <c r="X149" s="310"/>
      <c r="Y149" s="260"/>
      <c r="Z149" s="310"/>
      <c r="AA149" s="260"/>
      <c r="AB149" s="310"/>
      <c r="AC149" s="260"/>
      <c r="AD149" s="260"/>
    </row>
    <row r="150" spans="1:30">
      <c r="A150" s="255" t="s">
        <v>524</v>
      </c>
      <c r="B150" s="115"/>
      <c r="C150" s="115"/>
      <c r="D150" s="115"/>
      <c r="E150" s="105"/>
      <c r="F150" s="115"/>
      <c r="G150" s="115"/>
      <c r="H150" s="115"/>
      <c r="I150" s="260">
        <v>0</v>
      </c>
      <c r="J150" s="310"/>
      <c r="K150" s="311"/>
      <c r="L150" s="115">
        <v>0</v>
      </c>
      <c r="M150" s="115"/>
      <c r="N150" s="311" t="s">
        <v>804</v>
      </c>
      <c r="O150" s="115"/>
      <c r="P150" s="311"/>
      <c r="Q150" s="115"/>
      <c r="R150" s="311"/>
      <c r="S150" s="115"/>
      <c r="T150" s="311"/>
      <c r="U150" s="115"/>
      <c r="V150" s="311"/>
      <c r="W150" s="115"/>
      <c r="X150" s="311"/>
      <c r="Y150" s="115"/>
      <c r="Z150" s="311"/>
      <c r="AA150" s="115"/>
      <c r="AB150" s="311"/>
      <c r="AC150" s="115"/>
      <c r="AD150" s="115"/>
    </row>
    <row r="151" spans="1:30">
      <c r="A151" s="255" t="s">
        <v>1216</v>
      </c>
      <c r="B151" s="296"/>
      <c r="C151" s="296"/>
      <c r="D151" s="296"/>
      <c r="E151" s="217"/>
      <c r="F151" s="296"/>
      <c r="G151" s="296"/>
      <c r="H151" s="296"/>
      <c r="I151" s="296"/>
      <c r="J151" s="314"/>
      <c r="K151" s="314">
        <v>20000</v>
      </c>
      <c r="L151" s="296"/>
      <c r="M151" s="296"/>
      <c r="N151" s="314"/>
      <c r="O151" s="296"/>
      <c r="P151" s="314"/>
      <c r="Q151" s="296"/>
      <c r="R151" s="314"/>
      <c r="S151" s="296"/>
      <c r="T151" s="314"/>
      <c r="U151" s="296"/>
      <c r="V151" s="314"/>
      <c r="W151" s="296"/>
      <c r="X151" s="314"/>
      <c r="Y151" s="296"/>
      <c r="Z151" s="314"/>
      <c r="AA151" s="296"/>
      <c r="AB151" s="314"/>
      <c r="AC151" s="296"/>
      <c r="AD151" s="296"/>
    </row>
    <row r="152" spans="1:30">
      <c r="A152" s="255" t="s">
        <v>325</v>
      </c>
      <c r="B152" s="115"/>
      <c r="C152" s="115"/>
      <c r="D152" s="115"/>
      <c r="E152" s="105"/>
      <c r="F152" s="115"/>
      <c r="G152" s="115"/>
      <c r="H152" s="115"/>
      <c r="I152" s="260">
        <v>0</v>
      </c>
      <c r="J152" s="310"/>
      <c r="K152" s="311"/>
      <c r="L152" s="115">
        <v>0</v>
      </c>
      <c r="M152" s="115"/>
      <c r="N152" s="311"/>
      <c r="O152" s="115"/>
      <c r="P152" s="311"/>
      <c r="Q152" s="115"/>
      <c r="R152" s="311"/>
      <c r="S152" s="115"/>
      <c r="T152" s="311"/>
      <c r="U152" s="115"/>
      <c r="V152" s="311"/>
      <c r="W152" s="115"/>
      <c r="X152" s="311"/>
      <c r="Y152" s="115"/>
      <c r="Z152" s="311"/>
      <c r="AA152" s="115"/>
      <c r="AB152" s="311"/>
      <c r="AC152" s="115"/>
      <c r="AD152" s="115"/>
    </row>
    <row r="153" spans="1:30">
      <c r="A153" s="288" t="s">
        <v>1217</v>
      </c>
      <c r="B153" s="115"/>
      <c r="C153" s="296"/>
      <c r="D153" s="296"/>
      <c r="E153" s="217"/>
      <c r="F153" s="296"/>
      <c r="G153" s="296"/>
      <c r="H153" s="296"/>
      <c r="I153" s="296"/>
      <c r="J153" s="314"/>
      <c r="K153" s="314">
        <v>8000</v>
      </c>
      <c r="L153" s="296"/>
      <c r="M153" s="296"/>
      <c r="N153" s="314"/>
      <c r="O153" s="296"/>
      <c r="P153" s="314"/>
      <c r="Q153" s="296"/>
      <c r="R153" s="314"/>
      <c r="S153" s="296"/>
      <c r="T153" s="314"/>
      <c r="U153" s="296"/>
      <c r="V153" s="314"/>
      <c r="W153" s="296"/>
      <c r="X153" s="314"/>
      <c r="Y153" s="296"/>
      <c r="Z153" s="314"/>
      <c r="AA153" s="296"/>
      <c r="AB153" s="314"/>
      <c r="AC153" s="296"/>
      <c r="AD153" s="296"/>
    </row>
    <row r="154" spans="1:30">
      <c r="A154" s="255" t="s">
        <v>587</v>
      </c>
      <c r="B154" s="115"/>
      <c r="C154" s="115"/>
      <c r="D154" s="115"/>
      <c r="E154" s="105"/>
      <c r="F154" s="115"/>
      <c r="G154" s="115"/>
      <c r="H154" s="115"/>
      <c r="I154" s="260">
        <v>0</v>
      </c>
      <c r="J154" s="310"/>
      <c r="K154" s="311"/>
      <c r="L154" s="115">
        <v>0</v>
      </c>
      <c r="M154" s="115"/>
      <c r="N154" s="311"/>
      <c r="O154" s="115"/>
      <c r="P154" s="311"/>
      <c r="Q154" s="115"/>
      <c r="R154" s="311"/>
      <c r="S154" s="115"/>
      <c r="T154" s="311"/>
      <c r="U154" s="115"/>
      <c r="V154" s="311"/>
      <c r="W154" s="115"/>
      <c r="X154" s="311"/>
      <c r="Y154" s="115"/>
      <c r="Z154" s="311"/>
      <c r="AA154" s="115"/>
      <c r="AB154" s="311"/>
      <c r="AC154" s="115"/>
      <c r="AD154" s="115"/>
    </row>
    <row r="155" spans="1:30">
      <c r="A155" s="255" t="s">
        <v>589</v>
      </c>
      <c r="B155" s="115"/>
      <c r="C155" s="115"/>
      <c r="D155" s="115"/>
      <c r="E155" s="105"/>
      <c r="F155" s="115"/>
      <c r="G155" s="115"/>
      <c r="H155" s="115"/>
      <c r="I155" s="260">
        <v>0</v>
      </c>
      <c r="J155" s="310"/>
      <c r="K155" s="311"/>
      <c r="L155" s="115">
        <v>0</v>
      </c>
      <c r="M155" s="115"/>
      <c r="N155" s="311"/>
      <c r="O155" s="115"/>
      <c r="P155" s="311"/>
      <c r="Q155" s="115"/>
      <c r="R155" s="311"/>
      <c r="S155" s="115"/>
      <c r="T155" s="311"/>
      <c r="U155" s="115"/>
      <c r="V155" s="311"/>
      <c r="W155" s="115"/>
      <c r="X155" s="311"/>
      <c r="Y155" s="115"/>
      <c r="Z155" s="311"/>
      <c r="AA155" s="115"/>
      <c r="AB155" s="311"/>
      <c r="AC155" s="115"/>
      <c r="AD155" s="115"/>
    </row>
    <row r="156" spans="1:30">
      <c r="A156" s="255" t="s">
        <v>216</v>
      </c>
      <c r="B156" s="115"/>
      <c r="C156" s="115"/>
      <c r="D156" s="115"/>
      <c r="E156" s="105"/>
      <c r="F156" s="115"/>
      <c r="G156" s="115"/>
      <c r="H156" s="115"/>
      <c r="I156" s="260"/>
      <c r="J156" s="310"/>
      <c r="K156" s="311">
        <v>1500</v>
      </c>
      <c r="L156" s="115"/>
      <c r="M156" s="115"/>
      <c r="N156" s="311">
        <v>1500</v>
      </c>
      <c r="O156" s="115"/>
      <c r="P156" s="311">
        <v>1500</v>
      </c>
      <c r="Q156" s="115"/>
      <c r="R156" s="311"/>
      <c r="S156" s="115"/>
      <c r="T156" s="311"/>
      <c r="U156" s="115"/>
      <c r="V156" s="311"/>
      <c r="W156" s="115"/>
      <c r="X156" s="311"/>
      <c r="Y156" s="115"/>
      <c r="Z156" s="311"/>
      <c r="AA156" s="115"/>
      <c r="AB156" s="311"/>
      <c r="AC156" s="115"/>
      <c r="AD156" s="115"/>
    </row>
    <row r="157" spans="1:30">
      <c r="A157" s="255" t="s">
        <v>527</v>
      </c>
      <c r="B157" s="115"/>
      <c r="C157" s="115"/>
      <c r="D157" s="115"/>
      <c r="E157" s="105"/>
      <c r="F157" s="115"/>
      <c r="G157" s="115"/>
      <c r="H157" s="115"/>
      <c r="I157" s="260">
        <v>0</v>
      </c>
      <c r="J157" s="310"/>
      <c r="K157" s="311"/>
      <c r="L157" s="115">
        <v>0</v>
      </c>
      <c r="M157" s="115"/>
      <c r="N157" s="311"/>
      <c r="O157" s="115"/>
      <c r="P157" s="311"/>
      <c r="Q157" s="115"/>
      <c r="R157" s="311"/>
      <c r="S157" s="115"/>
      <c r="T157" s="311"/>
      <c r="U157" s="115"/>
      <c r="V157" s="311"/>
      <c r="W157" s="115"/>
      <c r="X157" s="311"/>
      <c r="Y157" s="115"/>
      <c r="Z157" s="311"/>
      <c r="AA157" s="115"/>
      <c r="AB157" s="311"/>
      <c r="AC157" s="115"/>
      <c r="AD157" s="115"/>
    </row>
    <row r="158" spans="1:30">
      <c r="A158" s="255" t="s">
        <v>1086</v>
      </c>
      <c r="B158" s="115"/>
      <c r="C158" s="115"/>
      <c r="D158" s="115"/>
      <c r="E158" s="105"/>
      <c r="F158" s="115"/>
      <c r="G158" s="115"/>
      <c r="H158" s="115"/>
      <c r="I158" s="115"/>
      <c r="J158" s="311"/>
      <c r="K158" s="311">
        <v>14000</v>
      </c>
      <c r="L158" s="115"/>
      <c r="M158" s="115"/>
      <c r="N158" s="311"/>
      <c r="O158" s="115"/>
      <c r="P158" s="311"/>
      <c r="Q158" s="115"/>
      <c r="R158" s="311"/>
      <c r="S158" s="115"/>
      <c r="T158" s="311"/>
      <c r="U158" s="115"/>
      <c r="V158" s="311"/>
      <c r="W158" s="115"/>
      <c r="X158" s="311"/>
      <c r="Y158" s="115"/>
      <c r="Z158" s="311"/>
      <c r="AA158" s="115"/>
      <c r="AB158" s="311"/>
      <c r="AC158" s="115"/>
      <c r="AD158" s="115"/>
    </row>
    <row r="159" spans="1:30">
      <c r="A159" s="255" t="s">
        <v>426</v>
      </c>
      <c r="B159" s="115"/>
      <c r="C159" s="115"/>
      <c r="D159" s="115" t="s">
        <v>620</v>
      </c>
      <c r="E159" s="105"/>
      <c r="F159" s="115">
        <v>600000</v>
      </c>
      <c r="G159" s="115"/>
      <c r="H159" s="115"/>
      <c r="I159" s="260">
        <v>600000</v>
      </c>
      <c r="J159" s="310"/>
      <c r="K159" s="311">
        <v>120000</v>
      </c>
      <c r="L159" s="115">
        <v>480000</v>
      </c>
      <c r="M159" s="115"/>
      <c r="N159" s="311">
        <v>120000</v>
      </c>
      <c r="O159" s="115"/>
      <c r="P159" s="311">
        <v>120000</v>
      </c>
      <c r="Q159" s="115"/>
      <c r="R159" s="311">
        <v>120000</v>
      </c>
      <c r="S159" s="115"/>
      <c r="T159" s="311">
        <v>120000</v>
      </c>
      <c r="U159" s="115"/>
      <c r="V159" s="311">
        <v>120000</v>
      </c>
      <c r="W159" s="115"/>
      <c r="X159" s="311"/>
      <c r="Y159" s="115"/>
      <c r="Z159" s="311"/>
      <c r="AA159" s="115"/>
      <c r="AB159" s="311"/>
      <c r="AC159" s="115"/>
      <c r="AD159" s="115"/>
    </row>
    <row r="160" spans="1:30">
      <c r="A160" s="255" t="s">
        <v>155</v>
      </c>
      <c r="B160" s="115"/>
      <c r="C160" s="115"/>
      <c r="D160" s="115"/>
      <c r="E160" s="105"/>
      <c r="F160" s="115"/>
      <c r="G160" s="115"/>
      <c r="H160" s="115"/>
      <c r="I160" s="260">
        <v>0</v>
      </c>
      <c r="J160" s="310"/>
      <c r="K160" s="311"/>
      <c r="L160" s="115">
        <v>0</v>
      </c>
      <c r="M160" s="115"/>
      <c r="N160" s="311"/>
      <c r="O160" s="115"/>
      <c r="P160" s="311"/>
      <c r="Q160" s="115"/>
      <c r="R160" s="311"/>
      <c r="S160" s="115"/>
      <c r="T160" s="311"/>
      <c r="U160" s="115"/>
      <c r="V160" s="311"/>
      <c r="W160" s="115"/>
      <c r="X160" s="311"/>
      <c r="Y160" s="115"/>
      <c r="Z160" s="311"/>
      <c r="AA160" s="115"/>
      <c r="AB160" s="311"/>
      <c r="AC160" s="115"/>
      <c r="AD160" s="115"/>
    </row>
    <row r="161" spans="1:30">
      <c r="A161" s="248" t="s">
        <v>870</v>
      </c>
      <c r="B161" s="115"/>
      <c r="C161" s="260"/>
      <c r="D161" s="260"/>
      <c r="E161" s="110"/>
      <c r="F161" s="260"/>
      <c r="G161" s="260"/>
      <c r="H161" s="260"/>
      <c r="I161" s="260"/>
      <c r="J161" s="310"/>
      <c r="K161" s="310">
        <v>6500</v>
      </c>
      <c r="L161" s="260"/>
      <c r="M161" s="260"/>
      <c r="N161" s="310"/>
      <c r="O161" s="260"/>
      <c r="P161" s="310"/>
      <c r="Q161" s="260"/>
      <c r="R161" s="310"/>
      <c r="S161" s="260"/>
      <c r="T161" s="310"/>
      <c r="U161" s="260"/>
      <c r="V161" s="310"/>
      <c r="W161" s="260"/>
      <c r="X161" s="310"/>
      <c r="Y161" s="260"/>
      <c r="Z161" s="310"/>
      <c r="AA161" s="260"/>
      <c r="AB161" s="310"/>
      <c r="AC161" s="260"/>
      <c r="AD161" s="260"/>
    </row>
    <row r="162" spans="1:30">
      <c r="A162" s="255" t="s">
        <v>1081</v>
      </c>
      <c r="B162" s="115"/>
      <c r="C162" s="115"/>
      <c r="D162" s="115"/>
      <c r="E162" s="105"/>
      <c r="F162" s="115"/>
      <c r="G162" s="115"/>
      <c r="H162" s="115"/>
      <c r="I162" s="115"/>
      <c r="J162" s="311"/>
      <c r="K162" s="311">
        <v>7000</v>
      </c>
      <c r="L162" s="115"/>
      <c r="M162" s="115"/>
      <c r="N162" s="311">
        <v>2000</v>
      </c>
      <c r="O162" s="115"/>
      <c r="P162" s="311">
        <v>2000</v>
      </c>
      <c r="Q162" s="115"/>
      <c r="R162" s="311">
        <v>2000</v>
      </c>
      <c r="S162" s="115"/>
      <c r="T162" s="311">
        <v>2000</v>
      </c>
      <c r="U162" s="115"/>
      <c r="V162" s="311">
        <v>2000</v>
      </c>
      <c r="W162" s="115"/>
      <c r="X162" s="311">
        <v>2000</v>
      </c>
      <c r="Y162" s="115"/>
      <c r="Z162" s="311">
        <v>2000</v>
      </c>
      <c r="AA162" s="115"/>
      <c r="AB162" s="311">
        <v>2000</v>
      </c>
      <c r="AC162" s="115"/>
      <c r="AD162" s="115"/>
    </row>
    <row r="163" spans="1:30">
      <c r="A163" s="255" t="s">
        <v>189</v>
      </c>
      <c r="B163" s="115"/>
      <c r="C163" s="115"/>
      <c r="D163" s="115"/>
      <c r="E163" s="105"/>
      <c r="F163" s="115"/>
      <c r="G163" s="115"/>
      <c r="H163" s="115"/>
      <c r="I163" s="260">
        <v>0</v>
      </c>
      <c r="J163" s="310"/>
      <c r="K163" s="311"/>
      <c r="L163" s="115">
        <v>0</v>
      </c>
      <c r="M163" s="115"/>
      <c r="N163" s="311"/>
      <c r="O163" s="115"/>
      <c r="P163" s="311"/>
      <c r="Q163" s="115"/>
      <c r="R163" s="311"/>
      <c r="S163" s="115"/>
      <c r="T163" s="311"/>
      <c r="U163" s="115"/>
      <c r="V163" s="311"/>
      <c r="W163" s="115"/>
      <c r="X163" s="311"/>
      <c r="Y163" s="115"/>
      <c r="Z163" s="311"/>
      <c r="AA163" s="115"/>
      <c r="AB163" s="311"/>
      <c r="AC163" s="115"/>
      <c r="AD163" s="115"/>
    </row>
    <row r="164" spans="1:30">
      <c r="A164" s="248" t="s">
        <v>848</v>
      </c>
      <c r="B164" s="115"/>
      <c r="C164" s="260"/>
      <c r="D164" s="260"/>
      <c r="E164" s="110"/>
      <c r="F164" s="260">
        <v>500000</v>
      </c>
      <c r="G164" s="260"/>
      <c r="H164" s="260"/>
      <c r="I164" s="260">
        <v>500000</v>
      </c>
      <c r="J164" s="310"/>
      <c r="K164" s="310"/>
      <c r="L164" s="260">
        <v>500000</v>
      </c>
      <c r="M164" s="260"/>
      <c r="N164" s="310">
        <v>50000</v>
      </c>
      <c r="O164" s="260"/>
      <c r="P164" s="310">
        <v>250000</v>
      </c>
      <c r="Q164" s="260"/>
      <c r="R164" s="310">
        <v>200000</v>
      </c>
      <c r="S164" s="260"/>
      <c r="T164" s="310"/>
      <c r="U164" s="260"/>
      <c r="V164" s="310"/>
      <c r="W164" s="260"/>
      <c r="X164" s="310"/>
      <c r="Y164" s="260"/>
      <c r="Z164" s="310"/>
      <c r="AA164" s="260"/>
      <c r="AB164" s="310"/>
      <c r="AC164" s="260"/>
      <c r="AD164" s="260"/>
    </row>
    <row r="165" spans="1:30">
      <c r="A165" s="255" t="s">
        <v>219</v>
      </c>
      <c r="B165" s="115"/>
      <c r="C165" s="115"/>
      <c r="D165" s="115"/>
      <c r="E165" s="105"/>
      <c r="F165" s="115"/>
      <c r="G165" s="115"/>
      <c r="H165" s="115"/>
      <c r="I165" s="260"/>
      <c r="J165" s="310"/>
      <c r="K165" s="311">
        <v>25000</v>
      </c>
      <c r="L165" s="115"/>
      <c r="M165" s="115"/>
      <c r="N165" s="311">
        <v>25000</v>
      </c>
      <c r="O165" s="115"/>
      <c r="P165" s="311">
        <v>25000</v>
      </c>
      <c r="Q165" s="115"/>
      <c r="R165" s="311">
        <v>25000</v>
      </c>
      <c r="S165" s="115"/>
      <c r="T165" s="311">
        <v>25000</v>
      </c>
      <c r="U165" s="115"/>
      <c r="V165" s="311">
        <v>25000</v>
      </c>
      <c r="W165" s="115"/>
      <c r="X165" s="311">
        <v>25000</v>
      </c>
      <c r="Y165" s="115"/>
      <c r="Z165" s="311">
        <v>25000</v>
      </c>
      <c r="AA165" s="115"/>
      <c r="AB165" s="311">
        <v>25000</v>
      </c>
      <c r="AC165" s="115"/>
      <c r="AD165" s="115"/>
    </row>
    <row r="166" spans="1:30">
      <c r="A166" s="255" t="s">
        <v>364</v>
      </c>
      <c r="B166" s="115">
        <v>39666</v>
      </c>
      <c r="C166" s="115"/>
      <c r="D166" s="115" t="s">
        <v>74</v>
      </c>
      <c r="E166" s="105" t="s">
        <v>1099</v>
      </c>
      <c r="F166" s="115">
        <v>120000</v>
      </c>
      <c r="G166" s="115"/>
      <c r="H166" s="115">
        <v>39666</v>
      </c>
      <c r="I166" s="260">
        <v>80334</v>
      </c>
      <c r="J166" s="310"/>
      <c r="K166" s="311">
        <v>80334</v>
      </c>
      <c r="L166" s="115">
        <v>0</v>
      </c>
      <c r="M166" s="115"/>
      <c r="N166" s="311"/>
      <c r="O166" s="115"/>
      <c r="P166" s="311"/>
      <c r="Q166" s="115"/>
      <c r="R166" s="311"/>
      <c r="S166" s="115"/>
      <c r="T166" s="311"/>
      <c r="U166" s="115"/>
      <c r="V166" s="311"/>
      <c r="W166" s="115"/>
      <c r="X166" s="311"/>
      <c r="Y166" s="115"/>
      <c r="Z166" s="311"/>
      <c r="AA166" s="115"/>
      <c r="AB166" s="311"/>
      <c r="AC166" s="115"/>
      <c r="AD166" s="115"/>
    </row>
    <row r="167" spans="1:30">
      <c r="A167" s="255" t="s">
        <v>297</v>
      </c>
      <c r="B167" s="115"/>
      <c r="C167" s="115"/>
      <c r="D167" s="115"/>
      <c r="E167" s="105"/>
      <c r="F167" s="115"/>
      <c r="G167" s="115"/>
      <c r="H167" s="115"/>
      <c r="I167" s="260"/>
      <c r="J167" s="310"/>
      <c r="K167" s="311">
        <v>19000</v>
      </c>
      <c r="L167" s="115"/>
      <c r="M167" s="115"/>
      <c r="N167" s="311"/>
      <c r="O167" s="115"/>
      <c r="P167" s="311"/>
      <c r="Q167" s="115"/>
      <c r="R167" s="311"/>
      <c r="S167" s="115"/>
      <c r="T167" s="311"/>
      <c r="U167" s="115"/>
      <c r="V167" s="311"/>
      <c r="W167" s="115"/>
      <c r="X167" s="311"/>
      <c r="Y167" s="115"/>
      <c r="Z167" s="311"/>
      <c r="AA167" s="115"/>
      <c r="AB167" s="311"/>
      <c r="AC167" s="115"/>
      <c r="AD167" s="115"/>
    </row>
    <row r="168" spans="1:30">
      <c r="A168" s="255" t="s">
        <v>529</v>
      </c>
      <c r="B168" s="115"/>
      <c r="C168" s="115"/>
      <c r="D168" s="115"/>
      <c r="E168" s="105"/>
      <c r="F168" s="115"/>
      <c r="G168" s="115"/>
      <c r="H168" s="115"/>
      <c r="I168" s="260">
        <v>0</v>
      </c>
      <c r="J168" s="310"/>
      <c r="K168" s="311"/>
      <c r="L168" s="115">
        <v>0</v>
      </c>
      <c r="M168" s="115"/>
      <c r="N168" s="311"/>
      <c r="O168" s="115"/>
      <c r="P168" s="311"/>
      <c r="Q168" s="115"/>
      <c r="R168" s="311"/>
      <c r="S168" s="115"/>
      <c r="T168" s="311"/>
      <c r="U168" s="115"/>
      <c r="V168" s="311"/>
      <c r="W168" s="115"/>
      <c r="X168" s="311"/>
      <c r="Y168" s="115"/>
      <c r="Z168" s="311"/>
      <c r="AA168" s="115"/>
      <c r="AB168" s="311"/>
      <c r="AC168" s="115"/>
      <c r="AD168" s="115"/>
    </row>
    <row r="169" spans="1:30">
      <c r="A169" s="255" t="s">
        <v>531</v>
      </c>
      <c r="B169" s="115"/>
      <c r="C169" s="115"/>
      <c r="D169" s="115"/>
      <c r="E169" s="105"/>
      <c r="F169" s="115"/>
      <c r="G169" s="115"/>
      <c r="H169" s="115"/>
      <c r="I169" s="260">
        <v>0</v>
      </c>
      <c r="J169" s="310"/>
      <c r="K169" s="311"/>
      <c r="L169" s="115">
        <v>0</v>
      </c>
      <c r="M169" s="115"/>
      <c r="N169" s="311"/>
      <c r="O169" s="115"/>
      <c r="P169" s="311"/>
      <c r="Q169" s="115"/>
      <c r="R169" s="311"/>
      <c r="S169" s="115"/>
      <c r="T169" s="311"/>
      <c r="U169" s="115"/>
      <c r="V169" s="311"/>
      <c r="W169" s="115"/>
      <c r="X169" s="311"/>
      <c r="Y169" s="115"/>
      <c r="Z169" s="311"/>
      <c r="AA169" s="115"/>
      <c r="AB169" s="311"/>
      <c r="AC169" s="115"/>
      <c r="AD169" s="115"/>
    </row>
    <row r="170" spans="1:30">
      <c r="A170" s="255" t="s">
        <v>251</v>
      </c>
      <c r="B170" s="115"/>
      <c r="C170" s="115"/>
      <c r="D170" s="115"/>
      <c r="E170" s="105"/>
      <c r="F170" s="115">
        <v>4000</v>
      </c>
      <c r="G170" s="115"/>
      <c r="H170" s="115"/>
      <c r="I170" s="260">
        <v>4000</v>
      </c>
      <c r="J170" s="310"/>
      <c r="K170" s="311">
        <v>4000</v>
      </c>
      <c r="L170" s="115"/>
      <c r="M170" s="115"/>
      <c r="N170" s="311"/>
      <c r="O170" s="115"/>
      <c r="P170" s="311"/>
      <c r="Q170" s="115"/>
      <c r="R170" s="311"/>
      <c r="S170" s="115"/>
      <c r="T170" s="311"/>
      <c r="U170" s="115"/>
      <c r="V170" s="311"/>
      <c r="W170" s="115"/>
      <c r="X170" s="311"/>
      <c r="Y170" s="115"/>
      <c r="Z170" s="311"/>
      <c r="AA170" s="115"/>
      <c r="AB170" s="311"/>
      <c r="AC170" s="115"/>
      <c r="AD170" s="115"/>
    </row>
    <row r="171" spans="1:30">
      <c r="A171" s="255" t="s">
        <v>255</v>
      </c>
      <c r="B171" s="260"/>
      <c r="C171" s="115"/>
      <c r="D171" s="115"/>
      <c r="E171" s="105"/>
      <c r="F171" s="115">
        <v>200000</v>
      </c>
      <c r="G171" s="115"/>
      <c r="H171" s="115"/>
      <c r="I171" s="260">
        <v>200000</v>
      </c>
      <c r="J171" s="310"/>
      <c r="K171" s="311">
        <v>50000</v>
      </c>
      <c r="L171" s="115">
        <v>150000</v>
      </c>
      <c r="M171" s="115"/>
      <c r="N171" s="311">
        <v>150000</v>
      </c>
      <c r="O171" s="115"/>
      <c r="P171" s="311"/>
      <c r="Q171" s="115"/>
      <c r="R171" s="311"/>
      <c r="S171" s="115"/>
      <c r="T171" s="311"/>
      <c r="U171" s="115"/>
      <c r="V171" s="311"/>
      <c r="W171" s="115"/>
      <c r="X171" s="311"/>
      <c r="Y171" s="115"/>
      <c r="Z171" s="311"/>
      <c r="AA171" s="115"/>
      <c r="AB171" s="311"/>
      <c r="AC171" s="115"/>
      <c r="AD171" s="115"/>
    </row>
    <row r="172" spans="1:30">
      <c r="A172" s="255" t="s">
        <v>688</v>
      </c>
      <c r="B172" s="260">
        <v>24857</v>
      </c>
      <c r="C172" s="115"/>
      <c r="D172" s="115" t="s">
        <v>74</v>
      </c>
      <c r="E172" s="105"/>
      <c r="F172" s="115">
        <v>126000</v>
      </c>
      <c r="G172" s="115"/>
      <c r="H172" s="115">
        <v>24857</v>
      </c>
      <c r="I172" s="260">
        <v>101143</v>
      </c>
      <c r="J172" s="310"/>
      <c r="K172" s="311"/>
      <c r="L172" s="115">
        <v>101143</v>
      </c>
      <c r="M172" s="115"/>
      <c r="N172" s="311"/>
      <c r="O172" s="115"/>
      <c r="P172" s="311"/>
      <c r="Q172" s="115"/>
      <c r="R172" s="311"/>
      <c r="S172" s="115"/>
      <c r="T172" s="311"/>
      <c r="U172" s="115"/>
      <c r="V172" s="311"/>
      <c r="W172" s="115"/>
      <c r="X172" s="311"/>
      <c r="Y172" s="115"/>
      <c r="Z172" s="311"/>
      <c r="AA172" s="115"/>
      <c r="AB172" s="311"/>
      <c r="AC172" s="115"/>
      <c r="AD172" s="115"/>
    </row>
    <row r="173" spans="1:30">
      <c r="A173" s="255" t="s">
        <v>261</v>
      </c>
      <c r="B173" s="260"/>
      <c r="C173" s="115"/>
      <c r="D173" s="115"/>
      <c r="E173" s="105"/>
      <c r="F173" s="115">
        <v>245000</v>
      </c>
      <c r="G173" s="115"/>
      <c r="H173" s="115"/>
      <c r="I173" s="260">
        <v>245000</v>
      </c>
      <c r="J173" s="310"/>
      <c r="K173" s="311">
        <v>200000</v>
      </c>
      <c r="L173" s="115">
        <v>45000</v>
      </c>
      <c r="M173" s="115"/>
      <c r="N173" s="311">
        <v>45000</v>
      </c>
      <c r="O173" s="115"/>
      <c r="P173" s="311"/>
      <c r="Q173" s="115"/>
      <c r="R173" s="311"/>
      <c r="S173" s="115"/>
      <c r="T173" s="311"/>
      <c r="U173" s="115"/>
      <c r="V173" s="311"/>
      <c r="W173" s="115"/>
      <c r="X173" s="311"/>
      <c r="Y173" s="115"/>
      <c r="Z173" s="311"/>
      <c r="AA173" s="115"/>
      <c r="AB173" s="311"/>
      <c r="AC173" s="115"/>
      <c r="AD173" s="115"/>
    </row>
    <row r="174" spans="1:30">
      <c r="A174" s="255" t="s">
        <v>1160</v>
      </c>
      <c r="B174" s="115"/>
      <c r="C174" s="260"/>
      <c r="D174" s="260"/>
      <c r="E174" s="110"/>
      <c r="F174" s="260"/>
      <c r="G174" s="260"/>
      <c r="H174" s="260"/>
      <c r="I174" s="260"/>
      <c r="J174" s="310"/>
      <c r="K174" s="310"/>
      <c r="L174" s="260"/>
      <c r="M174" s="260"/>
      <c r="N174" s="310"/>
      <c r="O174" s="260"/>
      <c r="P174" s="310"/>
      <c r="Q174" s="260"/>
      <c r="R174" s="310"/>
      <c r="S174" s="260"/>
      <c r="T174" s="310"/>
      <c r="U174" s="260"/>
      <c r="V174" s="310"/>
      <c r="W174" s="260"/>
      <c r="X174" s="310"/>
      <c r="Y174" s="260"/>
      <c r="Z174" s="310"/>
      <c r="AA174" s="260"/>
      <c r="AB174" s="310"/>
      <c r="AC174" s="260"/>
      <c r="AD174" s="260"/>
    </row>
    <row r="175" spans="1:30">
      <c r="A175" s="255" t="s">
        <v>1113</v>
      </c>
      <c r="B175" s="115"/>
      <c r="C175" s="115"/>
      <c r="D175" s="115" t="s">
        <v>74</v>
      </c>
      <c r="E175" s="105" t="s">
        <v>1114</v>
      </c>
      <c r="F175" s="115">
        <v>158400</v>
      </c>
      <c r="G175" s="115"/>
      <c r="H175" s="115"/>
      <c r="I175" s="115"/>
      <c r="J175" s="311"/>
      <c r="K175" s="311"/>
      <c r="L175" s="115">
        <v>0</v>
      </c>
      <c r="M175" s="115"/>
      <c r="N175" s="311"/>
      <c r="O175" s="115"/>
      <c r="P175" s="311"/>
      <c r="Q175" s="115"/>
      <c r="R175" s="311"/>
      <c r="S175" s="115"/>
      <c r="T175" s="311"/>
      <c r="U175" s="115"/>
      <c r="V175" s="311"/>
      <c r="W175" s="115"/>
      <c r="X175" s="311"/>
      <c r="Y175" s="115"/>
      <c r="Z175" s="311"/>
      <c r="AA175" s="115"/>
      <c r="AB175" s="311"/>
      <c r="AC175" s="115"/>
      <c r="AD175" s="115"/>
    </row>
    <row r="176" spans="1:30">
      <c r="A176" s="248" t="s">
        <v>853</v>
      </c>
      <c r="B176" s="115"/>
      <c r="C176" s="260"/>
      <c r="D176" s="260"/>
      <c r="E176" s="105" t="s">
        <v>1228</v>
      </c>
      <c r="F176" s="260">
        <v>2700000</v>
      </c>
      <c r="G176" s="260"/>
      <c r="H176" s="260"/>
      <c r="I176" s="260">
        <v>2700000</v>
      </c>
      <c r="J176" s="310"/>
      <c r="K176" s="310">
        <v>30000</v>
      </c>
      <c r="L176" s="260">
        <v>2670000</v>
      </c>
      <c r="M176" s="260"/>
      <c r="N176" s="310">
        <v>50000</v>
      </c>
      <c r="O176" s="260"/>
      <c r="P176" s="310">
        <v>100000</v>
      </c>
      <c r="Q176" s="260"/>
      <c r="R176" s="310">
        <v>1200000</v>
      </c>
      <c r="S176" s="260"/>
      <c r="T176" s="310">
        <v>1320000</v>
      </c>
      <c r="U176" s="260"/>
      <c r="V176" s="310"/>
      <c r="W176" s="260"/>
      <c r="X176" s="310"/>
      <c r="Y176" s="260"/>
      <c r="Z176" s="310"/>
      <c r="AA176" s="260"/>
      <c r="AB176" s="310"/>
      <c r="AC176" s="260"/>
      <c r="AD176" s="260"/>
    </row>
    <row r="177" spans="1:30">
      <c r="A177" s="255" t="s">
        <v>1156</v>
      </c>
      <c r="B177" s="115">
        <v>158406</v>
      </c>
      <c r="C177" s="115"/>
      <c r="D177" s="115" t="s">
        <v>74</v>
      </c>
      <c r="E177" s="105" t="s">
        <v>1112</v>
      </c>
      <c r="F177" s="115">
        <v>220500</v>
      </c>
      <c r="G177" s="115"/>
      <c r="H177" s="115">
        <f>Tabelle4[[#This Row],[Kredit-  / Budgetsumme
(RADAR: Gesamtkosten S)]]-Tabelle4[[#This Row],[Kreditrest per 1.1. aktuelles Jahr]]</f>
        <v>0</v>
      </c>
      <c r="I177" s="115">
        <v>62094</v>
      </c>
      <c r="J177" s="311"/>
      <c r="K177" s="311"/>
      <c r="L177" s="115">
        <v>62094</v>
      </c>
      <c r="M177" s="115"/>
      <c r="N177" s="311"/>
      <c r="O177" s="115"/>
      <c r="P177" s="311"/>
      <c r="Q177" s="115"/>
      <c r="R177" s="311"/>
      <c r="S177" s="115"/>
      <c r="T177" s="311"/>
      <c r="U177" s="115"/>
      <c r="V177" s="311"/>
      <c r="W177" s="115"/>
      <c r="X177" s="311"/>
      <c r="Y177" s="115"/>
      <c r="Z177" s="311"/>
      <c r="AA177" s="115"/>
      <c r="AB177" s="311"/>
      <c r="AC177" s="115"/>
      <c r="AD177" s="115"/>
    </row>
    <row r="178" spans="1:30">
      <c r="A178" s="255" t="s">
        <v>265</v>
      </c>
      <c r="B178" s="260"/>
      <c r="C178" s="115"/>
      <c r="D178" s="115"/>
      <c r="E178" s="105"/>
      <c r="F178" s="115"/>
      <c r="G178" s="115"/>
      <c r="H178" s="115"/>
      <c r="I178" s="260">
        <v>0</v>
      </c>
      <c r="J178" s="310"/>
      <c r="K178" s="311"/>
      <c r="L178" s="115">
        <v>0</v>
      </c>
      <c r="M178" s="115"/>
      <c r="N178" s="311"/>
      <c r="O178" s="115"/>
      <c r="P178" s="311"/>
      <c r="Q178" s="115"/>
      <c r="R178" s="311"/>
      <c r="S178" s="115"/>
      <c r="T178" s="311"/>
      <c r="U178" s="115"/>
      <c r="V178" s="311"/>
      <c r="W178" s="115"/>
      <c r="X178" s="311"/>
      <c r="Y178" s="115"/>
      <c r="Z178" s="311"/>
      <c r="AA178" s="115"/>
      <c r="AB178" s="311"/>
      <c r="AC178" s="115"/>
      <c r="AD178" s="115"/>
    </row>
    <row r="179" spans="1:30">
      <c r="A179" s="255" t="s">
        <v>533</v>
      </c>
      <c r="B179" s="115"/>
      <c r="C179" s="115"/>
      <c r="D179" s="115"/>
      <c r="E179" s="105"/>
      <c r="F179" s="115"/>
      <c r="G179" s="115"/>
      <c r="H179" s="115"/>
      <c r="I179" s="260">
        <v>0</v>
      </c>
      <c r="J179" s="310"/>
      <c r="K179" s="311"/>
      <c r="L179" s="115">
        <v>0</v>
      </c>
      <c r="M179" s="115"/>
      <c r="N179" s="311"/>
      <c r="O179" s="115"/>
      <c r="P179" s="311"/>
      <c r="Q179" s="115"/>
      <c r="R179" s="311"/>
      <c r="S179" s="115"/>
      <c r="T179" s="311"/>
      <c r="U179" s="115"/>
      <c r="V179" s="311"/>
      <c r="W179" s="115"/>
      <c r="X179" s="311"/>
      <c r="Y179" s="115"/>
      <c r="Z179" s="311"/>
      <c r="AA179" s="115"/>
      <c r="AB179" s="311"/>
      <c r="AC179" s="115"/>
      <c r="AD179" s="115"/>
    </row>
    <row r="180" spans="1:30">
      <c r="A180" s="255" t="s">
        <v>1117</v>
      </c>
      <c r="B180" s="115">
        <v>121816</v>
      </c>
      <c r="C180" s="115"/>
      <c r="D180" s="115" t="s">
        <v>74</v>
      </c>
      <c r="E180" s="105" t="s">
        <v>1118</v>
      </c>
      <c r="F180" s="115">
        <v>153000</v>
      </c>
      <c r="G180" s="115"/>
      <c r="H180" s="115">
        <v>121816</v>
      </c>
      <c r="I180" s="260">
        <v>31184</v>
      </c>
      <c r="J180" s="310"/>
      <c r="K180" s="311"/>
      <c r="L180" s="115">
        <v>31184</v>
      </c>
      <c r="M180" s="115"/>
      <c r="N180" s="311"/>
      <c r="O180" s="115"/>
      <c r="P180" s="311"/>
      <c r="Q180" s="115"/>
      <c r="R180" s="311"/>
      <c r="S180" s="115"/>
      <c r="T180" s="311"/>
      <c r="U180" s="115"/>
      <c r="V180" s="311"/>
      <c r="W180" s="115"/>
      <c r="X180" s="311"/>
      <c r="Y180" s="115"/>
      <c r="Z180" s="311"/>
      <c r="AA180" s="115"/>
      <c r="AB180" s="311"/>
      <c r="AC180" s="115"/>
      <c r="AD180" s="115"/>
    </row>
    <row r="181" spans="1:30">
      <c r="A181" s="255" t="s">
        <v>535</v>
      </c>
      <c r="B181" s="115"/>
      <c r="C181" s="115"/>
      <c r="D181" s="115"/>
      <c r="E181" s="105"/>
      <c r="F181" s="115"/>
      <c r="G181" s="115"/>
      <c r="H181" s="115"/>
      <c r="I181" s="260">
        <v>0</v>
      </c>
      <c r="J181" s="310"/>
      <c r="K181" s="311"/>
      <c r="L181" s="115">
        <v>0</v>
      </c>
      <c r="M181" s="115"/>
      <c r="N181" s="311"/>
      <c r="O181" s="115"/>
      <c r="P181" s="311"/>
      <c r="Q181" s="115"/>
      <c r="R181" s="311"/>
      <c r="S181" s="115"/>
      <c r="T181" s="311"/>
      <c r="U181" s="115"/>
      <c r="V181" s="311"/>
      <c r="W181" s="115"/>
      <c r="X181" s="311"/>
      <c r="Y181" s="115"/>
      <c r="Z181" s="311"/>
      <c r="AA181" s="115"/>
      <c r="AB181" s="311"/>
      <c r="AC181" s="115"/>
      <c r="AD181" s="115"/>
    </row>
    <row r="182" spans="1:30">
      <c r="A182" s="255" t="s">
        <v>537</v>
      </c>
      <c r="B182" s="115"/>
      <c r="C182" s="115"/>
      <c r="D182" s="115"/>
      <c r="E182" s="105"/>
      <c r="F182" s="115"/>
      <c r="G182" s="115"/>
      <c r="H182" s="115"/>
      <c r="I182" s="260">
        <v>0</v>
      </c>
      <c r="J182" s="310"/>
      <c r="K182" s="311"/>
      <c r="L182" s="115">
        <v>0</v>
      </c>
      <c r="M182" s="115"/>
      <c r="N182" s="311"/>
      <c r="O182" s="115"/>
      <c r="P182" s="311"/>
      <c r="Q182" s="115"/>
      <c r="R182" s="311"/>
      <c r="S182" s="115"/>
      <c r="T182" s="311"/>
      <c r="U182" s="115"/>
      <c r="V182" s="311"/>
      <c r="W182" s="115"/>
      <c r="X182" s="311"/>
      <c r="Y182" s="115"/>
      <c r="Z182" s="311"/>
      <c r="AA182" s="115"/>
      <c r="AB182" s="311"/>
      <c r="AC182" s="115"/>
      <c r="AD182" s="115"/>
    </row>
    <row r="183" spans="1:30">
      <c r="A183" s="255" t="s">
        <v>222</v>
      </c>
      <c r="B183" s="115"/>
      <c r="C183" s="115"/>
      <c r="D183" s="115"/>
      <c r="E183" s="105"/>
      <c r="F183" s="115"/>
      <c r="G183" s="115"/>
      <c r="H183" s="115"/>
      <c r="I183" s="260"/>
      <c r="J183" s="310"/>
      <c r="K183" s="311">
        <v>2500</v>
      </c>
      <c r="L183" s="115"/>
      <c r="M183" s="115"/>
      <c r="N183" s="311">
        <v>2500</v>
      </c>
      <c r="O183" s="115"/>
      <c r="P183" s="311">
        <v>2500</v>
      </c>
      <c r="Q183" s="115"/>
      <c r="R183" s="311">
        <v>2500</v>
      </c>
      <c r="S183" s="115"/>
      <c r="T183" s="311">
        <v>2500</v>
      </c>
      <c r="U183" s="115"/>
      <c r="V183" s="311">
        <v>2500</v>
      </c>
      <c r="W183" s="115"/>
      <c r="X183" s="311">
        <v>2500</v>
      </c>
      <c r="Y183" s="115"/>
      <c r="Z183" s="311">
        <v>2500</v>
      </c>
      <c r="AA183" s="115"/>
      <c r="AB183" s="311">
        <v>2500</v>
      </c>
      <c r="AC183" s="115"/>
      <c r="AD183" s="115"/>
    </row>
    <row r="184" spans="1:30">
      <c r="A184" s="255" t="s">
        <v>302</v>
      </c>
      <c r="B184" s="115">
        <v>33484</v>
      </c>
      <c r="C184" s="115"/>
      <c r="D184" s="115"/>
      <c r="E184" s="105" t="s">
        <v>1109</v>
      </c>
      <c r="F184" s="115">
        <v>250000</v>
      </c>
      <c r="G184" s="115"/>
      <c r="H184" s="115">
        <v>33484</v>
      </c>
      <c r="I184" s="260">
        <v>216516</v>
      </c>
      <c r="J184" s="310"/>
      <c r="K184" s="311">
        <v>100000</v>
      </c>
      <c r="L184" s="115">
        <v>116516</v>
      </c>
      <c r="M184" s="115"/>
      <c r="N184" s="311"/>
      <c r="O184" s="115"/>
      <c r="P184" s="311"/>
      <c r="Q184" s="115"/>
      <c r="R184" s="311"/>
      <c r="S184" s="115"/>
      <c r="T184" s="311"/>
      <c r="U184" s="115"/>
      <c r="V184" s="311"/>
      <c r="W184" s="115"/>
      <c r="X184" s="311"/>
      <c r="Y184" s="115"/>
      <c r="Z184" s="311"/>
      <c r="AA184" s="115"/>
      <c r="AB184" s="311"/>
      <c r="AC184" s="115"/>
      <c r="AD184" s="115"/>
    </row>
    <row r="185" spans="1:30">
      <c r="A185" s="255" t="s">
        <v>368</v>
      </c>
      <c r="B185" s="260">
        <v>36461</v>
      </c>
      <c r="C185" s="115"/>
      <c r="D185" s="115"/>
      <c r="E185" s="105" t="s">
        <v>1100</v>
      </c>
      <c r="F185" s="115">
        <v>200000</v>
      </c>
      <c r="G185" s="115"/>
      <c r="H185" s="115">
        <v>36461</v>
      </c>
      <c r="I185" s="260">
        <v>163539</v>
      </c>
      <c r="J185" s="310"/>
      <c r="K185" s="311"/>
      <c r="L185" s="115">
        <v>163539</v>
      </c>
      <c r="M185" s="115"/>
      <c r="N185" s="311"/>
      <c r="O185" s="115"/>
      <c r="P185" s="311"/>
      <c r="Q185" s="115"/>
      <c r="R185" s="311"/>
      <c r="S185" s="115"/>
      <c r="T185" s="311"/>
      <c r="U185" s="115"/>
      <c r="V185" s="311"/>
      <c r="W185" s="115"/>
      <c r="X185" s="311"/>
      <c r="Y185" s="115"/>
      <c r="Z185" s="311"/>
      <c r="AA185" s="115"/>
      <c r="AB185" s="311"/>
      <c r="AC185" s="115"/>
      <c r="AD185" s="115"/>
    </row>
    <row r="186" spans="1:30">
      <c r="A186" s="255" t="s">
        <v>840</v>
      </c>
      <c r="B186" s="260"/>
      <c r="C186" s="115"/>
      <c r="D186" s="115" t="s">
        <v>620</v>
      </c>
      <c r="E186" s="105" t="s">
        <v>829</v>
      </c>
      <c r="F186" s="115"/>
      <c r="G186" s="115"/>
      <c r="H186" s="115"/>
      <c r="I186" s="260">
        <v>0</v>
      </c>
      <c r="J186" s="310"/>
      <c r="K186" s="311"/>
      <c r="L186" s="115">
        <v>0</v>
      </c>
      <c r="M186" s="115"/>
      <c r="N186" s="311"/>
      <c r="O186" s="115"/>
      <c r="P186" s="311">
        <v>380000</v>
      </c>
      <c r="Q186" s="115"/>
      <c r="R186" s="311">
        <v>880000</v>
      </c>
      <c r="S186" s="115"/>
      <c r="T186" s="311">
        <v>880000</v>
      </c>
      <c r="U186" s="115"/>
      <c r="V186" s="311">
        <v>880000</v>
      </c>
      <c r="W186" s="115"/>
      <c r="X186" s="311">
        <v>880000</v>
      </c>
      <c r="Y186" s="115"/>
      <c r="Z186" s="311">
        <v>880000</v>
      </c>
      <c r="AA186" s="115"/>
      <c r="AB186" s="311">
        <v>880000</v>
      </c>
      <c r="AC186" s="115"/>
      <c r="AD186" s="115"/>
    </row>
    <row r="187" spans="1:30">
      <c r="A187" s="255" t="s">
        <v>540</v>
      </c>
      <c r="B187" s="115"/>
      <c r="C187" s="115"/>
      <c r="D187" s="115"/>
      <c r="E187" s="105"/>
      <c r="F187" s="115"/>
      <c r="G187" s="115"/>
      <c r="H187" s="115"/>
      <c r="I187" s="260">
        <v>0</v>
      </c>
      <c r="J187" s="310"/>
      <c r="K187" s="311"/>
      <c r="L187" s="115">
        <v>0</v>
      </c>
      <c r="M187" s="115"/>
      <c r="N187" s="311"/>
      <c r="O187" s="115"/>
      <c r="P187" s="311"/>
      <c r="Q187" s="115"/>
      <c r="R187" s="311"/>
      <c r="S187" s="115"/>
      <c r="T187" s="311"/>
      <c r="U187" s="115"/>
      <c r="V187" s="311"/>
      <c r="W187" s="115"/>
      <c r="X187" s="311"/>
      <c r="Y187" s="115"/>
      <c r="Z187" s="311"/>
      <c r="AA187" s="115"/>
      <c r="AB187" s="311"/>
      <c r="AC187" s="115"/>
      <c r="AD187" s="115"/>
    </row>
    <row r="188" spans="1:30">
      <c r="A188" s="265" t="s">
        <v>370</v>
      </c>
      <c r="B188" s="115">
        <v>125304</v>
      </c>
      <c r="C188" s="115"/>
      <c r="D188" s="115" t="s">
        <v>74</v>
      </c>
      <c r="E188" s="105" t="s">
        <v>1105</v>
      </c>
      <c r="F188" s="115">
        <v>151000</v>
      </c>
      <c r="G188" s="115"/>
      <c r="H188" s="115">
        <f>Tabelle4[[#This Row],[Kredit-  / Budgetsumme
(RADAR: Gesamtkosten S)]]-Tabelle4[[#This Row],[Kreditrest per 1.1. aktuelles Jahr]]</f>
        <v>36461</v>
      </c>
      <c r="I188" s="260">
        <v>25696</v>
      </c>
      <c r="J188" s="310"/>
      <c r="K188" s="311"/>
      <c r="L188" s="115">
        <v>25696</v>
      </c>
      <c r="M188" s="115"/>
      <c r="N188" s="311"/>
      <c r="O188" s="115"/>
      <c r="P188" s="311"/>
      <c r="Q188" s="115"/>
      <c r="R188" s="311"/>
      <c r="S188" s="115"/>
      <c r="T188" s="311"/>
      <c r="U188" s="115"/>
      <c r="V188" s="311"/>
      <c r="W188" s="115"/>
      <c r="X188" s="311"/>
      <c r="Y188" s="115"/>
      <c r="Z188" s="311"/>
      <c r="AA188" s="115"/>
      <c r="AB188" s="311"/>
      <c r="AC188" s="115"/>
      <c r="AD188" s="115"/>
    </row>
    <row r="189" spans="1:30">
      <c r="A189" s="255" t="s">
        <v>192</v>
      </c>
      <c r="B189" s="115"/>
      <c r="C189" s="115"/>
      <c r="D189" s="115"/>
      <c r="E189" s="105"/>
      <c r="F189" s="115"/>
      <c r="G189" s="115"/>
      <c r="H189" s="115"/>
      <c r="I189" s="260">
        <v>0</v>
      </c>
      <c r="J189" s="310"/>
      <c r="K189" s="311"/>
      <c r="L189" s="115">
        <v>0</v>
      </c>
      <c r="M189" s="115"/>
      <c r="N189" s="311"/>
      <c r="O189" s="115"/>
      <c r="P189" s="311"/>
      <c r="Q189" s="115"/>
      <c r="R189" s="311"/>
      <c r="S189" s="115"/>
      <c r="T189" s="311"/>
      <c r="U189" s="115"/>
      <c r="V189" s="311"/>
      <c r="W189" s="115"/>
      <c r="X189" s="311"/>
      <c r="Y189" s="115"/>
      <c r="Z189" s="311"/>
      <c r="AA189" s="115"/>
      <c r="AB189" s="311"/>
      <c r="AC189" s="115"/>
      <c r="AD189" s="115"/>
    </row>
    <row r="190" spans="1:30">
      <c r="A190" s="255" t="s">
        <v>543</v>
      </c>
      <c r="B190" s="115"/>
      <c r="C190" s="115"/>
      <c r="D190" s="115"/>
      <c r="E190" s="105"/>
      <c r="F190" s="115"/>
      <c r="G190" s="115"/>
      <c r="H190" s="115"/>
      <c r="I190" s="260">
        <v>0</v>
      </c>
      <c r="J190" s="310"/>
      <c r="K190" s="311"/>
      <c r="L190" s="115">
        <v>0</v>
      </c>
      <c r="M190" s="115"/>
      <c r="N190" s="311"/>
      <c r="O190" s="115"/>
      <c r="P190" s="311"/>
      <c r="Q190" s="115"/>
      <c r="R190" s="311"/>
      <c r="S190" s="115"/>
      <c r="T190" s="311"/>
      <c r="U190" s="115"/>
      <c r="V190" s="311"/>
      <c r="W190" s="115"/>
      <c r="X190" s="311"/>
      <c r="Y190" s="115"/>
      <c r="Z190" s="311"/>
      <c r="AA190" s="115"/>
      <c r="AB190" s="311"/>
      <c r="AC190" s="115"/>
      <c r="AD190" s="115"/>
    </row>
    <row r="191" spans="1:30">
      <c r="A191" s="255" t="s">
        <v>546</v>
      </c>
      <c r="B191" s="115"/>
      <c r="C191" s="115"/>
      <c r="D191" s="115"/>
      <c r="E191" s="105"/>
      <c r="F191" s="115"/>
      <c r="G191" s="115"/>
      <c r="H191" s="115"/>
      <c r="I191" s="260">
        <v>0</v>
      </c>
      <c r="J191" s="310"/>
      <c r="K191" s="311"/>
      <c r="L191" s="115">
        <v>0</v>
      </c>
      <c r="M191" s="115"/>
      <c r="N191" s="311"/>
      <c r="O191" s="115"/>
      <c r="P191" s="311"/>
      <c r="Q191" s="115"/>
      <c r="R191" s="311"/>
      <c r="S191" s="115"/>
      <c r="T191" s="311"/>
      <c r="U191" s="115"/>
      <c r="V191" s="311"/>
      <c r="W191" s="115"/>
      <c r="X191" s="311"/>
      <c r="Y191" s="115"/>
      <c r="Z191" s="311"/>
      <c r="AA191" s="115"/>
      <c r="AB191" s="311"/>
      <c r="AC191" s="115"/>
      <c r="AD191" s="115"/>
    </row>
    <row r="192" spans="1:30">
      <c r="A192" s="255" t="s">
        <v>849</v>
      </c>
      <c r="B192" s="115"/>
      <c r="C192" s="115"/>
      <c r="D192" s="115"/>
      <c r="E192" s="105"/>
      <c r="F192" s="115"/>
      <c r="G192" s="115"/>
      <c r="H192" s="115"/>
      <c r="I192" s="115"/>
      <c r="J192" s="311"/>
      <c r="K192" s="311">
        <v>2500</v>
      </c>
      <c r="L192" s="115"/>
      <c r="M192" s="115"/>
      <c r="N192" s="311">
        <v>2500</v>
      </c>
      <c r="O192" s="115"/>
      <c r="P192" s="311">
        <v>2500</v>
      </c>
      <c r="Q192" s="115"/>
      <c r="R192" s="311">
        <v>2500</v>
      </c>
      <c r="S192" s="115"/>
      <c r="T192" s="311">
        <v>2500</v>
      </c>
      <c r="U192" s="115"/>
      <c r="V192" s="311">
        <v>2500</v>
      </c>
      <c r="W192" s="115"/>
      <c r="X192" s="311">
        <v>2500</v>
      </c>
      <c r="Y192" s="115"/>
      <c r="Z192" s="311">
        <v>2500</v>
      </c>
      <c r="AA192" s="115"/>
      <c r="AB192" s="311">
        <v>2500</v>
      </c>
      <c r="AC192" s="115"/>
      <c r="AD192" s="115"/>
    </row>
    <row r="193" spans="1:30">
      <c r="A193" s="255" t="s">
        <v>849</v>
      </c>
      <c r="B193" s="115" t="s">
        <v>798</v>
      </c>
      <c r="C193" s="115"/>
      <c r="D193" s="115"/>
      <c r="E193" s="105"/>
      <c r="F193" s="115">
        <v>35000</v>
      </c>
      <c r="G193" s="115"/>
      <c r="H193" s="115"/>
      <c r="I193" s="260">
        <f>Tabelle4[[#This Row],[Kredit-  / Budgetsumme
(RADAR: Gesamtkosten S)]]-Tabelle4[[#This Row],[Netto-Ausgaben Vorjahre ]]</f>
        <v>0</v>
      </c>
      <c r="J193" s="310"/>
      <c r="K193" s="311"/>
      <c r="L193" s="115">
        <f>Tabelle4[[#This Row],[Kreditrest per 1.1. aktuelles Jahr]]-Tabelle4[[#This Row],[Prognose 2018
(RADAR: Kosten 2018 S)]]</f>
        <v>0</v>
      </c>
      <c r="M193" s="115"/>
      <c r="N193" s="311"/>
      <c r="O193" s="115"/>
      <c r="P193" s="311"/>
      <c r="Q193" s="115"/>
      <c r="R193" s="311"/>
      <c r="S193" s="115"/>
      <c r="T193" s="311"/>
      <c r="U193" s="115"/>
      <c r="V193" s="311"/>
      <c r="W193" s="115"/>
      <c r="X193" s="311"/>
      <c r="Y193" s="115"/>
      <c r="Z193" s="311"/>
      <c r="AA193" s="115"/>
      <c r="AB193" s="311"/>
      <c r="AC193" s="115"/>
      <c r="AD193" s="115" t="s">
        <v>850</v>
      </c>
    </row>
    <row r="194" spans="1:30">
      <c r="A194" s="255" t="s">
        <v>548</v>
      </c>
      <c r="B194" s="115"/>
      <c r="C194" s="115"/>
      <c r="D194" s="115"/>
      <c r="E194" s="105"/>
      <c r="F194" s="115"/>
      <c r="G194" s="115"/>
      <c r="H194" s="115"/>
      <c r="I194" s="260">
        <v>0</v>
      </c>
      <c r="J194" s="310"/>
      <c r="K194" s="311"/>
      <c r="L194" s="115">
        <v>0</v>
      </c>
      <c r="M194" s="115"/>
      <c r="N194" s="311"/>
      <c r="O194" s="115"/>
      <c r="P194" s="311"/>
      <c r="Q194" s="115"/>
      <c r="R194" s="311"/>
      <c r="S194" s="115"/>
      <c r="T194" s="311"/>
      <c r="U194" s="115"/>
      <c r="V194" s="311"/>
      <c r="W194" s="115"/>
      <c r="X194" s="311"/>
      <c r="Y194" s="115"/>
      <c r="Z194" s="311"/>
      <c r="AA194" s="115"/>
      <c r="AB194" s="311"/>
      <c r="AC194" s="115"/>
      <c r="AD194" s="115"/>
    </row>
    <row r="195" spans="1:30">
      <c r="A195" s="255" t="s">
        <v>550</v>
      </c>
      <c r="B195" s="115"/>
      <c r="C195" s="115"/>
      <c r="D195" s="115"/>
      <c r="E195" s="105" t="s">
        <v>1104</v>
      </c>
      <c r="F195" s="115">
        <v>60000</v>
      </c>
      <c r="G195" s="115"/>
      <c r="H195" s="115"/>
      <c r="I195" s="260">
        <v>60000</v>
      </c>
      <c r="J195" s="310"/>
      <c r="K195" s="311"/>
      <c r="L195" s="115">
        <v>60000</v>
      </c>
      <c r="M195" s="115"/>
      <c r="N195" s="311">
        <v>60000</v>
      </c>
      <c r="O195" s="115"/>
      <c r="P195" s="311"/>
      <c r="Q195" s="115"/>
      <c r="R195" s="311"/>
      <c r="S195" s="115"/>
      <c r="T195" s="311"/>
      <c r="U195" s="115"/>
      <c r="V195" s="311"/>
      <c r="W195" s="115"/>
      <c r="X195" s="311"/>
      <c r="Y195" s="115"/>
      <c r="Z195" s="311"/>
      <c r="AA195" s="115"/>
      <c r="AB195" s="311"/>
      <c r="AC195" s="115"/>
      <c r="AD195" s="115"/>
    </row>
    <row r="196" spans="1:30">
      <c r="A196" s="255" t="s">
        <v>655</v>
      </c>
      <c r="B196" s="115"/>
      <c r="C196" s="115"/>
      <c r="D196" s="115"/>
      <c r="E196" s="105"/>
      <c r="F196" s="115"/>
      <c r="G196" s="115"/>
      <c r="H196" s="115"/>
      <c r="I196" s="260"/>
      <c r="J196" s="310"/>
      <c r="K196" s="311"/>
      <c r="L196" s="115"/>
      <c r="M196" s="115"/>
      <c r="N196" s="311"/>
      <c r="O196" s="115"/>
      <c r="P196" s="311"/>
      <c r="Q196" s="115"/>
      <c r="R196" s="311"/>
      <c r="S196" s="115"/>
      <c r="T196" s="311"/>
      <c r="U196" s="115"/>
      <c r="V196" s="311"/>
      <c r="W196" s="115"/>
      <c r="X196" s="311"/>
      <c r="Y196" s="115"/>
      <c r="Z196" s="311"/>
      <c r="AA196" s="115"/>
      <c r="AB196" s="311"/>
      <c r="AC196" s="115"/>
      <c r="AD196" s="115"/>
    </row>
    <row r="197" spans="1:30">
      <c r="A197" s="255" t="s">
        <v>553</v>
      </c>
      <c r="B197" s="115"/>
      <c r="C197" s="115"/>
      <c r="D197" s="115"/>
      <c r="E197" s="105"/>
      <c r="F197" s="115"/>
      <c r="G197" s="115"/>
      <c r="H197" s="115"/>
      <c r="I197" s="260">
        <v>0</v>
      </c>
      <c r="J197" s="310"/>
      <c r="K197" s="311"/>
      <c r="L197" s="115">
        <v>0</v>
      </c>
      <c r="M197" s="115"/>
      <c r="N197" s="311"/>
      <c r="O197" s="115"/>
      <c r="P197" s="311"/>
      <c r="Q197" s="115"/>
      <c r="R197" s="311"/>
      <c r="S197" s="115"/>
      <c r="T197" s="311"/>
      <c r="U197" s="115"/>
      <c r="V197" s="311"/>
      <c r="W197" s="115"/>
      <c r="X197" s="311"/>
      <c r="Y197" s="115"/>
      <c r="Z197" s="311"/>
      <c r="AA197" s="115"/>
      <c r="AB197" s="311"/>
      <c r="AC197" s="115"/>
      <c r="AD197" s="115"/>
    </row>
    <row r="198" spans="1:30">
      <c r="A198" s="255" t="s">
        <v>556</v>
      </c>
      <c r="B198" s="115"/>
      <c r="C198" s="115"/>
      <c r="D198" s="115"/>
      <c r="E198" s="105"/>
      <c r="F198" s="115"/>
      <c r="G198" s="115"/>
      <c r="H198" s="115"/>
      <c r="I198" s="260">
        <v>0</v>
      </c>
      <c r="J198" s="310"/>
      <c r="K198" s="311"/>
      <c r="L198" s="115">
        <v>0</v>
      </c>
      <c r="M198" s="115"/>
      <c r="N198" s="311"/>
      <c r="O198" s="115"/>
      <c r="P198" s="311"/>
      <c r="Q198" s="115"/>
      <c r="R198" s="311"/>
      <c r="S198" s="115"/>
      <c r="T198" s="311"/>
      <c r="U198" s="115"/>
      <c r="V198" s="311"/>
      <c r="W198" s="115"/>
      <c r="X198" s="311"/>
      <c r="Y198" s="115"/>
      <c r="Z198" s="311"/>
      <c r="AA198" s="115"/>
      <c r="AB198" s="311"/>
      <c r="AC198" s="115"/>
      <c r="AD198" s="115"/>
    </row>
    <row r="199" spans="1:30">
      <c r="A199" s="255" t="s">
        <v>374</v>
      </c>
      <c r="B199" s="115">
        <v>1015459</v>
      </c>
      <c r="C199" s="115">
        <v>155000</v>
      </c>
      <c r="D199" s="115" t="s">
        <v>74</v>
      </c>
      <c r="E199" s="105" t="s">
        <v>1098</v>
      </c>
      <c r="F199" s="115">
        <v>1505000</v>
      </c>
      <c r="G199" s="115">
        <v>155000</v>
      </c>
      <c r="H199" s="115">
        <v>1015459</v>
      </c>
      <c r="I199" s="260">
        <v>489541</v>
      </c>
      <c r="J199" s="310"/>
      <c r="K199" s="311">
        <v>350000</v>
      </c>
      <c r="L199" s="115">
        <v>139541</v>
      </c>
      <c r="M199" s="115">
        <v>750000</v>
      </c>
      <c r="N199" s="311"/>
      <c r="O199" s="115"/>
      <c r="P199" s="311"/>
      <c r="Q199" s="115"/>
      <c r="R199" s="311"/>
      <c r="S199" s="115"/>
      <c r="T199" s="311"/>
      <c r="U199" s="115"/>
      <c r="V199" s="311"/>
      <c r="W199" s="115"/>
      <c r="X199" s="311"/>
      <c r="Y199" s="115"/>
      <c r="Z199" s="311"/>
      <c r="AA199" s="115"/>
      <c r="AB199" s="311"/>
      <c r="AC199" s="115"/>
      <c r="AD199" s="115"/>
    </row>
    <row r="200" spans="1:30">
      <c r="A200" s="255" t="s">
        <v>558</v>
      </c>
      <c r="B200" s="115"/>
      <c r="C200" s="115"/>
      <c r="D200" s="115"/>
      <c r="E200" s="105"/>
      <c r="F200" s="115"/>
      <c r="G200" s="115"/>
      <c r="H200" s="115"/>
      <c r="I200" s="260">
        <v>0</v>
      </c>
      <c r="J200" s="310"/>
      <c r="K200" s="311"/>
      <c r="L200" s="115">
        <v>0</v>
      </c>
      <c r="M200" s="115"/>
      <c r="N200" s="311"/>
      <c r="O200" s="115"/>
      <c r="P200" s="311"/>
      <c r="Q200" s="115"/>
      <c r="R200" s="311"/>
      <c r="S200" s="115"/>
      <c r="T200" s="311"/>
      <c r="U200" s="115"/>
      <c r="V200" s="311"/>
      <c r="W200" s="115"/>
      <c r="X200" s="311"/>
      <c r="Y200" s="115"/>
      <c r="Z200" s="311"/>
      <c r="AA200" s="115"/>
      <c r="AB200" s="311"/>
      <c r="AC200" s="115"/>
      <c r="AD200" s="115"/>
    </row>
    <row r="201" spans="1:30">
      <c r="A201" s="255" t="s">
        <v>377</v>
      </c>
      <c r="B201" s="115">
        <v>1690</v>
      </c>
      <c r="C201" s="115"/>
      <c r="D201" s="115" t="s">
        <v>74</v>
      </c>
      <c r="E201" s="105" t="s">
        <v>1101</v>
      </c>
      <c r="F201" s="115">
        <v>200000</v>
      </c>
      <c r="G201" s="115"/>
      <c r="H201" s="115">
        <v>1690</v>
      </c>
      <c r="I201" s="260">
        <v>198310</v>
      </c>
      <c r="J201" s="310"/>
      <c r="K201" s="311">
        <v>130000</v>
      </c>
      <c r="L201" s="115">
        <v>68310</v>
      </c>
      <c r="M201" s="115">
        <v>68310</v>
      </c>
      <c r="N201" s="311"/>
      <c r="O201" s="115"/>
      <c r="P201" s="311"/>
      <c r="Q201" s="115"/>
      <c r="R201" s="311"/>
      <c r="S201" s="115"/>
      <c r="T201" s="311"/>
      <c r="U201" s="115"/>
      <c r="V201" s="311"/>
      <c r="W201" s="115"/>
      <c r="X201" s="311"/>
      <c r="Y201" s="115"/>
      <c r="Z201" s="311"/>
      <c r="AA201" s="115"/>
      <c r="AB201" s="311"/>
      <c r="AC201" s="115"/>
      <c r="AD201" s="115"/>
    </row>
    <row r="202" spans="1:30">
      <c r="A202" s="255" t="s">
        <v>157</v>
      </c>
      <c r="B202" s="115"/>
      <c r="C202" s="115"/>
      <c r="D202" s="115"/>
      <c r="E202" s="105"/>
      <c r="F202" s="115"/>
      <c r="G202" s="115"/>
      <c r="H202" s="115"/>
      <c r="I202" s="260">
        <v>0</v>
      </c>
      <c r="J202" s="310"/>
      <c r="K202" s="311"/>
      <c r="L202" s="115">
        <v>0</v>
      </c>
      <c r="M202" s="115"/>
      <c r="N202" s="311"/>
      <c r="O202" s="115"/>
      <c r="P202" s="311"/>
      <c r="Q202" s="115"/>
      <c r="R202" s="311"/>
      <c r="S202" s="115"/>
      <c r="T202" s="311"/>
      <c r="U202" s="115"/>
      <c r="V202" s="311"/>
      <c r="W202" s="115"/>
      <c r="X202" s="311"/>
      <c r="Y202" s="115"/>
      <c r="Z202" s="311"/>
      <c r="AA202" s="115"/>
      <c r="AB202" s="311"/>
      <c r="AC202" s="115"/>
      <c r="AD202" s="115"/>
    </row>
    <row r="203" spans="1:30">
      <c r="A203" s="255" t="s">
        <v>561</v>
      </c>
      <c r="B203" s="115"/>
      <c r="C203" s="115"/>
      <c r="D203" s="115"/>
      <c r="E203" s="105"/>
      <c r="F203" s="115"/>
      <c r="G203" s="115"/>
      <c r="H203" s="115"/>
      <c r="I203" s="260">
        <v>0</v>
      </c>
      <c r="J203" s="310"/>
      <c r="K203" s="311"/>
      <c r="L203" s="115">
        <v>0</v>
      </c>
      <c r="M203" s="115"/>
      <c r="N203" s="311"/>
      <c r="O203" s="115"/>
      <c r="P203" s="311"/>
      <c r="Q203" s="115"/>
      <c r="R203" s="311"/>
      <c r="S203" s="115"/>
      <c r="T203" s="311"/>
      <c r="U203" s="115"/>
      <c r="V203" s="311"/>
      <c r="W203" s="115"/>
      <c r="X203" s="311"/>
      <c r="Y203" s="115"/>
      <c r="Z203" s="311"/>
      <c r="AA203" s="115"/>
      <c r="AB203" s="311"/>
      <c r="AC203" s="115"/>
      <c r="AD203" s="115"/>
    </row>
    <row r="204" spans="1:30">
      <c r="A204" s="255" t="s">
        <v>564</v>
      </c>
      <c r="B204" s="115"/>
      <c r="C204" s="115"/>
      <c r="D204" s="115"/>
      <c r="E204" s="105"/>
      <c r="F204" s="115"/>
      <c r="G204" s="115"/>
      <c r="H204" s="115"/>
      <c r="I204" s="260">
        <v>0</v>
      </c>
      <c r="J204" s="310"/>
      <c r="K204" s="311"/>
      <c r="L204" s="115">
        <v>0</v>
      </c>
      <c r="M204" s="115"/>
      <c r="N204" s="311"/>
      <c r="O204" s="115"/>
      <c r="P204" s="311"/>
      <c r="Q204" s="115"/>
      <c r="R204" s="311"/>
      <c r="S204" s="115"/>
      <c r="T204" s="311"/>
      <c r="U204" s="115"/>
      <c r="V204" s="311"/>
      <c r="W204" s="115"/>
      <c r="X204" s="311"/>
      <c r="Y204" s="115"/>
      <c r="Z204" s="311"/>
      <c r="AA204" s="115"/>
      <c r="AB204" s="311"/>
      <c r="AC204" s="115"/>
      <c r="AD204" s="115"/>
    </row>
    <row r="205" spans="1:30">
      <c r="A205" s="255" t="s">
        <v>566</v>
      </c>
      <c r="B205" s="115"/>
      <c r="C205" s="115"/>
      <c r="D205" s="115"/>
      <c r="E205" s="105"/>
      <c r="F205" s="115"/>
      <c r="G205" s="115"/>
      <c r="H205" s="115"/>
      <c r="I205" s="260">
        <v>0</v>
      </c>
      <c r="J205" s="310"/>
      <c r="K205" s="311"/>
      <c r="L205" s="115">
        <v>0</v>
      </c>
      <c r="M205" s="115"/>
      <c r="N205" s="311"/>
      <c r="O205" s="115"/>
      <c r="P205" s="311"/>
      <c r="Q205" s="115"/>
      <c r="R205" s="311"/>
      <c r="S205" s="115"/>
      <c r="T205" s="311"/>
      <c r="U205" s="115"/>
      <c r="V205" s="311"/>
      <c r="W205" s="115"/>
      <c r="X205" s="311"/>
      <c r="Y205" s="115"/>
      <c r="Z205" s="311"/>
      <c r="AA205" s="115"/>
      <c r="AB205" s="311"/>
      <c r="AC205" s="115"/>
      <c r="AD205" s="115"/>
    </row>
    <row r="206" spans="1:30">
      <c r="A206" s="255" t="s">
        <v>160</v>
      </c>
      <c r="B206" s="115"/>
      <c r="C206" s="115"/>
      <c r="D206" s="115"/>
      <c r="E206" s="105"/>
      <c r="F206" s="115"/>
      <c r="G206" s="115"/>
      <c r="H206" s="115"/>
      <c r="I206" s="260">
        <v>0</v>
      </c>
      <c r="J206" s="310"/>
      <c r="K206" s="311"/>
      <c r="L206" s="115">
        <v>0</v>
      </c>
      <c r="M206" s="115"/>
      <c r="N206" s="311"/>
      <c r="O206" s="115"/>
      <c r="P206" s="311"/>
      <c r="Q206" s="115"/>
      <c r="R206" s="311"/>
      <c r="S206" s="115"/>
      <c r="T206" s="311"/>
      <c r="U206" s="115"/>
      <c r="V206" s="311"/>
      <c r="W206" s="115"/>
      <c r="X206" s="311"/>
      <c r="Y206" s="115"/>
      <c r="Z206" s="311"/>
      <c r="AA206" s="115"/>
      <c r="AB206" s="311"/>
      <c r="AC206" s="115"/>
      <c r="AD206" s="115"/>
    </row>
    <row r="207" spans="1:30">
      <c r="A207" s="248" t="s">
        <v>911</v>
      </c>
      <c r="B207" s="115"/>
      <c r="C207" s="260"/>
      <c r="D207" s="260"/>
      <c r="E207" s="110"/>
      <c r="F207" s="260"/>
      <c r="G207" s="260"/>
      <c r="H207" s="260"/>
      <c r="I207" s="260">
        <v>0</v>
      </c>
      <c r="J207" s="310"/>
      <c r="K207" s="310">
        <v>50000</v>
      </c>
      <c r="L207" s="260">
        <v>-50000</v>
      </c>
      <c r="M207" s="260"/>
      <c r="N207" s="310">
        <v>50000</v>
      </c>
      <c r="O207" s="260"/>
      <c r="P207" s="310">
        <v>50000</v>
      </c>
      <c r="Q207" s="260"/>
      <c r="R207" s="310">
        <v>50000</v>
      </c>
      <c r="S207" s="260"/>
      <c r="T207" s="310"/>
      <c r="U207" s="260"/>
      <c r="V207" s="310"/>
      <c r="W207" s="260"/>
      <c r="X207" s="310"/>
      <c r="Y207" s="260"/>
      <c r="Z207" s="310"/>
      <c r="AA207" s="260"/>
      <c r="AB207" s="310"/>
      <c r="AC207" s="260"/>
      <c r="AD207" s="260"/>
    </row>
    <row r="208" spans="1:30">
      <c r="A208" s="255" t="s">
        <v>820</v>
      </c>
      <c r="B208" s="115"/>
      <c r="C208" s="115"/>
      <c r="D208" s="115" t="s">
        <v>620</v>
      </c>
      <c r="E208" s="105"/>
      <c r="F208" s="115">
        <v>19800000</v>
      </c>
      <c r="G208" s="115"/>
      <c r="H208" s="115"/>
      <c r="I208" s="260">
        <v>19800000</v>
      </c>
      <c r="J208" s="310"/>
      <c r="K208" s="311"/>
      <c r="L208" s="115">
        <v>19800000</v>
      </c>
      <c r="M208" s="115"/>
      <c r="N208" s="311">
        <v>250000</v>
      </c>
      <c r="O208" s="115"/>
      <c r="P208" s="311">
        <v>200000</v>
      </c>
      <c r="Q208" s="115"/>
      <c r="R208" s="311">
        <v>200000</v>
      </c>
      <c r="S208" s="115"/>
      <c r="T208" s="311">
        <v>200000</v>
      </c>
      <c r="U208" s="115"/>
      <c r="V208" s="311">
        <v>4737500</v>
      </c>
      <c r="W208" s="115"/>
      <c r="X208" s="311">
        <v>4737500</v>
      </c>
      <c r="Y208" s="115"/>
      <c r="Z208" s="311">
        <v>4737500</v>
      </c>
      <c r="AA208" s="115"/>
      <c r="AB208" s="311">
        <v>4737500</v>
      </c>
      <c r="AC208" s="115"/>
      <c r="AD208" s="115"/>
    </row>
    <row r="209" spans="1:30">
      <c r="A209" s="255" t="s">
        <v>328</v>
      </c>
      <c r="B209" s="115"/>
      <c r="C209" s="115"/>
      <c r="D209" s="115"/>
      <c r="E209" s="105"/>
      <c r="F209" s="115"/>
      <c r="G209" s="115"/>
      <c r="H209" s="115"/>
      <c r="I209" s="260">
        <v>0</v>
      </c>
      <c r="J209" s="310"/>
      <c r="K209" s="311"/>
      <c r="L209" s="115">
        <v>0</v>
      </c>
      <c r="M209" s="115"/>
      <c r="N209" s="311"/>
      <c r="O209" s="115"/>
      <c r="P209" s="311"/>
      <c r="Q209" s="115"/>
      <c r="R209" s="311"/>
      <c r="S209" s="115"/>
      <c r="T209" s="311"/>
      <c r="U209" s="115"/>
      <c r="V209" s="311"/>
      <c r="W209" s="115"/>
      <c r="X209" s="311"/>
      <c r="Y209" s="115"/>
      <c r="Z209" s="311"/>
      <c r="AA209" s="115"/>
      <c r="AB209" s="311"/>
      <c r="AC209" s="115"/>
      <c r="AD209" s="115"/>
    </row>
    <row r="210" spans="1:30">
      <c r="A210" s="255" t="s">
        <v>569</v>
      </c>
      <c r="B210" s="115"/>
      <c r="C210" s="115"/>
      <c r="D210" s="115"/>
      <c r="E210" s="105"/>
      <c r="F210" s="115"/>
      <c r="G210" s="115"/>
      <c r="H210" s="115"/>
      <c r="I210" s="260">
        <v>0</v>
      </c>
      <c r="J210" s="310"/>
      <c r="K210" s="311"/>
      <c r="L210" s="115">
        <v>0</v>
      </c>
      <c r="M210" s="115"/>
      <c r="N210" s="311"/>
      <c r="O210" s="115"/>
      <c r="P210" s="311"/>
      <c r="Q210" s="115"/>
      <c r="R210" s="311"/>
      <c r="S210" s="115"/>
      <c r="T210" s="311"/>
      <c r="U210" s="115"/>
      <c r="V210" s="311"/>
      <c r="W210" s="115"/>
      <c r="X210" s="311"/>
      <c r="Y210" s="115"/>
      <c r="Z210" s="311"/>
      <c r="AA210" s="115"/>
      <c r="AB210" s="311"/>
      <c r="AC210" s="115"/>
      <c r="AD210" s="115"/>
    </row>
    <row r="211" spans="1:30">
      <c r="A211" s="255" t="s">
        <v>382</v>
      </c>
      <c r="B211" s="260"/>
      <c r="C211" s="115"/>
      <c r="D211" s="115"/>
      <c r="E211" s="105"/>
      <c r="F211" s="115"/>
      <c r="G211" s="115"/>
      <c r="H211" s="115"/>
      <c r="I211" s="260">
        <v>0</v>
      </c>
      <c r="J211" s="310"/>
      <c r="K211" s="311"/>
      <c r="L211" s="115">
        <v>0</v>
      </c>
      <c r="M211" s="115"/>
      <c r="N211" s="311"/>
      <c r="O211" s="115"/>
      <c r="P211" s="311"/>
      <c r="Q211" s="115"/>
      <c r="R211" s="311"/>
      <c r="S211" s="115"/>
      <c r="T211" s="311"/>
      <c r="U211" s="115"/>
      <c r="V211" s="311"/>
      <c r="W211" s="115"/>
      <c r="X211" s="311"/>
      <c r="Y211" s="115"/>
      <c r="Z211" s="311"/>
      <c r="AA211" s="115"/>
      <c r="AB211" s="311"/>
      <c r="AC211" s="115"/>
      <c r="AD211" s="115"/>
    </row>
    <row r="212" spans="1:30">
      <c r="A212" s="255" t="s">
        <v>1214</v>
      </c>
      <c r="B212" s="115"/>
      <c r="C212" s="115"/>
      <c r="D212" s="115"/>
      <c r="E212" s="105"/>
      <c r="F212" s="115"/>
      <c r="G212" s="115"/>
      <c r="H212" s="115"/>
      <c r="I212" s="115"/>
      <c r="J212" s="311"/>
      <c r="K212" s="311">
        <v>25000</v>
      </c>
      <c r="L212" s="115"/>
      <c r="M212" s="115"/>
      <c r="N212" s="311"/>
      <c r="O212" s="115"/>
      <c r="P212" s="311"/>
      <c r="Q212" s="115"/>
      <c r="R212" s="311"/>
      <c r="S212" s="115"/>
      <c r="T212" s="311"/>
      <c r="U212" s="115"/>
      <c r="V212" s="311"/>
      <c r="W212" s="115"/>
      <c r="X212" s="311"/>
      <c r="Y212" s="115"/>
      <c r="Z212" s="311"/>
      <c r="AA212" s="115"/>
      <c r="AB212" s="311"/>
      <c r="AC212" s="115"/>
      <c r="AD212" s="115"/>
    </row>
    <row r="213" spans="1:30">
      <c r="A213" s="288" t="s">
        <v>1215</v>
      </c>
      <c r="B213" s="296"/>
      <c r="C213" s="296"/>
      <c r="D213" s="296"/>
      <c r="E213" s="217"/>
      <c r="F213" s="296"/>
      <c r="G213" s="296"/>
      <c r="H213" s="296"/>
      <c r="I213" s="296"/>
      <c r="J213" s="314"/>
      <c r="K213" s="314">
        <v>10000</v>
      </c>
      <c r="L213" s="296"/>
      <c r="M213" s="296"/>
      <c r="N213" s="314"/>
      <c r="O213" s="296"/>
      <c r="P213" s="314"/>
      <c r="Q213" s="296"/>
      <c r="R213" s="314"/>
      <c r="S213" s="296"/>
      <c r="T213" s="314"/>
      <c r="U213" s="296"/>
      <c r="V213" s="314"/>
      <c r="W213" s="296"/>
      <c r="X213" s="314"/>
      <c r="Y213" s="296"/>
      <c r="Z213" s="314"/>
      <c r="AA213" s="296"/>
      <c r="AB213" s="314"/>
      <c r="AC213" s="296"/>
      <c r="AD213" s="296"/>
    </row>
    <row r="214" spans="1:30">
      <c r="A214" s="255" t="s">
        <v>162</v>
      </c>
      <c r="B214" s="115"/>
      <c r="C214" s="115"/>
      <c r="D214" s="115"/>
      <c r="E214" s="105"/>
      <c r="F214" s="115"/>
      <c r="G214" s="115"/>
      <c r="H214" s="115"/>
      <c r="I214" s="260">
        <v>0</v>
      </c>
      <c r="J214" s="310"/>
      <c r="K214" s="311"/>
      <c r="L214" s="115">
        <v>0</v>
      </c>
      <c r="M214" s="115"/>
      <c r="N214" s="311"/>
      <c r="O214" s="115"/>
      <c r="P214" s="311"/>
      <c r="Q214" s="115"/>
      <c r="R214" s="311"/>
      <c r="S214" s="115"/>
      <c r="T214" s="311"/>
      <c r="U214" s="115"/>
      <c r="V214" s="311"/>
      <c r="W214" s="115"/>
      <c r="X214" s="311"/>
      <c r="Y214" s="115"/>
      <c r="Z214" s="311"/>
      <c r="AA214" s="115"/>
      <c r="AB214" s="311"/>
      <c r="AC214" s="115"/>
      <c r="AD214" s="115"/>
    </row>
    <row r="215" spans="1:30">
      <c r="A215" s="248" t="s">
        <v>852</v>
      </c>
      <c r="B215" s="115"/>
      <c r="C215" s="260"/>
      <c r="D215" s="260"/>
      <c r="E215" s="110"/>
      <c r="F215" s="260"/>
      <c r="G215" s="260"/>
      <c r="H215" s="260"/>
      <c r="I215" s="260">
        <v>0</v>
      </c>
      <c r="J215" s="310"/>
      <c r="K215" s="310"/>
      <c r="L215" s="260">
        <v>0</v>
      </c>
      <c r="M215" s="260"/>
      <c r="N215" s="310"/>
      <c r="O215" s="260"/>
      <c r="P215" s="310"/>
      <c r="Q215" s="260"/>
      <c r="R215" s="310"/>
      <c r="S215" s="260"/>
      <c r="T215" s="310"/>
      <c r="U215" s="260"/>
      <c r="V215" s="310"/>
      <c r="W215" s="260"/>
      <c r="X215" s="310"/>
      <c r="Y215" s="260"/>
      <c r="Z215" s="310"/>
      <c r="AA215" s="260"/>
      <c r="AB215" s="310"/>
      <c r="AC215" s="260"/>
      <c r="AD215" s="260"/>
    </row>
    <row r="216" spans="1:30">
      <c r="A216" s="255" t="s">
        <v>571</v>
      </c>
      <c r="B216" s="115"/>
      <c r="C216" s="115"/>
      <c r="D216" s="115"/>
      <c r="E216" s="105"/>
      <c r="F216" s="115"/>
      <c r="G216" s="115"/>
      <c r="H216" s="115"/>
      <c r="I216" s="260">
        <v>0</v>
      </c>
      <c r="J216" s="310"/>
      <c r="K216" s="311"/>
      <c r="L216" s="115">
        <v>0</v>
      </c>
      <c r="M216" s="115"/>
      <c r="N216" s="311"/>
      <c r="O216" s="115"/>
      <c r="P216" s="311"/>
      <c r="Q216" s="115"/>
      <c r="R216" s="311"/>
      <c r="S216" s="115"/>
      <c r="T216" s="311"/>
      <c r="U216" s="115"/>
      <c r="V216" s="311"/>
      <c r="W216" s="115"/>
      <c r="X216" s="311"/>
      <c r="Y216" s="115"/>
      <c r="Z216" s="311"/>
      <c r="AA216" s="115"/>
      <c r="AB216" s="311"/>
      <c r="AC216" s="115"/>
      <c r="AD216" s="115"/>
    </row>
    <row r="217" spans="1:30">
      <c r="A217" s="255" t="s">
        <v>573</v>
      </c>
      <c r="B217" s="115"/>
      <c r="C217" s="115"/>
      <c r="D217" s="115"/>
      <c r="E217" s="105"/>
      <c r="F217" s="115"/>
      <c r="G217" s="115"/>
      <c r="H217" s="115"/>
      <c r="I217" s="260">
        <v>0</v>
      </c>
      <c r="J217" s="310"/>
      <c r="K217" s="311"/>
      <c r="L217" s="115">
        <v>0</v>
      </c>
      <c r="M217" s="115"/>
      <c r="N217" s="311"/>
      <c r="O217" s="115"/>
      <c r="P217" s="311"/>
      <c r="Q217" s="115"/>
      <c r="R217" s="311"/>
      <c r="S217" s="115"/>
      <c r="T217" s="311"/>
      <c r="U217" s="115"/>
      <c r="V217" s="311"/>
      <c r="W217" s="115"/>
      <c r="X217" s="311"/>
      <c r="Y217" s="115"/>
      <c r="Z217" s="311"/>
      <c r="AA217" s="115"/>
      <c r="AB217" s="311"/>
      <c r="AC217" s="115"/>
      <c r="AD217" s="115"/>
    </row>
    <row r="218" spans="1:30">
      <c r="A218" s="265" t="s">
        <v>575</v>
      </c>
      <c r="B218" s="115"/>
      <c r="C218" s="115"/>
      <c r="D218" s="115"/>
      <c r="E218" s="105"/>
      <c r="F218" s="115"/>
      <c r="G218" s="115"/>
      <c r="H218" s="115"/>
      <c r="I218" s="260">
        <v>0</v>
      </c>
      <c r="J218" s="310"/>
      <c r="K218" s="311"/>
      <c r="L218" s="115">
        <v>0</v>
      </c>
      <c r="M218" s="115"/>
      <c r="N218" s="311"/>
      <c r="O218" s="115"/>
      <c r="P218" s="311"/>
      <c r="Q218" s="115"/>
      <c r="R218" s="311"/>
      <c r="S218" s="115"/>
      <c r="T218" s="311"/>
      <c r="U218" s="115"/>
      <c r="V218" s="311"/>
      <c r="W218" s="115"/>
      <c r="X218" s="311"/>
      <c r="Y218" s="115"/>
      <c r="Z218" s="311"/>
      <c r="AA218" s="115"/>
      <c r="AB218" s="311"/>
      <c r="AC218" s="115"/>
      <c r="AD218" s="115"/>
    </row>
    <row r="219" spans="1:30">
      <c r="A219" s="255" t="s">
        <v>577</v>
      </c>
      <c r="B219" s="260"/>
      <c r="C219" s="115"/>
      <c r="D219" s="115"/>
      <c r="E219" s="105"/>
      <c r="F219" s="115"/>
      <c r="G219" s="115"/>
      <c r="H219" s="115"/>
      <c r="I219" s="260">
        <v>0</v>
      </c>
      <c r="J219" s="310"/>
      <c r="K219" s="311"/>
      <c r="L219" s="115">
        <v>0</v>
      </c>
      <c r="M219" s="115"/>
      <c r="N219" s="311"/>
      <c r="O219" s="115"/>
      <c r="P219" s="311"/>
      <c r="Q219" s="115"/>
      <c r="R219" s="311"/>
      <c r="S219" s="115"/>
      <c r="T219" s="311"/>
      <c r="U219" s="115"/>
      <c r="V219" s="311"/>
      <c r="W219" s="115"/>
      <c r="X219" s="311"/>
      <c r="Y219" s="115"/>
      <c r="Z219" s="311"/>
      <c r="AA219" s="115"/>
      <c r="AB219" s="311"/>
      <c r="AC219" s="115"/>
      <c r="AD219" s="115"/>
    </row>
    <row r="220" spans="1:30">
      <c r="A220" s="255" t="s">
        <v>579</v>
      </c>
      <c r="B220" s="115"/>
      <c r="C220" s="115"/>
      <c r="D220" s="115"/>
      <c r="E220" s="105"/>
      <c r="F220" s="115"/>
      <c r="G220" s="115"/>
      <c r="H220" s="115"/>
      <c r="I220" s="260">
        <v>0</v>
      </c>
      <c r="J220" s="310"/>
      <c r="K220" s="311"/>
      <c r="L220" s="115">
        <v>0</v>
      </c>
      <c r="M220" s="115"/>
      <c r="N220" s="311"/>
      <c r="O220" s="115"/>
      <c r="P220" s="311"/>
      <c r="Q220" s="115"/>
      <c r="R220" s="311"/>
      <c r="S220" s="115"/>
      <c r="T220" s="311"/>
      <c r="U220" s="115"/>
      <c r="V220" s="311"/>
      <c r="W220" s="115"/>
      <c r="X220" s="311"/>
      <c r="Y220" s="115"/>
      <c r="Z220" s="311"/>
      <c r="AA220" s="115"/>
      <c r="AB220" s="311"/>
      <c r="AC220" s="115"/>
      <c r="AD220" s="115"/>
    </row>
    <row r="221" spans="1:30">
      <c r="A221" s="255" t="s">
        <v>305</v>
      </c>
      <c r="B221" s="115"/>
      <c r="C221" s="115"/>
      <c r="D221" s="115"/>
      <c r="E221" s="105"/>
      <c r="F221" s="115"/>
      <c r="G221" s="115"/>
      <c r="H221" s="115"/>
      <c r="I221" s="260">
        <v>0</v>
      </c>
      <c r="J221" s="310"/>
      <c r="K221" s="311">
        <v>20000</v>
      </c>
      <c r="L221" s="115">
        <v>-20000</v>
      </c>
      <c r="M221" s="115"/>
      <c r="N221" s="311">
        <v>200000</v>
      </c>
      <c r="O221" s="115"/>
      <c r="P221" s="311"/>
      <c r="Q221" s="115"/>
      <c r="R221" s="311"/>
      <c r="S221" s="115"/>
      <c r="T221" s="311"/>
      <c r="U221" s="115"/>
      <c r="V221" s="311"/>
      <c r="W221" s="115"/>
      <c r="X221" s="311"/>
      <c r="Y221" s="115"/>
      <c r="Z221" s="311"/>
      <c r="AA221" s="115"/>
      <c r="AB221" s="311"/>
      <c r="AC221" s="115"/>
      <c r="AD221" s="115"/>
    </row>
    <row r="222" spans="1:30">
      <c r="A222" s="255" t="s">
        <v>165</v>
      </c>
      <c r="B222" s="115"/>
      <c r="C222" s="115"/>
      <c r="D222" s="115"/>
      <c r="E222" s="105"/>
      <c r="F222" s="115"/>
      <c r="G222" s="115"/>
      <c r="H222" s="115"/>
      <c r="I222" s="260">
        <v>0</v>
      </c>
      <c r="J222" s="310"/>
      <c r="K222" s="311"/>
      <c r="L222" s="115">
        <v>0</v>
      </c>
      <c r="M222" s="115"/>
      <c r="N222" s="311"/>
      <c r="O222" s="115"/>
      <c r="P222" s="311"/>
      <c r="Q222" s="115"/>
      <c r="R222" s="311"/>
      <c r="S222" s="115"/>
      <c r="T222" s="311"/>
      <c r="U222" s="115"/>
      <c r="V222" s="311"/>
      <c r="W222" s="115"/>
      <c r="X222" s="311"/>
      <c r="Y222" s="115"/>
      <c r="Z222" s="311"/>
      <c r="AA222" s="115"/>
      <c r="AB222" s="311"/>
      <c r="AC222" s="115"/>
      <c r="AD222" s="115"/>
    </row>
    <row r="223" spans="1:30">
      <c r="A223" s="255" t="s">
        <v>581</v>
      </c>
      <c r="B223" s="115"/>
      <c r="C223" s="115"/>
      <c r="D223" s="115"/>
      <c r="E223" s="105"/>
      <c r="F223" s="115"/>
      <c r="G223" s="115"/>
      <c r="H223" s="115"/>
      <c r="I223" s="260">
        <v>0</v>
      </c>
      <c r="J223" s="310"/>
      <c r="K223" s="311"/>
      <c r="L223" s="115">
        <v>0</v>
      </c>
      <c r="M223" s="115"/>
      <c r="N223" s="311"/>
      <c r="O223" s="115"/>
      <c r="P223" s="311"/>
      <c r="Q223" s="115"/>
      <c r="R223" s="311"/>
      <c r="S223" s="115"/>
      <c r="T223" s="311"/>
      <c r="U223" s="115"/>
      <c r="V223" s="311"/>
      <c r="W223" s="115"/>
      <c r="X223" s="311"/>
      <c r="Y223" s="115"/>
      <c r="Z223" s="311"/>
      <c r="AA223" s="115"/>
      <c r="AB223" s="311"/>
      <c r="AC223" s="115"/>
      <c r="AD223" s="115"/>
    </row>
    <row r="224" spans="1:30">
      <c r="A224" s="248" t="s">
        <v>854</v>
      </c>
      <c r="B224" s="260"/>
      <c r="C224" s="260"/>
      <c r="D224" s="260"/>
      <c r="E224" s="110"/>
      <c r="F224" s="260"/>
      <c r="G224" s="260"/>
      <c r="H224" s="260"/>
      <c r="I224" s="260">
        <v>0</v>
      </c>
      <c r="J224" s="310"/>
      <c r="K224" s="310"/>
      <c r="L224" s="260">
        <v>0</v>
      </c>
      <c r="M224" s="260"/>
      <c r="N224" s="310">
        <v>250000</v>
      </c>
      <c r="O224" s="260"/>
      <c r="P224" s="310">
        <v>500000</v>
      </c>
      <c r="Q224" s="260"/>
      <c r="R224" s="310">
        <v>500000</v>
      </c>
      <c r="S224" s="260"/>
      <c r="T224" s="310">
        <v>500000</v>
      </c>
      <c r="U224" s="260"/>
      <c r="V224" s="310">
        <v>500000</v>
      </c>
      <c r="W224" s="260"/>
      <c r="X224" s="310">
        <v>500000</v>
      </c>
      <c r="Y224" s="260"/>
      <c r="Z224" s="310">
        <v>500000</v>
      </c>
      <c r="AA224" s="260"/>
      <c r="AB224" s="310">
        <v>500000</v>
      </c>
      <c r="AC224" s="260"/>
      <c r="AD224" s="260"/>
    </row>
    <row r="225" spans="1:30">
      <c r="A225" s="255" t="s">
        <v>167</v>
      </c>
      <c r="B225" s="115"/>
      <c r="C225" s="115"/>
      <c r="D225" s="115"/>
      <c r="E225" s="105"/>
      <c r="F225" s="115"/>
      <c r="G225" s="115"/>
      <c r="H225" s="115"/>
      <c r="I225" s="260">
        <v>0</v>
      </c>
      <c r="J225" s="310"/>
      <c r="K225" s="311"/>
      <c r="L225" s="115">
        <v>0</v>
      </c>
      <c r="M225" s="115"/>
      <c r="N225" s="311"/>
      <c r="O225" s="115"/>
      <c r="P225" s="311"/>
      <c r="Q225" s="115"/>
      <c r="R225" s="311"/>
      <c r="S225" s="115"/>
      <c r="T225" s="311"/>
      <c r="U225" s="115"/>
      <c r="V225" s="311"/>
      <c r="W225" s="115"/>
      <c r="X225" s="311"/>
      <c r="Y225" s="115"/>
      <c r="Z225" s="311"/>
      <c r="AA225" s="115"/>
      <c r="AB225" s="311"/>
      <c r="AC225" s="115"/>
      <c r="AD225" s="115"/>
    </row>
    <row r="226" spans="1:30">
      <c r="A226" s="255" t="s">
        <v>268</v>
      </c>
      <c r="B226" s="260"/>
      <c r="C226" s="115"/>
      <c r="D226" s="115" t="s">
        <v>620</v>
      </c>
      <c r="E226" s="105"/>
      <c r="F226" s="115">
        <v>260000</v>
      </c>
      <c r="G226" s="115"/>
      <c r="H226" s="115"/>
      <c r="I226" s="260">
        <v>260000</v>
      </c>
      <c r="J226" s="310"/>
      <c r="K226" s="311">
        <v>260000</v>
      </c>
      <c r="L226" s="115">
        <v>0</v>
      </c>
      <c r="M226" s="115"/>
      <c r="N226" s="311"/>
      <c r="O226" s="115"/>
      <c r="P226" s="311"/>
      <c r="Q226" s="115"/>
      <c r="R226" s="311"/>
      <c r="S226" s="115"/>
      <c r="T226" s="311"/>
      <c r="U226" s="115"/>
      <c r="V226" s="311"/>
      <c r="W226" s="115"/>
      <c r="X226" s="311"/>
      <c r="Y226" s="115"/>
      <c r="Z226" s="311"/>
      <c r="AA226" s="115"/>
      <c r="AB226" s="311"/>
      <c r="AC226" s="115"/>
      <c r="AD226" s="115"/>
    </row>
    <row r="227" spans="1:30">
      <c r="A227" s="255" t="s">
        <v>599</v>
      </c>
      <c r="B227" s="115"/>
      <c r="C227" s="115"/>
      <c r="D227" s="115"/>
      <c r="E227" s="105"/>
      <c r="F227" s="115"/>
      <c r="G227" s="115"/>
      <c r="H227" s="115"/>
      <c r="I227" s="260"/>
      <c r="J227" s="310"/>
      <c r="K227" s="311">
        <v>25000</v>
      </c>
      <c r="L227" s="115"/>
      <c r="M227" s="115"/>
      <c r="N227" s="311">
        <v>35000</v>
      </c>
      <c r="O227" s="115"/>
      <c r="P227" s="311">
        <v>35000</v>
      </c>
      <c r="Q227" s="115"/>
      <c r="R227" s="311">
        <v>35000</v>
      </c>
      <c r="S227" s="115"/>
      <c r="T227" s="311">
        <v>35000</v>
      </c>
      <c r="U227" s="115"/>
      <c r="V227" s="311">
        <v>35000</v>
      </c>
      <c r="W227" s="115"/>
      <c r="X227" s="311">
        <v>35000</v>
      </c>
      <c r="Y227" s="115"/>
      <c r="Z227" s="311">
        <v>35000</v>
      </c>
      <c r="AA227" s="115"/>
      <c r="AB227" s="311">
        <v>35000</v>
      </c>
      <c r="AC227" s="115"/>
      <c r="AD227" s="115"/>
    </row>
    <row r="228" spans="1:30">
      <c r="A228" s="255" t="s">
        <v>227</v>
      </c>
      <c r="B228" s="115"/>
      <c r="C228" s="115"/>
      <c r="D228" s="115"/>
      <c r="E228" s="105"/>
      <c r="F228" s="115"/>
      <c r="G228" s="115"/>
      <c r="H228" s="115"/>
      <c r="I228" s="260">
        <v>0</v>
      </c>
      <c r="J228" s="310"/>
      <c r="K228" s="311"/>
      <c r="L228" s="115">
        <v>0</v>
      </c>
      <c r="M228" s="115"/>
      <c r="N228" s="311"/>
      <c r="O228" s="115"/>
      <c r="P228" s="311"/>
      <c r="Q228" s="115"/>
      <c r="R228" s="311"/>
      <c r="S228" s="115"/>
      <c r="T228" s="311"/>
      <c r="U228" s="115"/>
      <c r="V228" s="311"/>
      <c r="W228" s="115"/>
      <c r="X228" s="311"/>
      <c r="Y228" s="115"/>
      <c r="Z228" s="311"/>
      <c r="AA228" s="115"/>
      <c r="AB228" s="311"/>
      <c r="AC228" s="115"/>
      <c r="AD228" s="115"/>
    </row>
    <row r="229" spans="1:30">
      <c r="A229" s="255" t="s">
        <v>406</v>
      </c>
      <c r="B229" s="115">
        <v>282</v>
      </c>
      <c r="C229" s="115"/>
      <c r="D229" s="115" t="s">
        <v>21</v>
      </c>
      <c r="E229" s="105" t="s">
        <v>1102</v>
      </c>
      <c r="F229" s="115">
        <v>200000</v>
      </c>
      <c r="G229" s="115"/>
      <c r="H229" s="115">
        <v>282</v>
      </c>
      <c r="I229" s="260">
        <v>199718</v>
      </c>
      <c r="J229" s="310"/>
      <c r="K229" s="311">
        <v>50000</v>
      </c>
      <c r="L229" s="115">
        <v>149718</v>
      </c>
      <c r="M229" s="115"/>
      <c r="N229" s="311">
        <v>149718</v>
      </c>
      <c r="O229" s="115"/>
      <c r="P229" s="311"/>
      <c r="Q229" s="115"/>
      <c r="R229" s="311"/>
      <c r="S229" s="115"/>
      <c r="T229" s="311"/>
      <c r="U229" s="115"/>
      <c r="V229" s="311"/>
      <c r="W229" s="115"/>
      <c r="X229" s="311"/>
      <c r="Y229" s="115"/>
      <c r="Z229" s="311"/>
      <c r="AA229" s="115"/>
      <c r="AB229" s="311"/>
      <c r="AC229" s="115"/>
      <c r="AD229" s="115"/>
    </row>
    <row r="230" spans="1:30">
      <c r="A230" s="255" t="s">
        <v>169</v>
      </c>
      <c r="B230" s="115"/>
      <c r="C230" s="115"/>
      <c r="D230" s="115"/>
      <c r="E230" s="105"/>
      <c r="F230" s="115"/>
      <c r="G230" s="115"/>
      <c r="H230" s="115"/>
      <c r="I230" s="260">
        <v>0</v>
      </c>
      <c r="J230" s="310"/>
      <c r="K230" s="311"/>
      <c r="L230" s="115">
        <v>0</v>
      </c>
      <c r="M230" s="115"/>
      <c r="N230" s="311"/>
      <c r="O230" s="115"/>
      <c r="P230" s="311"/>
      <c r="Q230" s="115"/>
      <c r="R230" s="311"/>
      <c r="S230" s="115"/>
      <c r="T230" s="311"/>
      <c r="U230" s="115"/>
      <c r="V230" s="311"/>
      <c r="W230" s="115"/>
      <c r="X230" s="311"/>
      <c r="Y230" s="115"/>
      <c r="Z230" s="311"/>
      <c r="AA230" s="115"/>
      <c r="AB230" s="311"/>
      <c r="AC230" s="115"/>
      <c r="AD230" s="115"/>
    </row>
    <row r="231" spans="1:30">
      <c r="A231" s="255" t="s">
        <v>230</v>
      </c>
      <c r="B231" s="115"/>
      <c r="C231" s="115"/>
      <c r="D231" s="115"/>
      <c r="E231" s="105"/>
      <c r="F231" s="115"/>
      <c r="G231" s="115"/>
      <c r="H231" s="115"/>
      <c r="I231" s="260">
        <v>0</v>
      </c>
      <c r="J231" s="310"/>
      <c r="K231" s="311"/>
      <c r="L231" s="115">
        <v>0</v>
      </c>
      <c r="M231" s="115"/>
      <c r="N231" s="311"/>
      <c r="O231" s="115"/>
      <c r="P231" s="311"/>
      <c r="Q231" s="115"/>
      <c r="R231" s="311"/>
      <c r="S231" s="115"/>
      <c r="T231" s="311"/>
      <c r="U231" s="115"/>
      <c r="V231" s="311"/>
      <c r="W231" s="115"/>
      <c r="X231" s="311"/>
      <c r="Y231" s="115"/>
      <c r="Z231" s="311"/>
      <c r="AA231" s="115"/>
      <c r="AB231" s="311"/>
      <c r="AC231" s="115"/>
      <c r="AD231" s="115"/>
    </row>
    <row r="232" spans="1:30">
      <c r="A232" s="255" t="s">
        <v>331</v>
      </c>
      <c r="B232" s="115">
        <v>793793.45</v>
      </c>
      <c r="C232" s="115"/>
      <c r="D232" s="115" t="s">
        <v>74</v>
      </c>
      <c r="E232" s="105"/>
      <c r="F232" s="115"/>
      <c r="G232" s="115"/>
      <c r="H232" s="115">
        <v>793793.45</v>
      </c>
      <c r="I232" s="260">
        <v>-793793.45</v>
      </c>
      <c r="J232" s="310"/>
      <c r="K232" s="311"/>
      <c r="L232" s="115">
        <v>-793793.45</v>
      </c>
      <c r="M232" s="115"/>
      <c r="N232" s="311"/>
      <c r="O232" s="115"/>
      <c r="P232" s="311"/>
      <c r="Q232" s="115"/>
      <c r="R232" s="311"/>
      <c r="S232" s="115"/>
      <c r="T232" s="311"/>
      <c r="U232" s="115"/>
      <c r="V232" s="311"/>
      <c r="W232" s="115"/>
      <c r="X232" s="311"/>
      <c r="Y232" s="115"/>
      <c r="Z232" s="311"/>
      <c r="AA232" s="115"/>
      <c r="AB232" s="311"/>
      <c r="AC232" s="115"/>
      <c r="AD232" s="115"/>
    </row>
    <row r="233" spans="1:30">
      <c r="A233" s="255" t="s">
        <v>334</v>
      </c>
      <c r="B233" s="115"/>
      <c r="C233" s="115"/>
      <c r="D233" s="115"/>
      <c r="E233" s="105"/>
      <c r="F233" s="115"/>
      <c r="G233" s="115"/>
      <c r="H233" s="115"/>
      <c r="I233" s="260">
        <v>0</v>
      </c>
      <c r="J233" s="310"/>
      <c r="K233" s="311"/>
      <c r="L233" s="115">
        <v>0</v>
      </c>
      <c r="M233" s="115"/>
      <c r="N233" s="311"/>
      <c r="O233" s="115"/>
      <c r="P233" s="311"/>
      <c r="Q233" s="115"/>
      <c r="R233" s="311"/>
      <c r="S233" s="115"/>
      <c r="T233" s="311"/>
      <c r="U233" s="115"/>
      <c r="V233" s="311"/>
      <c r="W233" s="115"/>
      <c r="X233" s="311"/>
      <c r="Y233" s="115"/>
      <c r="Z233" s="311"/>
      <c r="AA233" s="115"/>
      <c r="AB233" s="311"/>
      <c r="AC233" s="115"/>
      <c r="AD233" s="115"/>
    </row>
    <row r="234" spans="1:30">
      <c r="A234" s="248" t="s">
        <v>837</v>
      </c>
      <c r="B234" s="115"/>
      <c r="C234" s="260"/>
      <c r="D234" s="260" t="s">
        <v>75</v>
      </c>
      <c r="E234" s="110"/>
      <c r="F234" s="260">
        <v>2000000</v>
      </c>
      <c r="G234" s="260"/>
      <c r="H234" s="260"/>
      <c r="I234" s="260">
        <v>2000000</v>
      </c>
      <c r="J234" s="310"/>
      <c r="K234" s="310"/>
      <c r="L234" s="260">
        <v>2000000</v>
      </c>
      <c r="M234" s="260"/>
      <c r="N234" s="310"/>
      <c r="O234" s="260"/>
      <c r="P234" s="310">
        <v>500000</v>
      </c>
      <c r="Q234" s="260"/>
      <c r="R234" s="310">
        <v>500000</v>
      </c>
      <c r="S234" s="260"/>
      <c r="T234" s="310">
        <v>500000</v>
      </c>
      <c r="U234" s="260"/>
      <c r="V234" s="310">
        <v>500000</v>
      </c>
      <c r="W234" s="260"/>
      <c r="X234" s="310"/>
      <c r="Y234" s="260"/>
      <c r="Z234" s="310"/>
      <c r="AA234" s="260"/>
      <c r="AB234" s="310"/>
      <c r="AC234" s="260"/>
      <c r="AD234" s="260"/>
    </row>
    <row r="235" spans="1:30">
      <c r="A235" s="255" t="s">
        <v>841</v>
      </c>
      <c r="B235" s="115"/>
      <c r="C235" s="115"/>
      <c r="D235" s="115" t="s">
        <v>75</v>
      </c>
      <c r="E235" s="105"/>
      <c r="F235" s="115">
        <v>2000000</v>
      </c>
      <c r="G235" s="115"/>
      <c r="H235" s="115"/>
      <c r="I235" s="260">
        <v>2000000</v>
      </c>
      <c r="J235" s="310"/>
      <c r="K235" s="311"/>
      <c r="L235" s="115">
        <v>2000000</v>
      </c>
      <c r="M235" s="115"/>
      <c r="N235" s="311"/>
      <c r="O235" s="115"/>
      <c r="P235" s="311"/>
      <c r="Q235" s="115"/>
      <c r="R235" s="311"/>
      <c r="S235" s="115"/>
      <c r="T235" s="311"/>
      <c r="U235" s="115"/>
      <c r="V235" s="311"/>
      <c r="W235" s="115"/>
      <c r="X235" s="310">
        <v>500000</v>
      </c>
      <c r="Y235" s="115"/>
      <c r="Z235" s="310">
        <v>500000</v>
      </c>
      <c r="AA235" s="115"/>
      <c r="AB235" s="310">
        <v>500000</v>
      </c>
      <c r="AC235" s="115"/>
      <c r="AD235" s="115"/>
    </row>
    <row r="236" spans="1:30">
      <c r="A236" s="255" t="s">
        <v>385</v>
      </c>
      <c r="B236" s="115">
        <v>4301</v>
      </c>
      <c r="C236" s="115"/>
      <c r="D236" s="115" t="s">
        <v>74</v>
      </c>
      <c r="E236" s="105" t="s">
        <v>1103</v>
      </c>
      <c r="F236" s="115">
        <v>167000</v>
      </c>
      <c r="G236" s="115"/>
      <c r="H236" s="115">
        <v>4301</v>
      </c>
      <c r="I236" s="260">
        <v>162699</v>
      </c>
      <c r="J236" s="310"/>
      <c r="K236" s="311">
        <v>150000</v>
      </c>
      <c r="L236" s="115">
        <v>12699</v>
      </c>
      <c r="M236" s="115"/>
      <c r="N236" s="311"/>
      <c r="O236" s="115"/>
      <c r="P236" s="311"/>
      <c r="Q236" s="115"/>
      <c r="R236" s="311"/>
      <c r="S236" s="115"/>
      <c r="T236" s="311"/>
      <c r="U236" s="115"/>
      <c r="V236" s="311"/>
      <c r="W236" s="115"/>
      <c r="X236" s="311"/>
      <c r="Y236" s="115"/>
      <c r="Z236" s="311"/>
      <c r="AA236" s="115"/>
      <c r="AB236" s="311"/>
      <c r="AC236" s="115"/>
      <c r="AD236" s="115"/>
    </row>
    <row r="237" spans="1:30">
      <c r="A237" s="255" t="s">
        <v>583</v>
      </c>
      <c r="B237" s="115"/>
      <c r="C237" s="115">
        <v>450000</v>
      </c>
      <c r="D237" s="115" t="s">
        <v>620</v>
      </c>
      <c r="E237" s="105" t="s">
        <v>842</v>
      </c>
      <c r="F237" s="297">
        <v>450000</v>
      </c>
      <c r="G237" s="297">
        <v>450000</v>
      </c>
      <c r="H237" s="297"/>
      <c r="I237" s="260">
        <v>450000</v>
      </c>
      <c r="J237" s="310"/>
      <c r="K237" s="315">
        <v>50000</v>
      </c>
      <c r="L237" s="297">
        <v>400000</v>
      </c>
      <c r="M237" s="297"/>
      <c r="N237" s="315">
        <v>50000</v>
      </c>
      <c r="O237" s="297"/>
      <c r="P237" s="315">
        <v>350000</v>
      </c>
      <c r="Q237" s="115"/>
      <c r="R237" s="311"/>
      <c r="S237" s="115"/>
      <c r="T237" s="311"/>
      <c r="U237" s="115"/>
      <c r="V237" s="311"/>
      <c r="W237" s="115"/>
      <c r="X237" s="311"/>
      <c r="Y237" s="115"/>
      <c r="Z237" s="311"/>
      <c r="AA237" s="115"/>
      <c r="AB237" s="311"/>
      <c r="AC237" s="115"/>
      <c r="AD237" s="115"/>
    </row>
    <row r="238" spans="1:30">
      <c r="A238" s="255" t="s">
        <v>585</v>
      </c>
      <c r="B238" s="115"/>
      <c r="C238" s="115"/>
      <c r="D238" s="115"/>
      <c r="E238" s="105"/>
      <c r="F238" s="115"/>
      <c r="G238" s="115"/>
      <c r="H238" s="115"/>
      <c r="I238" s="260">
        <v>0</v>
      </c>
      <c r="J238" s="310"/>
      <c r="K238" s="311"/>
      <c r="L238" s="115">
        <v>0</v>
      </c>
      <c r="M238" s="115"/>
      <c r="N238" s="311"/>
      <c r="O238" s="115"/>
      <c r="P238" s="311"/>
      <c r="Q238" s="115"/>
      <c r="R238" s="311"/>
      <c r="S238" s="115"/>
      <c r="T238" s="311"/>
      <c r="U238" s="115"/>
      <c r="V238" s="311"/>
      <c r="W238" s="115"/>
      <c r="X238" s="311"/>
      <c r="Y238" s="115"/>
      <c r="Z238" s="311"/>
      <c r="AA238" s="115"/>
      <c r="AB238" s="311"/>
      <c r="AC238" s="115"/>
      <c r="AD238" s="115"/>
    </row>
    <row r="239" spans="1:30">
      <c r="A239" s="255" t="s">
        <v>388</v>
      </c>
      <c r="B239" s="115">
        <v>98854</v>
      </c>
      <c r="C239" s="115"/>
      <c r="D239" s="115" t="s">
        <v>74</v>
      </c>
      <c r="E239" s="105" t="s">
        <v>1097</v>
      </c>
      <c r="F239" s="298">
        <v>108000</v>
      </c>
      <c r="G239" s="298"/>
      <c r="H239" s="298">
        <f>Tabelle4[[#This Row],[Kredit-  / Budgetsumme
(RADAR: Gesamtkosten S)]]-Tabelle4[[#This Row],[Kreditrest per 1.1. aktuelles Jahr]]</f>
        <v>4301</v>
      </c>
      <c r="I239" s="260">
        <v>9146</v>
      </c>
      <c r="J239" s="310"/>
      <c r="K239" s="316"/>
      <c r="L239" s="298">
        <v>9146</v>
      </c>
      <c r="M239" s="298"/>
      <c r="N239" s="316"/>
      <c r="O239" s="298"/>
      <c r="P239" s="316"/>
      <c r="Q239" s="115"/>
      <c r="R239" s="311"/>
      <c r="S239" s="115"/>
      <c r="T239" s="311"/>
      <c r="U239" s="115"/>
      <c r="V239" s="311"/>
      <c r="W239" s="115"/>
      <c r="X239" s="311"/>
      <c r="Y239" s="115"/>
      <c r="Z239" s="311"/>
      <c r="AA239" s="115"/>
      <c r="AB239" s="311"/>
      <c r="AC239" s="115"/>
      <c r="AD239" s="115"/>
    </row>
    <row r="240" spans="1:30">
      <c r="A240" s="255" t="s">
        <v>1219</v>
      </c>
      <c r="B240" s="115"/>
      <c r="C240" s="115"/>
      <c r="D240" s="115"/>
      <c r="E240" s="105"/>
      <c r="F240" s="115"/>
      <c r="G240" s="115"/>
      <c r="H240" s="115"/>
      <c r="I240" s="260"/>
      <c r="J240" s="310"/>
      <c r="K240" s="311">
        <v>70800</v>
      </c>
      <c r="L240" s="115"/>
      <c r="M240" s="115"/>
      <c r="N240" s="311">
        <v>95000</v>
      </c>
      <c r="O240" s="115"/>
      <c r="P240" s="311">
        <v>95000</v>
      </c>
      <c r="Q240" s="115"/>
      <c r="R240" s="311">
        <v>95000</v>
      </c>
      <c r="S240" s="115"/>
      <c r="T240" s="311">
        <v>95000</v>
      </c>
      <c r="U240" s="115"/>
      <c r="V240" s="311">
        <v>95000</v>
      </c>
      <c r="W240" s="115"/>
      <c r="X240" s="311">
        <v>95000</v>
      </c>
      <c r="Y240" s="115"/>
      <c r="Z240" s="311">
        <v>95000</v>
      </c>
      <c r="AA240" s="115"/>
      <c r="AB240" s="311">
        <v>95000</v>
      </c>
      <c r="AC240" s="115"/>
      <c r="AD240" s="115"/>
    </row>
    <row r="241" spans="1:30">
      <c r="A241" s="299"/>
      <c r="B241" s="307"/>
      <c r="C241" s="307"/>
      <c r="D241" s="307"/>
      <c r="E241" s="133"/>
      <c r="F241" s="307"/>
      <c r="G241" s="307"/>
      <c r="H241" s="307"/>
      <c r="I241" s="307"/>
      <c r="J241" s="132"/>
      <c r="K241" s="132"/>
      <c r="L241" s="307">
        <v>0</v>
      </c>
      <c r="M241" s="307"/>
      <c r="N241" s="132"/>
      <c r="O241" s="307"/>
      <c r="P241" s="132"/>
      <c r="Q241" s="307"/>
      <c r="R241" s="132"/>
      <c r="S241" s="307"/>
      <c r="T241" s="132"/>
      <c r="U241" s="307"/>
      <c r="V241" s="132"/>
      <c r="W241" s="307"/>
      <c r="X241" s="132"/>
      <c r="Y241" s="307"/>
      <c r="Z241" s="132"/>
      <c r="AA241" s="307"/>
      <c r="AB241" s="132"/>
      <c r="AC241" s="307"/>
      <c r="AD241" s="307"/>
    </row>
    <row r="242" spans="1:30">
      <c r="A242" s="299"/>
      <c r="B242" s="307"/>
      <c r="C242" s="307"/>
      <c r="D242" s="307"/>
      <c r="E242" s="133"/>
      <c r="F242" s="307"/>
      <c r="G242" s="307"/>
      <c r="H242" s="307"/>
      <c r="I242" s="307"/>
      <c r="J242" s="132"/>
      <c r="K242" s="132"/>
      <c r="L242" s="307">
        <f>Tabelle4[[#This Row],[Kreditrest per 1.1. aktuelles Jahr]]-Tabelle4[[#This Row],[Prognose 2018
(RADAR: Kosten 2018 S)]]</f>
        <v>9146</v>
      </c>
      <c r="M242" s="307"/>
      <c r="N242" s="132"/>
      <c r="O242" s="307"/>
      <c r="P242" s="132"/>
      <c r="Q242" s="307"/>
      <c r="R242" s="132"/>
      <c r="S242" s="307"/>
      <c r="T242" s="132"/>
      <c r="U242" s="307"/>
      <c r="V242" s="132"/>
      <c r="W242" s="307"/>
      <c r="X242" s="132"/>
      <c r="Y242" s="307"/>
      <c r="Z242" s="132"/>
      <c r="AA242" s="307"/>
      <c r="AB242" s="132"/>
      <c r="AC242" s="307"/>
      <c r="AD242" s="307"/>
    </row>
    <row r="243" spans="1:30">
      <c r="A243" s="345"/>
      <c r="B243" s="351"/>
      <c r="C243" s="351"/>
      <c r="D243" s="351"/>
      <c r="E243" s="351"/>
      <c r="F243" s="351"/>
      <c r="G243" s="351"/>
      <c r="H243" s="351"/>
      <c r="I243" s="351"/>
      <c r="J243" s="352"/>
      <c r="K243" s="352"/>
      <c r="L243" s="351"/>
      <c r="M243" s="351"/>
      <c r="N243" s="352"/>
      <c r="O243" s="351"/>
      <c r="P243" s="352"/>
      <c r="Q243" s="351"/>
      <c r="R243" s="352"/>
      <c r="S243" s="351"/>
      <c r="T243" s="352"/>
      <c r="U243" s="351"/>
      <c r="V243" s="352"/>
      <c r="W243" s="351"/>
      <c r="X243" s="352"/>
      <c r="Y243" s="351"/>
      <c r="Z243" s="352"/>
      <c r="AA243" s="351"/>
      <c r="AB243" s="352"/>
      <c r="AC243" s="351"/>
      <c r="AD243" s="351"/>
    </row>
    <row r="244" spans="1:30">
      <c r="A244" s="46"/>
      <c r="B244" s="47"/>
      <c r="C244" s="50"/>
      <c r="D244" s="50"/>
      <c r="E244" s="50"/>
      <c r="F244" s="47"/>
      <c r="G244" s="50"/>
      <c r="H244" s="50"/>
      <c r="I244" s="50"/>
      <c r="J244" s="311"/>
      <c r="K244" s="311"/>
      <c r="L244" s="50"/>
      <c r="M244" s="50"/>
      <c r="N244" s="311"/>
      <c r="O244" s="50"/>
      <c r="P244" s="311"/>
      <c r="Q244" s="50"/>
      <c r="R244" s="311"/>
      <c r="S244" s="50"/>
      <c r="T244" s="311"/>
      <c r="U244" s="50"/>
      <c r="V244" s="311"/>
      <c r="W244" s="50"/>
      <c r="X244" s="311"/>
      <c r="Y244" s="50"/>
      <c r="Z244" s="311"/>
      <c r="AA244" s="50"/>
      <c r="AB244" s="311"/>
      <c r="AC244" s="50"/>
      <c r="AD244" s="50"/>
    </row>
    <row r="245" spans="1:30" ht="15.75">
      <c r="A245" s="144" t="s">
        <v>797</v>
      </c>
      <c r="B245" s="145">
        <v>4383386.68</v>
      </c>
      <c r="C245" s="145">
        <v>709500</v>
      </c>
      <c r="D245" s="145"/>
      <c r="E245" s="156"/>
      <c r="F245" s="145"/>
      <c r="G245" s="145">
        <f>SUBTOTAL(9,G8:G242)</f>
        <v>709500</v>
      </c>
      <c r="H245" s="145">
        <f>SUBTOTAL(9,H8:H242)</f>
        <v>2553905.6799999997</v>
      </c>
      <c r="I245" s="145">
        <v>50765913.319999993</v>
      </c>
      <c r="J245" s="148"/>
      <c r="K245" s="148">
        <v>5607168</v>
      </c>
      <c r="L245" s="145">
        <v>45738545.319999993</v>
      </c>
      <c r="M245" s="145">
        <v>818310</v>
      </c>
      <c r="N245" s="148">
        <v>6740978</v>
      </c>
      <c r="O245" s="145">
        <v>0</v>
      </c>
      <c r="P245" s="148">
        <v>7418500</v>
      </c>
      <c r="Q245" s="145">
        <v>0</v>
      </c>
      <c r="R245" s="148">
        <v>7747000</v>
      </c>
      <c r="S245" s="145">
        <v>3000000</v>
      </c>
      <c r="T245" s="148">
        <v>4107000</v>
      </c>
      <c r="U245" s="145">
        <v>0</v>
      </c>
      <c r="V245" s="148">
        <v>7064500</v>
      </c>
      <c r="W245" s="145">
        <v>0</v>
      </c>
      <c r="X245" s="148">
        <v>6954500</v>
      </c>
      <c r="Y245" s="145">
        <v>0</v>
      </c>
      <c r="Z245" s="148">
        <v>6951500</v>
      </c>
      <c r="AA245" s="145">
        <v>0</v>
      </c>
      <c r="AB245" s="148">
        <v>6916500</v>
      </c>
      <c r="AC245" s="145">
        <v>0</v>
      </c>
      <c r="AD245" s="201">
        <v>0</v>
      </c>
    </row>
  </sheetData>
  <sheetProtection sort="0" autoFilter="0"/>
  <conditionalFormatting sqref="C156:D156 B242:D242 B151:D155 B187:D240 B157:D185 B4:D148">
    <cfRule type="cellIs" dxfId="279" priority="731" operator="equal">
      <formula>"offen"</formula>
    </cfRule>
  </conditionalFormatting>
  <conditionalFormatting sqref="C186:D186">
    <cfRule type="cellIs" dxfId="278" priority="400" operator="equal">
      <formula>"offen"</formula>
    </cfRule>
  </conditionalFormatting>
  <conditionalFormatting sqref="C241:D241">
    <cfRule type="cellIs" dxfId="277" priority="135" operator="equal">
      <formula>"offen"</formula>
    </cfRule>
  </conditionalFormatting>
  <conditionalFormatting sqref="B186">
    <cfRule type="cellIs" dxfId="276" priority="59" operator="equal">
      <formula>"offen"</formula>
    </cfRule>
  </conditionalFormatting>
  <conditionalFormatting sqref="B241">
    <cfRule type="cellIs" dxfId="275" priority="58" operator="equal">
      <formula>"offen"</formula>
    </cfRule>
  </conditionalFormatting>
  <conditionalFormatting sqref="B150">
    <cfRule type="cellIs" dxfId="274" priority="5" operator="equal">
      <formula>"offen"</formula>
    </cfRule>
  </conditionalFormatting>
  <dataValidations count="5">
    <dataValidation type="list" allowBlank="1" showInputMessage="1" showErrorMessage="1" sqref="B233 B215 B230" xr:uid="{49A16AE2-BBC0-428B-991A-0B2B02C40CE8}">
      <formula1>#REF!</formula1>
    </dataValidation>
    <dataValidation type="list" allowBlank="1" showInputMessage="1" showErrorMessage="1" sqref="D231" xr:uid="{01455F5E-CD0B-4ABB-AD66-5B8C83589586}">
      <formula1 xml:space="preserve"> KontoMIPRubrik</formula1>
    </dataValidation>
    <dataValidation type="list" allowBlank="1" showInputMessage="1" showErrorMessage="1" sqref="I82:J242 F36:H36 D36 I7:J79 G9:H11" xr:uid="{D6EBB9AA-8309-431E-92FA-ACBE3A8FDA96}">
      <formula1>Finanzierungsart</formula1>
    </dataValidation>
    <dataValidation type="list" allowBlank="1" showInputMessage="1" showErrorMessage="1" sqref="D37:D40 D7:D35 D232:D242 D151:D230 D43:D148" xr:uid="{ED1007FB-5F16-4BF7-BF84-46C076842716}">
      <formula1>Status_Projektkedit</formula1>
    </dataValidation>
    <dataValidation errorStyle="warning" allowBlank="1" showInputMessage="1" showErrorMessage="1" sqref="F37:F40 F43:F79 H66 F83:F148 F151:F173 F175:F242 F6:F35" xr:uid="{ACB4F199-F38B-40A5-85DD-0C8B52C70A19}"/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0CB0FB4-D704-41BD-886A-5CA054CC898E}">
          <x14:formula1>
            <xm:f>Quellendaten!$AA$3:$AA$25</xm:f>
          </x14:formula1>
          <xm:sqref>B150:B155 B234:B242 B157:B214 B216:B229 B231:B232 B6:B148</xm:sqref>
        </x14:dataValidation>
        <x14:dataValidation type="list" allowBlank="1" showInputMessage="1" showErrorMessage="1" xr:uid="{3A3BA80B-DF4D-45D0-B3D8-DB3F6BE4F35D}">
          <x14:formula1>
            <xm:f>Quellendaten!$AC$3:$AC$7</xm:f>
          </x14:formula1>
          <xm:sqref>D6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4E9F6-2C42-4FFC-9B58-6DCB63680DC8}">
  <sheetPr codeName="Sheet11"/>
  <dimension ref="A1:H245"/>
  <sheetViews>
    <sheetView topLeftCell="A217" workbookViewId="0">
      <selection activeCell="H237" sqref="H237"/>
    </sheetView>
  </sheetViews>
  <sheetFormatPr defaultRowHeight="12.75"/>
  <cols>
    <col min="1" max="1" width="56.42578125" customWidth="1"/>
    <col min="2" max="2" width="32.85546875" customWidth="1"/>
    <col min="3" max="3" width="15.85546875" bestFit="1" customWidth="1"/>
    <col min="4" max="4" width="14.85546875" bestFit="1" customWidth="1"/>
    <col min="5" max="5" width="15.85546875" bestFit="1" customWidth="1"/>
    <col min="7" max="8" width="14.42578125" bestFit="1" customWidth="1"/>
  </cols>
  <sheetData>
    <row r="1" spans="1:8" ht="15.75">
      <c r="A1" s="60" t="s">
        <v>15</v>
      </c>
      <c r="B1" s="62" t="s">
        <v>23</v>
      </c>
      <c r="C1" s="55"/>
      <c r="D1" s="55"/>
      <c r="E1" s="55"/>
      <c r="F1" s="309"/>
      <c r="G1" s="309"/>
      <c r="H1" s="309"/>
    </row>
    <row r="2" spans="1:8">
      <c r="A2" s="43"/>
      <c r="B2" s="55" t="s">
        <v>642</v>
      </c>
      <c r="C2" s="55"/>
      <c r="D2" s="55"/>
      <c r="E2" s="55"/>
      <c r="F2" s="309"/>
      <c r="G2" s="309"/>
      <c r="H2" s="309"/>
    </row>
    <row r="3" spans="1:8" ht="75.75">
      <c r="A3" s="67" t="s">
        <v>16</v>
      </c>
      <c r="B3" s="71" t="s">
        <v>805</v>
      </c>
      <c r="C3" s="72" t="s">
        <v>791</v>
      </c>
      <c r="D3" s="72" t="s">
        <v>18</v>
      </c>
      <c r="E3" s="72" t="s">
        <v>100</v>
      </c>
      <c r="F3" s="72" t="s">
        <v>1005</v>
      </c>
      <c r="G3" s="72" t="s">
        <v>792</v>
      </c>
      <c r="H3" s="72" t="s">
        <v>793</v>
      </c>
    </row>
    <row r="4" spans="1:8">
      <c r="A4" s="248" t="s">
        <v>846</v>
      </c>
      <c r="B4" s="115" t="s">
        <v>1092</v>
      </c>
      <c r="C4" s="260"/>
      <c r="D4" s="260"/>
      <c r="E4" s="260"/>
      <c r="F4" s="310"/>
      <c r="G4" s="310">
        <v>15000</v>
      </c>
      <c r="H4" s="310"/>
    </row>
    <row r="5" spans="1:8">
      <c r="A5" s="255" t="s">
        <v>428</v>
      </c>
      <c r="B5" s="115" t="s">
        <v>621</v>
      </c>
      <c r="C5" s="115"/>
      <c r="D5" s="115"/>
      <c r="E5" s="115"/>
      <c r="F5" s="311"/>
      <c r="G5" s="311"/>
      <c r="H5" s="311"/>
    </row>
    <row r="6" spans="1:8">
      <c r="A6" s="255" t="s">
        <v>272</v>
      </c>
      <c r="B6" s="115" t="s">
        <v>75</v>
      </c>
      <c r="C6" s="115">
        <v>250000</v>
      </c>
      <c r="D6" s="115"/>
      <c r="E6" s="260" t="e">
        <f>Tabelle4[[#This Row],[Kredit-  / Budgetsumme
(RADAR: Gesamtkosten S)]]-Tabelle4[[#This Row],[Netto-Ausgaben Vorjahre ]]</f>
        <v>#REF!</v>
      </c>
      <c r="F6" s="310"/>
      <c r="G6" s="311"/>
      <c r="H6" s="311"/>
    </row>
    <row r="7" spans="1:8">
      <c r="A7" s="265" t="s">
        <v>337</v>
      </c>
      <c r="B7" s="115" t="s">
        <v>21</v>
      </c>
      <c r="C7" s="115">
        <v>120000</v>
      </c>
      <c r="D7" s="115"/>
      <c r="E7" s="260">
        <f>Tabelle4[[#This Row],[Kredit-  / Budgetsumme
(RADAR: Gesamtkosten S)]]-Tabelle4[[#This Row],[Netto-Ausgaben Vorjahre ]]</f>
        <v>0</v>
      </c>
      <c r="F7" s="310"/>
      <c r="G7" s="311"/>
      <c r="H7" s="311"/>
    </row>
    <row r="8" spans="1:8">
      <c r="A8" s="248" t="s">
        <v>835</v>
      </c>
      <c r="B8" s="260" t="s">
        <v>802</v>
      </c>
      <c r="C8" s="115"/>
      <c r="D8" s="260"/>
      <c r="E8" s="260">
        <f>Tabelle4[[#This Row],[Kredit-  / Budgetsumme
(RADAR: Gesamtkosten S)]]-Tabelle4[[#This Row],[Netto-Ausgaben Vorjahre ]]</f>
        <v>0</v>
      </c>
      <c r="F8" s="310"/>
      <c r="G8" s="310"/>
      <c r="H8" s="310"/>
    </row>
    <row r="9" spans="1:8">
      <c r="A9" s="248" t="s">
        <v>834</v>
      </c>
      <c r="B9" s="260" t="s">
        <v>1093</v>
      </c>
      <c r="C9" s="260"/>
      <c r="D9" s="260"/>
      <c r="E9" s="260"/>
      <c r="F9" s="310"/>
      <c r="G9" s="310">
        <v>10000</v>
      </c>
      <c r="H9" s="310"/>
    </row>
    <row r="10" spans="1:8">
      <c r="A10" s="255" t="s">
        <v>308</v>
      </c>
      <c r="B10" s="115" t="s">
        <v>809</v>
      </c>
      <c r="C10" s="115">
        <v>160000</v>
      </c>
      <c r="D10" s="115"/>
      <c r="E10" s="260">
        <f>Tabelle4[[#This Row],[Kredit-  / Budgetsumme
(RADAR: Gesamtkosten S)]]-Tabelle4[[#This Row],[Netto-Ausgaben Vorjahre ]]</f>
        <v>120000</v>
      </c>
      <c r="F10" s="310"/>
      <c r="G10" s="311">
        <v>140000</v>
      </c>
      <c r="H10" s="311">
        <v>20000</v>
      </c>
    </row>
    <row r="11" spans="1:8">
      <c r="A11" s="255" t="s">
        <v>1229</v>
      </c>
      <c r="B11" s="115" t="s">
        <v>1087</v>
      </c>
      <c r="C11" s="115"/>
      <c r="D11" s="115"/>
      <c r="E11" s="115"/>
      <c r="F11" s="311"/>
      <c r="G11" s="311">
        <v>19000</v>
      </c>
      <c r="H11" s="311"/>
    </row>
    <row r="12" spans="1:8">
      <c r="A12" s="255" t="s">
        <v>838</v>
      </c>
      <c r="B12" s="260" t="s">
        <v>21</v>
      </c>
      <c r="C12" s="260">
        <v>3200000</v>
      </c>
      <c r="D12" s="260"/>
      <c r="E12" s="260">
        <f>Tabelle4[[#This Row],[Kredit-  / Budgetsumme
(RADAR: Gesamtkosten S)]]-Tabelle4[[#This Row],[Netto-Ausgaben Vorjahre ]]</f>
        <v>0</v>
      </c>
      <c r="F12" s="310"/>
      <c r="G12" s="310"/>
      <c r="H12" s="310">
        <v>250000</v>
      </c>
    </row>
    <row r="13" spans="1:8">
      <c r="A13" s="255" t="s">
        <v>1159</v>
      </c>
      <c r="B13" s="115" t="s">
        <v>21</v>
      </c>
      <c r="C13" s="115">
        <v>58000</v>
      </c>
      <c r="D13" s="115"/>
      <c r="E13" s="260">
        <f>Tabelle4[[#This Row],[Kredit-  / Budgetsumme
(RADAR: Gesamtkosten S)]]-Tabelle4[[#This Row],[Netto-Ausgaben Vorjahre ]]</f>
        <v>160000</v>
      </c>
      <c r="F13" s="310"/>
      <c r="G13" s="311">
        <v>58000</v>
      </c>
      <c r="H13" s="311"/>
    </row>
    <row r="14" spans="1:8">
      <c r="A14" s="255" t="s">
        <v>391</v>
      </c>
      <c r="B14" s="115" t="s">
        <v>799</v>
      </c>
      <c r="C14" s="115">
        <v>2000000</v>
      </c>
      <c r="D14" s="115"/>
      <c r="E14" s="260">
        <f>Tabelle4[[#This Row],[Kredit-  / Budgetsumme
(RADAR: Gesamtkosten S)]]-Tabelle4[[#This Row],[Netto-Ausgaben Vorjahre ]]</f>
        <v>0</v>
      </c>
      <c r="F14" s="310"/>
      <c r="G14" s="311"/>
      <c r="H14" s="311"/>
    </row>
    <row r="15" spans="1:8">
      <c r="A15" s="255" t="s">
        <v>430</v>
      </c>
      <c r="B15" s="115" t="s">
        <v>621</v>
      </c>
      <c r="C15" s="115"/>
      <c r="D15" s="115"/>
      <c r="E15" s="260">
        <f>Tabelle4[[#This Row],[Kredit-  / Budgetsumme
(RADAR: Gesamtkosten S)]]-Tabelle4[[#This Row],[Netto-Ausgaben Vorjahre ]]</f>
        <v>3200000</v>
      </c>
      <c r="F15" s="310"/>
      <c r="G15" s="311"/>
      <c r="H15" s="311"/>
    </row>
    <row r="16" spans="1:8">
      <c r="A16" s="255" t="s">
        <v>432</v>
      </c>
      <c r="B16" s="115" t="s">
        <v>621</v>
      </c>
      <c r="C16" s="115"/>
      <c r="D16" s="115"/>
      <c r="E16" s="260">
        <f>Tabelle4[[#This Row],[Kredit-  / Budgetsumme
(RADAR: Gesamtkosten S)]]-Tabelle4[[#This Row],[Netto-Ausgaben Vorjahre ]]</f>
        <v>58000</v>
      </c>
      <c r="F16" s="310"/>
      <c r="G16" s="311"/>
      <c r="H16" s="311"/>
    </row>
    <row r="17" spans="1:8">
      <c r="A17" s="255" t="s">
        <v>434</v>
      </c>
      <c r="B17" s="115" t="s">
        <v>621</v>
      </c>
      <c r="C17" s="115"/>
      <c r="D17" s="115"/>
      <c r="E17" s="260">
        <f>Tabelle4[[#This Row],[Kredit-  / Budgetsumme
(RADAR: Gesamtkosten S)]]-Tabelle4[[#This Row],[Netto-Ausgaben Vorjahre ]]</f>
        <v>2000000</v>
      </c>
      <c r="F17" s="310"/>
      <c r="G17" s="311"/>
      <c r="H17" s="311"/>
    </row>
    <row r="18" spans="1:8">
      <c r="A18" s="265" t="s">
        <v>172</v>
      </c>
      <c r="B18" s="274" t="s">
        <v>690</v>
      </c>
      <c r="C18" s="274"/>
      <c r="D18" s="274"/>
      <c r="E18" s="274">
        <f>Tabelle4[[#This Row],[Kredit-  / Budgetsumme
(RADAR: Gesamtkosten S)]]-Tabelle4[[#This Row],[Netto-Ausgaben Vorjahre ]]</f>
        <v>0</v>
      </c>
      <c r="F18" s="312"/>
      <c r="G18" s="312"/>
      <c r="H18" s="312"/>
    </row>
    <row r="19" spans="1:8">
      <c r="A19" s="255" t="s">
        <v>1163</v>
      </c>
      <c r="B19" s="115" t="s">
        <v>1087</v>
      </c>
      <c r="C19" s="115"/>
      <c r="D19" s="115"/>
      <c r="E19" s="115"/>
      <c r="F19" s="311"/>
      <c r="G19" s="311">
        <v>8000</v>
      </c>
      <c r="H19" s="311"/>
    </row>
    <row r="20" spans="1:8">
      <c r="A20" s="265" t="s">
        <v>174</v>
      </c>
      <c r="B20" s="274" t="s">
        <v>75</v>
      </c>
      <c r="C20" s="274"/>
      <c r="D20" s="274"/>
      <c r="E20" s="274">
        <f>Tabelle4[[#This Row],[Kredit-  / Budgetsumme
(RADAR: Gesamtkosten S)]]-Tabelle4[[#This Row],[Netto-Ausgaben Vorjahre ]]</f>
        <v>0</v>
      </c>
      <c r="F20" s="312"/>
      <c r="G20" s="312"/>
      <c r="H20" s="312"/>
    </row>
    <row r="21" spans="1:8">
      <c r="A21" s="255" t="s">
        <v>436</v>
      </c>
      <c r="B21" s="115" t="s">
        <v>621</v>
      </c>
      <c r="C21" s="115"/>
      <c r="D21" s="115"/>
      <c r="E21" s="260">
        <f>Tabelle4[[#This Row],[Kredit-  / Budgetsumme
(RADAR: Gesamtkosten S)]]-Tabelle4[[#This Row],[Netto-Ausgaben Vorjahre ]]</f>
        <v>0</v>
      </c>
      <c r="F21" s="310"/>
      <c r="G21" s="311"/>
      <c r="H21" s="311"/>
    </row>
    <row r="22" spans="1:8">
      <c r="A22" s="248" t="s">
        <v>863</v>
      </c>
      <c r="B22" s="260" t="s">
        <v>621</v>
      </c>
      <c r="C22" s="260"/>
      <c r="D22" s="260"/>
      <c r="E22" s="260">
        <f>Tabelle4[[#This Row],[Kredit-  / Budgetsumme
(RADAR: Gesamtkosten S)]]-Tabelle4[[#This Row],[Netto-Ausgaben Vorjahre ]]</f>
        <v>0</v>
      </c>
      <c r="F22" s="310"/>
      <c r="G22" s="310"/>
      <c r="H22" s="310"/>
    </row>
    <row r="23" spans="1:8">
      <c r="A23" s="255" t="s">
        <v>1083</v>
      </c>
      <c r="B23" s="115" t="s">
        <v>1092</v>
      </c>
      <c r="C23" s="115"/>
      <c r="D23" s="115"/>
      <c r="E23" s="115"/>
      <c r="F23" s="311"/>
      <c r="G23" s="311">
        <v>2000</v>
      </c>
      <c r="H23" s="311">
        <v>2000</v>
      </c>
    </row>
    <row r="24" spans="1:8">
      <c r="A24" s="255" t="s">
        <v>438</v>
      </c>
      <c r="B24" s="115" t="s">
        <v>621</v>
      </c>
      <c r="C24" s="115"/>
      <c r="D24" s="115"/>
      <c r="E24" s="260">
        <f>Tabelle4[[#This Row],[Kredit-  / Budgetsumme
(RADAR: Gesamtkosten S)]]-Tabelle4[[#This Row],[Netto-Ausgaben Vorjahre ]]</f>
        <v>0</v>
      </c>
      <c r="F24" s="310"/>
      <c r="G24" s="311"/>
      <c r="H24" s="311"/>
    </row>
    <row r="25" spans="1:8">
      <c r="A25" s="255" t="s">
        <v>440</v>
      </c>
      <c r="B25" s="115" t="s">
        <v>621</v>
      </c>
      <c r="C25" s="115"/>
      <c r="D25" s="115"/>
      <c r="E25" s="260">
        <f>Tabelle4[[#This Row],[Kredit-  / Budgetsumme
(RADAR: Gesamtkosten S)]]-Tabelle4[[#This Row],[Netto-Ausgaben Vorjahre ]]</f>
        <v>0</v>
      </c>
      <c r="F25" s="310"/>
      <c r="G25" s="311"/>
      <c r="H25" s="311"/>
    </row>
    <row r="26" spans="1:8">
      <c r="A26" s="255" t="s">
        <v>199</v>
      </c>
      <c r="B26" s="115" t="s">
        <v>622</v>
      </c>
      <c r="C26" s="115"/>
      <c r="D26" s="115"/>
      <c r="E26" s="260">
        <f>Tabelle4[[#This Row],[Kredit-  / Budgetsumme
(RADAR: Gesamtkosten S)]]-Tabelle4[[#This Row],[Netto-Ausgaben Vorjahre ]]</f>
        <v>0</v>
      </c>
      <c r="F26" s="310"/>
      <c r="G26" s="311"/>
      <c r="H26" s="311"/>
    </row>
    <row r="27" spans="1:8">
      <c r="A27" s="255" t="s">
        <v>311</v>
      </c>
      <c r="B27" s="115" t="s">
        <v>799</v>
      </c>
      <c r="C27" s="115">
        <v>474000</v>
      </c>
      <c r="D27" s="115">
        <f>Tabelle4[[#This Row],[Kredit-  / Budgetsumme
(RADAR: Gesamtkosten S)]]-Tabelle4[[#This Row],[Kreditrest per 1.1. aktuelles Jahr]]</f>
        <v>0</v>
      </c>
      <c r="E27" s="260">
        <v>411553</v>
      </c>
      <c r="F27" s="310"/>
      <c r="G27" s="311">
        <v>400000</v>
      </c>
      <c r="H27" s="311" t="s">
        <v>804</v>
      </c>
    </row>
    <row r="28" spans="1:8">
      <c r="A28" s="255" t="s">
        <v>194</v>
      </c>
      <c r="B28" s="115" t="s">
        <v>1092</v>
      </c>
      <c r="C28" s="115"/>
      <c r="D28" s="115"/>
      <c r="E28" s="260"/>
      <c r="F28" s="310"/>
      <c r="G28" s="311">
        <v>10000</v>
      </c>
      <c r="H28" s="311">
        <v>10000</v>
      </c>
    </row>
    <row r="29" spans="1:8">
      <c r="A29" s="255" t="s">
        <v>1213</v>
      </c>
      <c r="B29" s="115"/>
      <c r="C29" s="115"/>
      <c r="D29" s="115"/>
      <c r="E29" s="115"/>
      <c r="F29" s="311"/>
      <c r="G29" s="311"/>
      <c r="H29" s="311"/>
    </row>
    <row r="30" spans="1:8">
      <c r="A30" s="255" t="s">
        <v>442</v>
      </c>
      <c r="B30" s="115" t="s">
        <v>621</v>
      </c>
      <c r="C30" s="115"/>
      <c r="D30" s="115"/>
      <c r="E30" s="260">
        <f>Tabelle4[[#This Row],[Kredit-  / Budgetsumme
(RADAR: Gesamtkosten S)]]-Tabelle4[[#This Row],[Netto-Ausgaben Vorjahre ]]</f>
        <v>411553</v>
      </c>
      <c r="F30" s="310"/>
      <c r="G30" s="311"/>
      <c r="H30" s="311"/>
    </row>
    <row r="31" spans="1:8">
      <c r="A31" s="255" t="s">
        <v>444</v>
      </c>
      <c r="B31" s="115" t="s">
        <v>621</v>
      </c>
      <c r="C31" s="115"/>
      <c r="D31" s="115"/>
      <c r="E31" s="260">
        <f>Tabelle4[[#This Row],[Kredit-  / Budgetsumme
(RADAR: Gesamtkosten S)]]-Tabelle4[[#This Row],[Netto-Ausgaben Vorjahre ]]</f>
        <v>0</v>
      </c>
      <c r="F31" s="310"/>
      <c r="G31" s="311"/>
      <c r="H31" s="311"/>
    </row>
    <row r="32" spans="1:8">
      <c r="A32" s="255" t="s">
        <v>446</v>
      </c>
      <c r="B32" s="115" t="s">
        <v>621</v>
      </c>
      <c r="C32" s="115"/>
      <c r="D32" s="115"/>
      <c r="E32" s="260">
        <f>Tabelle4[[#This Row],[Kredit-  / Budgetsumme
(RADAR: Gesamtkosten S)]]-Tabelle4[[#This Row],[Netto-Ausgaben Vorjahre ]]</f>
        <v>0</v>
      </c>
      <c r="F32" s="310"/>
      <c r="G32" s="311"/>
      <c r="H32" s="311"/>
    </row>
    <row r="33" spans="1:8">
      <c r="A33" s="255" t="s">
        <v>232</v>
      </c>
      <c r="B33" s="115" t="s">
        <v>1091</v>
      </c>
      <c r="C33" s="115">
        <v>4000</v>
      </c>
      <c r="D33" s="115"/>
      <c r="E33" s="260">
        <f>Tabelle4[[#This Row],[Kredit-  / Budgetsumme
(RADAR: Gesamtkosten S)]]-Tabelle4[[#This Row],[Netto-Ausgaben Vorjahre ]]</f>
        <v>0</v>
      </c>
      <c r="F33" s="310"/>
      <c r="G33" s="311">
        <v>4000</v>
      </c>
      <c r="H33" s="311"/>
    </row>
    <row r="34" spans="1:8">
      <c r="A34" s="255" t="s">
        <v>234</v>
      </c>
      <c r="B34" s="115" t="s">
        <v>802</v>
      </c>
      <c r="C34" s="115">
        <v>225000</v>
      </c>
      <c r="D34" s="115"/>
      <c r="E34" s="260">
        <f>Tabelle4[[#This Row],[Kredit-  / Budgetsumme
(RADAR: Gesamtkosten S)]]-Tabelle4[[#This Row],[Netto-Ausgaben Vorjahre ]]</f>
        <v>0</v>
      </c>
      <c r="F34" s="310"/>
      <c r="G34" s="311">
        <v>200000</v>
      </c>
      <c r="H34" s="311"/>
    </row>
    <row r="35" spans="1:8">
      <c r="A35" s="255" t="s">
        <v>237</v>
      </c>
      <c r="B35" s="115" t="s">
        <v>802</v>
      </c>
      <c r="C35" s="115"/>
      <c r="D35" s="115"/>
      <c r="E35" s="260">
        <f>Tabelle4[[#This Row],[Kredit-  / Budgetsumme
(RADAR: Gesamtkosten S)]]-Tabelle4[[#This Row],[Netto-Ausgaben Vorjahre ]]</f>
        <v>0</v>
      </c>
      <c r="F35" s="310"/>
      <c r="G35" s="311"/>
      <c r="H35" s="311"/>
    </row>
    <row r="36" spans="1:8">
      <c r="A36" s="255" t="s">
        <v>239</v>
      </c>
      <c r="B36" s="115" t="s">
        <v>802</v>
      </c>
      <c r="C36" s="115">
        <v>170000</v>
      </c>
      <c r="D36" s="115"/>
      <c r="E36" s="260">
        <f>Tabelle4[[#This Row],[Kredit-  / Budgetsumme
(RADAR: Gesamtkosten S)]]-Tabelle4[[#This Row],[Netto-Ausgaben Vorjahre ]]</f>
        <v>4000</v>
      </c>
      <c r="F36" s="310"/>
      <c r="G36" s="311"/>
      <c r="H36" s="311">
        <v>100000</v>
      </c>
    </row>
    <row r="37" spans="1:8">
      <c r="A37" s="248" t="s">
        <v>861</v>
      </c>
      <c r="B37" s="115" t="s">
        <v>1093</v>
      </c>
      <c r="C37" s="260">
        <v>7000</v>
      </c>
      <c r="D37" s="260"/>
      <c r="E37" s="260">
        <f>Tabelle4[[#This Row],[Kredit-  / Budgetsumme
(RADAR: Gesamtkosten S)]]-Tabelle4[[#This Row],[Netto-Ausgaben Vorjahre ]]</f>
        <v>225000</v>
      </c>
      <c r="F37" s="310"/>
      <c r="G37" s="310">
        <v>7000</v>
      </c>
      <c r="H37" s="310"/>
    </row>
    <row r="38" spans="1:8">
      <c r="A38" s="255" t="s">
        <v>313</v>
      </c>
      <c r="B38" s="115" t="s">
        <v>21</v>
      </c>
      <c r="C38" s="115">
        <v>785000</v>
      </c>
      <c r="D38" s="115">
        <f>Tabelle4[[#This Row],[Kredit-  / Budgetsumme
(RADAR: Gesamtkosten S)]]-Tabelle4[[#This Row],[Kreditrest per 1.1. aktuelles Jahr]]</f>
        <v>0</v>
      </c>
      <c r="E38" s="260">
        <v>229573</v>
      </c>
      <c r="F38" s="310"/>
      <c r="G38" s="311"/>
      <c r="H38" s="311">
        <v>229573</v>
      </c>
    </row>
    <row r="39" spans="1:8">
      <c r="A39" s="248" t="s">
        <v>784</v>
      </c>
      <c r="B39" s="260" t="s">
        <v>802</v>
      </c>
      <c r="C39" s="260">
        <v>280000</v>
      </c>
      <c r="D39" s="260"/>
      <c r="E39" s="260">
        <f>Tabelle4[[#This Row],[Kredit-  / Budgetsumme
(RADAR: Gesamtkosten S)]]-Tabelle4[[#This Row],[Netto-Ausgaben Vorjahre ]]</f>
        <v>170000</v>
      </c>
      <c r="F39" s="310"/>
      <c r="G39" s="310">
        <v>280000</v>
      </c>
      <c r="H39" s="310"/>
    </row>
    <row r="40" spans="1:8">
      <c r="A40" s="265" t="s">
        <v>448</v>
      </c>
      <c r="B40" s="115" t="s">
        <v>621</v>
      </c>
      <c r="C40" s="115"/>
      <c r="D40" s="115"/>
      <c r="E40" s="260">
        <f>Tabelle4[[#This Row],[Kredit-  / Budgetsumme
(RADAR: Gesamtkosten S)]]-Tabelle4[[#This Row],[Netto-Ausgaben Vorjahre ]]</f>
        <v>7000</v>
      </c>
      <c r="F40" s="310"/>
      <c r="G40" s="311"/>
      <c r="H40" s="311"/>
    </row>
    <row r="41" spans="1:8">
      <c r="A41" s="265" t="s">
        <v>317</v>
      </c>
      <c r="B41" s="115" t="s">
        <v>21</v>
      </c>
      <c r="C41" s="115"/>
      <c r="D41" s="115"/>
      <c r="E41" s="260">
        <f>Tabelle4[[#This Row],[Kredit-  / Budgetsumme
(RADAR: Gesamtkosten S)]]-Tabelle4[[#This Row],[Netto-Ausgaben Vorjahre ]]</f>
        <v>229573</v>
      </c>
      <c r="F41" s="310"/>
      <c r="G41" s="311"/>
      <c r="H41" s="311"/>
    </row>
    <row r="42" spans="1:8">
      <c r="A42" s="255" t="s">
        <v>1107</v>
      </c>
      <c r="B42" s="115" t="s">
        <v>802</v>
      </c>
      <c r="C42" s="115">
        <v>225000</v>
      </c>
      <c r="D42" s="115"/>
      <c r="E42" s="260">
        <f>Tabelle4[[#This Row],[Kredit-  / Budgetsumme
(RADAR: Gesamtkosten S)]]-Tabelle4[[#This Row],[Netto-Ausgaben Vorjahre ]]</f>
        <v>280000</v>
      </c>
      <c r="F42" s="310"/>
      <c r="G42" s="311">
        <v>225000</v>
      </c>
      <c r="H42" s="311"/>
    </row>
    <row r="43" spans="1:8">
      <c r="A43" s="265" t="s">
        <v>450</v>
      </c>
      <c r="B43" s="115" t="s">
        <v>621</v>
      </c>
      <c r="C43" s="115"/>
      <c r="D43" s="115"/>
      <c r="E43" s="260">
        <f>Tabelle4[[#This Row],[Kredit-  / Budgetsumme
(RADAR: Gesamtkosten S)]]-Tabelle4[[#This Row],[Netto-Ausgaben Vorjahre ]]</f>
        <v>0</v>
      </c>
      <c r="F43" s="310"/>
      <c r="G43" s="311"/>
      <c r="H43" s="311"/>
    </row>
    <row r="44" spans="1:8">
      <c r="A44" s="255" t="s">
        <v>319</v>
      </c>
      <c r="B44" s="115" t="s">
        <v>622</v>
      </c>
      <c r="C44" s="115"/>
      <c r="D44" s="115"/>
      <c r="E44" s="260">
        <f>Tabelle4[[#This Row],[Kredit-  / Budgetsumme
(RADAR: Gesamtkosten S)]]-Tabelle4[[#This Row],[Netto-Ausgaben Vorjahre ]]</f>
        <v>0</v>
      </c>
      <c r="F44" s="310"/>
      <c r="G44" s="311"/>
      <c r="H44" s="311"/>
    </row>
    <row r="45" spans="1:8">
      <c r="A45" s="255" t="s">
        <v>452</v>
      </c>
      <c r="B45" s="115" t="s">
        <v>621</v>
      </c>
      <c r="C45" s="115"/>
      <c r="D45" s="115"/>
      <c r="E45" s="260">
        <f>Tabelle4[[#This Row],[Kredit-  / Budgetsumme
(RADAR: Gesamtkosten S)]]-Tabelle4[[#This Row],[Netto-Ausgaben Vorjahre ]]</f>
        <v>225000</v>
      </c>
      <c r="F45" s="310"/>
      <c r="G45" s="311"/>
      <c r="H45" s="311"/>
    </row>
    <row r="46" spans="1:8">
      <c r="A46" s="255" t="s">
        <v>410</v>
      </c>
      <c r="B46" s="115" t="s">
        <v>802</v>
      </c>
      <c r="C46" s="115">
        <v>2300000</v>
      </c>
      <c r="D46" s="115"/>
      <c r="E46" s="260">
        <f>Tabelle4[[#This Row],[Kredit-  / Budgetsumme
(RADAR: Gesamtkosten S)]]-Tabelle4[[#This Row],[Netto-Ausgaben Vorjahre ]]</f>
        <v>0</v>
      </c>
      <c r="F46" s="310"/>
      <c r="G46" s="311">
        <v>200000</v>
      </c>
      <c r="H46" s="311">
        <v>1900000</v>
      </c>
    </row>
    <row r="47" spans="1:8">
      <c r="A47" s="255" t="s">
        <v>241</v>
      </c>
      <c r="B47" s="115" t="s">
        <v>1091</v>
      </c>
      <c r="C47" s="115">
        <v>24000</v>
      </c>
      <c r="D47" s="115"/>
      <c r="E47" s="260">
        <f>Tabelle4[[#This Row],[Kredit-  / Budgetsumme
(RADAR: Gesamtkosten S)]]-Tabelle4[[#This Row],[Netto-Ausgaben Vorjahre ]]</f>
        <v>0</v>
      </c>
      <c r="F47" s="310"/>
      <c r="G47" s="311">
        <v>24000</v>
      </c>
      <c r="H47" s="311"/>
    </row>
    <row r="48" spans="1:8">
      <c r="A48" s="248" t="s">
        <v>855</v>
      </c>
      <c r="B48" s="260" t="s">
        <v>802</v>
      </c>
      <c r="C48" s="260">
        <v>265000</v>
      </c>
      <c r="D48" s="260"/>
      <c r="E48" s="260">
        <f>Tabelle4[[#This Row],[Kredit-  / Budgetsumme
(RADAR: Gesamtkosten S)]]-Tabelle4[[#This Row],[Netto-Ausgaben Vorjahre ]]</f>
        <v>0</v>
      </c>
      <c r="F48" s="310"/>
      <c r="G48" s="310">
        <v>265000</v>
      </c>
      <c r="H48" s="310"/>
    </row>
    <row r="49" spans="1:8">
      <c r="A49" s="255" t="s">
        <v>276</v>
      </c>
      <c r="B49" s="115" t="s">
        <v>75</v>
      </c>
      <c r="C49" s="115"/>
      <c r="D49" s="115"/>
      <c r="E49" s="260">
        <f>Tabelle4[[#This Row],[Kredit-  / Budgetsumme
(RADAR: Gesamtkosten S)]]-Tabelle4[[#This Row],[Netto-Ausgaben Vorjahre ]]</f>
        <v>2300000</v>
      </c>
      <c r="F49" s="310"/>
      <c r="G49" s="311"/>
      <c r="H49" s="311"/>
    </row>
    <row r="50" spans="1:8">
      <c r="A50" s="248" t="s">
        <v>783</v>
      </c>
      <c r="B50" s="115" t="s">
        <v>1093</v>
      </c>
      <c r="C50" s="260">
        <v>24800</v>
      </c>
      <c r="D50" s="260">
        <v>24800</v>
      </c>
      <c r="E50" s="260">
        <f>Tabelle4[[#This Row],[Kredit-  / Budgetsumme
(RADAR: Gesamtkosten S)]]-Tabelle4[[#This Row],[Netto-Ausgaben Vorjahre ]]</f>
        <v>24000</v>
      </c>
      <c r="F50" s="310"/>
      <c r="G50" s="310"/>
      <c r="H50" s="310"/>
    </row>
    <row r="51" spans="1:8">
      <c r="A51" s="255" t="s">
        <v>602</v>
      </c>
      <c r="B51" s="115" t="s">
        <v>621</v>
      </c>
      <c r="C51" s="115"/>
      <c r="D51" s="115"/>
      <c r="E51" s="260">
        <f>Tabelle4[[#This Row],[Kredit-  / Budgetsumme
(RADAR: Gesamtkosten S)]]-Tabelle4[[#This Row],[Netto-Ausgaben Vorjahre ]]</f>
        <v>265000</v>
      </c>
      <c r="F51" s="310"/>
      <c r="G51" s="311"/>
      <c r="H51" s="311"/>
    </row>
    <row r="52" spans="1:8">
      <c r="A52" s="255" t="s">
        <v>279</v>
      </c>
      <c r="B52" s="115" t="s">
        <v>802</v>
      </c>
      <c r="C52" s="115">
        <v>2500000</v>
      </c>
      <c r="D52" s="115"/>
      <c r="E52" s="260">
        <f>Tabelle4[[#This Row],[Kredit-  / Budgetsumme
(RADAR: Gesamtkosten S)]]-Tabelle4[[#This Row],[Netto-Ausgaben Vorjahre ]]</f>
        <v>0</v>
      </c>
      <c r="F52" s="310"/>
      <c r="G52" s="311"/>
      <c r="H52" s="311"/>
    </row>
    <row r="53" spans="1:8">
      <c r="A53" s="255" t="s">
        <v>1162</v>
      </c>
      <c r="B53" s="115" t="s">
        <v>1087</v>
      </c>
      <c r="C53" s="115"/>
      <c r="D53" s="115"/>
      <c r="E53" s="115"/>
      <c r="F53" s="311"/>
      <c r="G53" s="311">
        <v>6000</v>
      </c>
      <c r="H53" s="311"/>
    </row>
    <row r="54" spans="1:8">
      <c r="A54" s="255" t="s">
        <v>456</v>
      </c>
      <c r="B54" s="115" t="s">
        <v>621</v>
      </c>
      <c r="C54" s="115"/>
      <c r="D54" s="115"/>
      <c r="E54" s="260">
        <f>Tabelle4[[#This Row],[Kredit-  / Budgetsumme
(RADAR: Gesamtkosten S)]]-Tabelle4[[#This Row],[Netto-Ausgaben Vorjahre ]]</f>
        <v>0</v>
      </c>
      <c r="F54" s="310"/>
      <c r="G54" s="311"/>
      <c r="H54" s="311"/>
    </row>
    <row r="55" spans="1:8">
      <c r="A55" s="255" t="s">
        <v>340</v>
      </c>
      <c r="B55" s="115" t="s">
        <v>802</v>
      </c>
      <c r="C55" s="115">
        <v>830000</v>
      </c>
      <c r="D55" s="115">
        <f>Tabelle4[[#This Row],[Kredit-  / Budgetsumme
(RADAR: Gesamtkosten S)]]-Tabelle4[[#This Row],[Kreditrest per 1.1. aktuelles Jahr]]</f>
        <v>0</v>
      </c>
      <c r="E55" s="260">
        <v>264753</v>
      </c>
      <c r="F55" s="310"/>
      <c r="G55" s="311"/>
      <c r="H55" s="311"/>
    </row>
    <row r="56" spans="1:8">
      <c r="A56" s="255" t="s">
        <v>459</v>
      </c>
      <c r="B56" s="115" t="s">
        <v>621</v>
      </c>
      <c r="C56" s="115"/>
      <c r="D56" s="115"/>
      <c r="E56" s="260">
        <f>Tabelle4[[#This Row],[Kredit-  / Budgetsumme
(RADAR: Gesamtkosten S)]]-Tabelle4[[#This Row],[Netto-Ausgaben Vorjahre ]]</f>
        <v>0</v>
      </c>
      <c r="F56" s="310"/>
      <c r="G56" s="311"/>
      <c r="H56" s="311"/>
    </row>
    <row r="57" spans="1:8">
      <c r="A57" s="255" t="s">
        <v>845</v>
      </c>
      <c r="B57" s="115" t="s">
        <v>1092</v>
      </c>
      <c r="C57" s="115"/>
      <c r="D57" s="115"/>
      <c r="E57" s="260"/>
      <c r="F57" s="310"/>
      <c r="G57" s="311">
        <v>3000</v>
      </c>
      <c r="H57" s="311">
        <v>3000</v>
      </c>
    </row>
    <row r="58" spans="1:8">
      <c r="A58" s="255" t="s">
        <v>282</v>
      </c>
      <c r="B58" s="115" t="s">
        <v>21</v>
      </c>
      <c r="C58" s="115"/>
      <c r="D58" s="115"/>
      <c r="E58" s="260">
        <f>Tabelle4[[#This Row],[Kredit-  / Budgetsumme
(RADAR: Gesamtkosten S)]]-Tabelle4[[#This Row],[Netto-Ausgaben Vorjahre ]]</f>
        <v>264753</v>
      </c>
      <c r="F58" s="310"/>
      <c r="G58" s="311"/>
      <c r="H58" s="311"/>
    </row>
    <row r="59" spans="1:8">
      <c r="A59" s="255" t="s">
        <v>461</v>
      </c>
      <c r="B59" s="115" t="s">
        <v>621</v>
      </c>
      <c r="C59" s="115"/>
      <c r="D59" s="115"/>
      <c r="E59" s="260">
        <f>Tabelle4[[#This Row],[Kredit-  / Budgetsumme
(RADAR: Gesamtkosten S)]]-Tabelle4[[#This Row],[Netto-Ausgaben Vorjahre ]]</f>
        <v>0</v>
      </c>
      <c r="F59" s="310"/>
      <c r="G59" s="311"/>
      <c r="H59" s="311"/>
    </row>
    <row r="60" spans="1:8">
      <c r="A60" s="255" t="s">
        <v>463</v>
      </c>
      <c r="B60" s="115" t="s">
        <v>621</v>
      </c>
      <c r="C60" s="115"/>
      <c r="D60" s="115"/>
      <c r="E60" s="260">
        <f>Tabelle4[[#This Row],[Kredit-  / Budgetsumme
(RADAR: Gesamtkosten S)]]-Tabelle4[[#This Row],[Netto-Ausgaben Vorjahre ]]</f>
        <v>0</v>
      </c>
      <c r="F60" s="310"/>
      <c r="G60" s="311"/>
      <c r="H60" s="311"/>
    </row>
    <row r="61" spans="1:8">
      <c r="A61" s="255" t="s">
        <v>465</v>
      </c>
      <c r="B61" s="115" t="s">
        <v>621</v>
      </c>
      <c r="C61" s="115"/>
      <c r="D61" s="115"/>
      <c r="E61" s="260">
        <f>Tabelle4[[#This Row],[Kredit-  / Budgetsumme
(RADAR: Gesamtkosten S)]]-Tabelle4[[#This Row],[Netto-Ausgaben Vorjahre ]]</f>
        <v>0</v>
      </c>
      <c r="F61" s="310"/>
      <c r="G61" s="311"/>
      <c r="H61" s="311"/>
    </row>
    <row r="62" spans="1:8">
      <c r="A62" s="255" t="s">
        <v>1158</v>
      </c>
      <c r="B62" s="115" t="s">
        <v>1093</v>
      </c>
      <c r="C62" s="115"/>
      <c r="D62" s="115"/>
      <c r="E62" s="115"/>
      <c r="F62" s="311"/>
      <c r="G62" s="311">
        <v>35000</v>
      </c>
      <c r="H62" s="311"/>
    </row>
    <row r="63" spans="1:8">
      <c r="A63" s="255" t="s">
        <v>285</v>
      </c>
      <c r="B63" s="115" t="s">
        <v>802</v>
      </c>
      <c r="C63" s="115">
        <v>144000</v>
      </c>
      <c r="D63" s="115">
        <v>107635.63</v>
      </c>
      <c r="E63" s="260">
        <f>Tabelle4[[#This Row],[Kredit-  / Budgetsumme
(RADAR: Gesamtkosten S)]]-Tabelle4[[#This Row],[Netto-Ausgaben Vorjahre ]]</f>
        <v>0</v>
      </c>
      <c r="F63" s="310"/>
      <c r="G63" s="311"/>
      <c r="H63" s="311"/>
    </row>
    <row r="64" spans="1:8">
      <c r="A64" s="255" t="s">
        <v>843</v>
      </c>
      <c r="B64" s="115" t="s">
        <v>21</v>
      </c>
      <c r="C64" s="115">
        <v>2610000</v>
      </c>
      <c r="D64" s="115"/>
      <c r="E64" s="260">
        <f>Tabelle4[[#This Row],[Kredit-  / Budgetsumme
(RADAR: Gesamtkosten S)]]-Tabelle4[[#This Row],[Netto-Ausgaben Vorjahre ]]</f>
        <v>0</v>
      </c>
      <c r="F64" s="310"/>
      <c r="G64" s="311">
        <v>350000</v>
      </c>
      <c r="H64" s="311">
        <v>750000</v>
      </c>
    </row>
    <row r="65" spans="1:8">
      <c r="A65" s="265" t="s">
        <v>467</v>
      </c>
      <c r="B65" s="115" t="s">
        <v>690</v>
      </c>
      <c r="C65" s="115"/>
      <c r="D65" s="115"/>
      <c r="E65" s="260">
        <f>Tabelle4[[#This Row],[Kredit-  / Budgetsumme
(RADAR: Gesamtkosten S)]]-Tabelle4[[#This Row],[Netto-Ausgaben Vorjahre ]]</f>
        <v>0</v>
      </c>
      <c r="F65" s="310"/>
      <c r="G65" s="311"/>
      <c r="H65" s="311"/>
    </row>
    <row r="66" spans="1:8">
      <c r="A66" s="255" t="s">
        <v>412</v>
      </c>
      <c r="B66" s="115" t="s">
        <v>1093</v>
      </c>
      <c r="C66" s="115">
        <v>60000</v>
      </c>
      <c r="D66" s="115">
        <v>50000</v>
      </c>
      <c r="E66" s="260">
        <v>10000</v>
      </c>
      <c r="F66" s="310"/>
      <c r="G66" s="311">
        <v>10000</v>
      </c>
      <c r="H66" s="311"/>
    </row>
    <row r="67" spans="1:8">
      <c r="A67" s="265" t="s">
        <v>124</v>
      </c>
      <c r="B67" s="115" t="s">
        <v>690</v>
      </c>
      <c r="C67" s="115"/>
      <c r="D67" s="115"/>
      <c r="E67" s="260">
        <f>Tabelle4[[#This Row],[Kredit-  / Budgetsumme
(RADAR: Gesamtkosten S)]]-Tabelle4[[#This Row],[Netto-Ausgaben Vorjahre ]]</f>
        <v>2610000</v>
      </c>
      <c r="F67" s="310"/>
      <c r="G67" s="311"/>
      <c r="H67" s="311"/>
    </row>
    <row r="68" spans="1:8">
      <c r="A68" s="265" t="s">
        <v>127</v>
      </c>
      <c r="B68" s="115" t="s">
        <v>690</v>
      </c>
      <c r="C68" s="115"/>
      <c r="D68" s="115"/>
      <c r="E68" s="260">
        <f>Tabelle4[[#This Row],[Kredit-  / Budgetsumme
(RADAR: Gesamtkosten S)]]-Tabelle4[[#This Row],[Netto-Ausgaben Vorjahre ]]</f>
        <v>0</v>
      </c>
      <c r="F68" s="310"/>
      <c r="G68" s="311"/>
      <c r="H68" s="311"/>
    </row>
    <row r="69" spans="1:8">
      <c r="A69" s="265" t="s">
        <v>201</v>
      </c>
      <c r="B69" s="115" t="s">
        <v>1092</v>
      </c>
      <c r="C69" s="115"/>
      <c r="D69" s="115"/>
      <c r="E69" s="260"/>
      <c r="F69" s="310"/>
      <c r="G69" s="311"/>
      <c r="H69" s="311"/>
    </row>
    <row r="70" spans="1:8">
      <c r="A70" s="265" t="s">
        <v>130</v>
      </c>
      <c r="B70" s="115" t="s">
        <v>690</v>
      </c>
      <c r="C70" s="115"/>
      <c r="D70" s="115"/>
      <c r="E70" s="260">
        <f>Tabelle4[[#This Row],[Kredit-  / Budgetsumme
(RADAR: Gesamtkosten S)]]-Tabelle4[[#This Row],[Netto-Ausgaben Vorjahre ]]</f>
        <v>0</v>
      </c>
      <c r="F70" s="310"/>
      <c r="G70" s="311"/>
      <c r="H70" s="311"/>
    </row>
    <row r="71" spans="1:8">
      <c r="A71" s="265" t="s">
        <v>203</v>
      </c>
      <c r="B71" s="115" t="s">
        <v>690</v>
      </c>
      <c r="C71" s="115"/>
      <c r="D71" s="115"/>
      <c r="E71" s="260">
        <f>Tabelle4[[#This Row],[Kredit-  / Budgetsumme
(RADAR: Gesamtkosten S)]]-Tabelle4[[#This Row],[Netto-Ausgaben Vorjahre ]]</f>
        <v>0</v>
      </c>
      <c r="F71" s="310"/>
      <c r="G71" s="311"/>
      <c r="H71" s="311"/>
    </row>
    <row r="72" spans="1:8">
      <c r="A72" s="265" t="s">
        <v>133</v>
      </c>
      <c r="B72" s="115" t="s">
        <v>690</v>
      </c>
      <c r="C72" s="115"/>
      <c r="D72" s="115"/>
      <c r="E72" s="260">
        <f>Tabelle4[[#This Row],[Kredit-  / Budgetsumme
(RADAR: Gesamtkosten S)]]-Tabelle4[[#This Row],[Netto-Ausgaben Vorjahre ]]</f>
        <v>0</v>
      </c>
      <c r="F72" s="310"/>
      <c r="G72" s="311"/>
      <c r="H72" s="311"/>
    </row>
    <row r="73" spans="1:8">
      <c r="A73" s="265" t="s">
        <v>205</v>
      </c>
      <c r="B73" s="115" t="s">
        <v>690</v>
      </c>
      <c r="C73" s="115"/>
      <c r="D73" s="115"/>
      <c r="E73" s="260">
        <f>Tabelle4[[#This Row],[Kredit-  / Budgetsumme
(RADAR: Gesamtkosten S)]]-Tabelle4[[#This Row],[Netto-Ausgaben Vorjahre ]]</f>
        <v>0</v>
      </c>
      <c r="F73" s="310"/>
      <c r="G73" s="311"/>
      <c r="H73" s="311"/>
    </row>
    <row r="74" spans="1:8">
      <c r="A74" s="255" t="s">
        <v>178</v>
      </c>
      <c r="B74" s="115" t="s">
        <v>1092</v>
      </c>
      <c r="C74" s="115"/>
      <c r="D74" s="115"/>
      <c r="E74" s="260"/>
      <c r="F74" s="310"/>
      <c r="G74" s="311">
        <v>1000</v>
      </c>
      <c r="H74" s="311">
        <v>1000</v>
      </c>
    </row>
    <row r="75" spans="1:8">
      <c r="A75" s="265" t="s">
        <v>136</v>
      </c>
      <c r="B75" s="115" t="s">
        <v>690</v>
      </c>
      <c r="C75" s="115"/>
      <c r="D75" s="115"/>
      <c r="E75" s="260">
        <f>Tabelle4[[#This Row],[Kredit-  / Budgetsumme
(RADAR: Gesamtkosten S)]]-Tabelle4[[#This Row],[Netto-Ausgaben Vorjahre ]]</f>
        <v>0</v>
      </c>
      <c r="F75" s="310"/>
      <c r="G75" s="311"/>
      <c r="H75" s="311"/>
    </row>
    <row r="76" spans="1:8">
      <c r="A76" s="265" t="s">
        <v>180</v>
      </c>
      <c r="B76" s="115" t="s">
        <v>690</v>
      </c>
      <c r="C76" s="115"/>
      <c r="D76" s="115"/>
      <c r="E76" s="260">
        <f>Tabelle4[[#This Row],[Kredit-  / Budgetsumme
(RADAR: Gesamtkosten S)]]-Tabelle4[[#This Row],[Netto-Ausgaben Vorjahre ]]</f>
        <v>0</v>
      </c>
      <c r="F76" s="310"/>
      <c r="G76" s="311"/>
      <c r="H76" s="311"/>
    </row>
    <row r="77" spans="1:8">
      <c r="A77" s="255" t="s">
        <v>393</v>
      </c>
      <c r="B77" s="115" t="s">
        <v>799</v>
      </c>
      <c r="C77" s="115">
        <v>120000</v>
      </c>
      <c r="D77" s="115">
        <v>20238</v>
      </c>
      <c r="E77" s="260">
        <f>Tabelle4[[#This Row],[Kredit-  / Budgetsumme
(RADAR: Gesamtkosten S)]]-Tabelle4[[#This Row],[Netto-Ausgaben Vorjahre ]]</f>
        <v>0</v>
      </c>
      <c r="F77" s="310"/>
      <c r="G77" s="311">
        <v>99762</v>
      </c>
      <c r="H77" s="311"/>
    </row>
    <row r="78" spans="1:8">
      <c r="A78" s="248" t="s">
        <v>785</v>
      </c>
      <c r="B78" s="260" t="s">
        <v>1089</v>
      </c>
      <c r="C78" s="260"/>
      <c r="D78" s="260"/>
      <c r="E78" s="260"/>
      <c r="F78" s="310"/>
      <c r="G78" s="310">
        <v>15000</v>
      </c>
      <c r="H78" s="310"/>
    </row>
    <row r="79" spans="1:8">
      <c r="A79" s="279" t="s">
        <v>1096</v>
      </c>
      <c r="B79" s="287" t="s">
        <v>75</v>
      </c>
      <c r="C79" s="287"/>
      <c r="D79" s="287"/>
      <c r="E79" s="287"/>
      <c r="F79" s="313"/>
      <c r="G79" s="313"/>
      <c r="H79" s="313"/>
    </row>
    <row r="80" spans="1:8">
      <c r="A80" s="265" t="s">
        <v>415</v>
      </c>
      <c r="B80" s="115" t="s">
        <v>802</v>
      </c>
      <c r="C80" s="115"/>
      <c r="D80" s="115"/>
      <c r="E80" s="260">
        <f>Tabelle4[[#This Row],[Kredit-  / Budgetsumme
(RADAR: Gesamtkosten S)]]-Tabelle4[[#This Row],[Netto-Ausgaben Vorjahre ]]</f>
        <v>99762</v>
      </c>
      <c r="F80" s="310"/>
      <c r="G80" s="311"/>
      <c r="H80" s="311"/>
    </row>
    <row r="81" spans="1:8">
      <c r="A81" s="255" t="s">
        <v>470</v>
      </c>
      <c r="B81" s="115" t="s">
        <v>621</v>
      </c>
      <c r="C81" s="115"/>
      <c r="D81" s="115"/>
      <c r="E81" s="260">
        <f>Tabelle4[[#This Row],[Kredit-  / Budgetsumme
(RADAR: Gesamtkosten S)]]-Tabelle4[[#This Row],[Netto-Ausgaben Vorjahre ]]</f>
        <v>0</v>
      </c>
      <c r="F81" s="310"/>
      <c r="G81" s="311"/>
      <c r="H81" s="311"/>
    </row>
    <row r="82" spans="1:8">
      <c r="A82" s="255" t="s">
        <v>1161</v>
      </c>
      <c r="B82" s="115" t="s">
        <v>1089</v>
      </c>
      <c r="C82" s="115"/>
      <c r="D82" s="115"/>
      <c r="E82" s="115"/>
      <c r="F82" s="311"/>
      <c r="G82" s="311">
        <v>30000</v>
      </c>
      <c r="H82" s="311"/>
    </row>
    <row r="83" spans="1:8">
      <c r="A83" s="255" t="s">
        <v>1082</v>
      </c>
      <c r="B83" s="115" t="s">
        <v>1092</v>
      </c>
      <c r="C83" s="115"/>
      <c r="D83" s="115"/>
      <c r="E83" s="115"/>
      <c r="F83" s="311"/>
      <c r="G83" s="311">
        <v>1000</v>
      </c>
      <c r="H83" s="311">
        <v>1000</v>
      </c>
    </row>
    <row r="84" spans="1:8">
      <c r="A84" s="248" t="s">
        <v>832</v>
      </c>
      <c r="B84" s="260" t="s">
        <v>21</v>
      </c>
      <c r="C84" s="260"/>
      <c r="D84" s="260"/>
      <c r="E84" s="260">
        <f>Tabelle4[[#This Row],[Kredit-  / Budgetsumme
(RADAR: Gesamtkosten S)]]-Tabelle4[[#This Row],[Netto-Ausgaben Vorjahre ]]</f>
        <v>0</v>
      </c>
      <c r="F84" s="310"/>
      <c r="G84" s="310">
        <v>60000</v>
      </c>
      <c r="H84" s="310">
        <v>60000</v>
      </c>
    </row>
    <row r="85" spans="1:8">
      <c r="A85" s="255" t="s">
        <v>244</v>
      </c>
      <c r="B85" s="115" t="s">
        <v>690</v>
      </c>
      <c r="C85" s="115"/>
      <c r="D85" s="115"/>
      <c r="E85" s="260">
        <f>Tabelle4[[#This Row],[Kredit-  / Budgetsumme
(RADAR: Gesamtkosten S)]]-Tabelle4[[#This Row],[Netto-Ausgaben Vorjahre ]]</f>
        <v>0</v>
      </c>
      <c r="F85" s="310"/>
      <c r="G85" s="311"/>
      <c r="H85" s="311"/>
    </row>
    <row r="86" spans="1:8">
      <c r="A86" s="255" t="s">
        <v>865</v>
      </c>
      <c r="B86" s="115" t="s">
        <v>75</v>
      </c>
      <c r="C86" s="115"/>
      <c r="D86" s="115"/>
      <c r="E86" s="115">
        <f>Tabelle4[[#This Row],[Kredit-  / Budgetsumme
(RADAR: Gesamtkosten S)]]-Tabelle4[[#This Row],[Netto-Ausgaben Vorjahre ]]</f>
        <v>0</v>
      </c>
      <c r="F86" s="311"/>
      <c r="G86" s="311"/>
      <c r="H86" s="311"/>
    </row>
    <row r="87" spans="1:8">
      <c r="A87" s="265" t="s">
        <v>249</v>
      </c>
      <c r="B87" s="115" t="s">
        <v>690</v>
      </c>
      <c r="C87" s="115"/>
      <c r="D87" s="115"/>
      <c r="E87" s="260">
        <f>Tabelle4[[#This Row],[Kredit-  / Budgetsumme
(RADAR: Gesamtkosten S)]]-Tabelle4[[#This Row],[Netto-Ausgaben Vorjahre ]]</f>
        <v>0</v>
      </c>
      <c r="F87" s="310"/>
      <c r="G87" s="311"/>
      <c r="H87" s="311"/>
    </row>
    <row r="88" spans="1:8">
      <c r="A88" s="255" t="s">
        <v>196</v>
      </c>
      <c r="B88" s="115" t="s">
        <v>621</v>
      </c>
      <c r="C88" s="115"/>
      <c r="D88" s="115"/>
      <c r="E88" s="260">
        <f>Tabelle4[[#This Row],[Kredit-  / Budgetsumme
(RADAR: Gesamtkosten S)]]-Tabelle4[[#This Row],[Netto-Ausgaben Vorjahre ]]</f>
        <v>0</v>
      </c>
      <c r="F88" s="310"/>
      <c r="G88" s="311"/>
      <c r="H88" s="311"/>
    </row>
    <row r="89" spans="1:8">
      <c r="A89" s="255" t="s">
        <v>473</v>
      </c>
      <c r="B89" s="115" t="s">
        <v>621</v>
      </c>
      <c r="C89" s="115"/>
      <c r="D89" s="115"/>
      <c r="E89" s="260">
        <f>Tabelle4[[#This Row],[Kredit-  / Budgetsumme
(RADAR: Gesamtkosten S)]]-Tabelle4[[#This Row],[Netto-Ausgaben Vorjahre ]]</f>
        <v>0</v>
      </c>
      <c r="F89" s="310"/>
      <c r="G89" s="311"/>
      <c r="H89" s="311"/>
    </row>
    <row r="90" spans="1:8">
      <c r="A90" s="255" t="s">
        <v>866</v>
      </c>
      <c r="B90" s="115" t="s">
        <v>1093</v>
      </c>
      <c r="C90" s="115"/>
      <c r="D90" s="115"/>
      <c r="E90" s="260"/>
      <c r="F90" s="310"/>
      <c r="G90" s="311">
        <v>90000</v>
      </c>
      <c r="H90" s="311">
        <v>80000</v>
      </c>
    </row>
    <row r="91" spans="1:8">
      <c r="A91" s="255" t="s">
        <v>867</v>
      </c>
      <c r="B91" s="115" t="s">
        <v>21</v>
      </c>
      <c r="C91" s="115">
        <v>270000</v>
      </c>
      <c r="D91" s="115">
        <f>Tabelle4[[#This Row],[Kredit-  / Budgetsumme
(RADAR: Gesamtkosten S)]]-Tabelle4[[#This Row],[Kreditrest per 1.1. aktuelles Jahr]]</f>
        <v>0</v>
      </c>
      <c r="E91" s="260">
        <v>44542</v>
      </c>
      <c r="F91" s="310"/>
      <c r="G91" s="311"/>
      <c r="H91" s="311"/>
    </row>
    <row r="92" spans="1:8">
      <c r="A92" s="255" t="s">
        <v>844</v>
      </c>
      <c r="B92" s="260" t="s">
        <v>858</v>
      </c>
      <c r="C92" s="115"/>
      <c r="D92" s="260"/>
      <c r="E92" s="260">
        <f>Tabelle4[[#This Row],[Kredit-  / Budgetsumme
(RADAR: Gesamtkosten S)]]-Tabelle4[[#This Row],[Netto-Ausgaben Vorjahre ]]</f>
        <v>0</v>
      </c>
      <c r="F92" s="310"/>
      <c r="G92" s="310"/>
      <c r="H92" s="310"/>
    </row>
    <row r="93" spans="1:8">
      <c r="A93" s="255" t="s">
        <v>475</v>
      </c>
      <c r="B93" s="115" t="s">
        <v>621</v>
      </c>
      <c r="C93" s="115"/>
      <c r="D93" s="115"/>
      <c r="E93" s="260">
        <f>Tabelle4[[#This Row],[Kredit-  / Budgetsumme
(RADAR: Gesamtkosten S)]]-Tabelle4[[#This Row],[Netto-Ausgaben Vorjahre ]]</f>
        <v>0</v>
      </c>
      <c r="F93" s="310"/>
      <c r="G93" s="311"/>
      <c r="H93" s="311">
        <v>250000</v>
      </c>
    </row>
    <row r="94" spans="1:8">
      <c r="A94" s="255" t="s">
        <v>477</v>
      </c>
      <c r="B94" s="115" t="s">
        <v>621</v>
      </c>
      <c r="C94" s="115"/>
      <c r="D94" s="115"/>
      <c r="E94" s="260">
        <f>Tabelle4[[#This Row],[Kredit-  / Budgetsumme
(RADAR: Gesamtkosten S)]]-Tabelle4[[#This Row],[Netto-Ausgaben Vorjahre ]]</f>
        <v>44542</v>
      </c>
      <c r="F94" s="310"/>
      <c r="G94" s="311"/>
      <c r="H94" s="311"/>
    </row>
    <row r="95" spans="1:8">
      <c r="A95" s="265" t="s">
        <v>121</v>
      </c>
      <c r="B95" s="115" t="s">
        <v>690</v>
      </c>
      <c r="C95" s="115"/>
      <c r="D95" s="115"/>
      <c r="E95" s="260">
        <f>Tabelle4[[#This Row],[Kredit-  / Budgetsumme
(RADAR: Gesamtkosten S)]]-Tabelle4[[#This Row],[Netto-Ausgaben Vorjahre ]]</f>
        <v>0</v>
      </c>
      <c r="F95" s="310"/>
      <c r="G95" s="311"/>
      <c r="H95" s="311"/>
    </row>
    <row r="96" spans="1:8">
      <c r="A96" s="265" t="s">
        <v>142</v>
      </c>
      <c r="B96" s="115" t="s">
        <v>690</v>
      </c>
      <c r="C96" s="115"/>
      <c r="D96" s="115"/>
      <c r="E96" s="260">
        <f>Tabelle4[[#This Row],[Kredit-  / Budgetsumme
(RADAR: Gesamtkosten S)]]-Tabelle4[[#This Row],[Netto-Ausgaben Vorjahre ]]</f>
        <v>0</v>
      </c>
      <c r="F96" s="310"/>
      <c r="G96" s="311"/>
      <c r="H96" s="311"/>
    </row>
    <row r="97" spans="1:8">
      <c r="A97" s="255" t="s">
        <v>479</v>
      </c>
      <c r="B97" s="115" t="s">
        <v>75</v>
      </c>
      <c r="C97" s="115"/>
      <c r="D97" s="115"/>
      <c r="E97" s="260">
        <f>Tabelle4[[#This Row],[Kredit-  / Budgetsumme
(RADAR: Gesamtkosten S)]]-Tabelle4[[#This Row],[Netto-Ausgaben Vorjahre ]]</f>
        <v>0</v>
      </c>
      <c r="F97" s="310"/>
      <c r="G97" s="311"/>
      <c r="H97" s="311"/>
    </row>
    <row r="98" spans="1:8">
      <c r="A98" s="255" t="s">
        <v>288</v>
      </c>
      <c r="B98" s="115" t="s">
        <v>802</v>
      </c>
      <c r="C98" s="115"/>
      <c r="D98" s="115"/>
      <c r="E98" s="260">
        <f>Tabelle4[[#This Row],[Kredit-  / Budgetsumme
(RADAR: Gesamtkosten S)]]-Tabelle4[[#This Row],[Netto-Ausgaben Vorjahre ]]</f>
        <v>0</v>
      </c>
      <c r="F98" s="310"/>
      <c r="G98" s="311"/>
      <c r="H98" s="311"/>
    </row>
    <row r="99" spans="1:8">
      <c r="A99" s="265" t="s">
        <v>591</v>
      </c>
      <c r="B99" s="115" t="s">
        <v>690</v>
      </c>
      <c r="C99" s="115"/>
      <c r="D99" s="115"/>
      <c r="E99" s="260">
        <f>Tabelle4[[#This Row],[Kredit-  / Budgetsumme
(RADAR: Gesamtkosten S)]]-Tabelle4[[#This Row],[Netto-Ausgaben Vorjahre ]]</f>
        <v>0</v>
      </c>
      <c r="F99" s="310"/>
      <c r="G99" s="311"/>
      <c r="H99" s="311"/>
    </row>
    <row r="100" spans="1:8">
      <c r="A100" s="265" t="s">
        <v>593</v>
      </c>
      <c r="B100" s="115" t="s">
        <v>690</v>
      </c>
      <c r="C100" s="115"/>
      <c r="D100" s="115"/>
      <c r="E100" s="260">
        <f>Tabelle4[[#This Row],[Kredit-  / Budgetsumme
(RADAR: Gesamtkosten S)]]-Tabelle4[[#This Row],[Netto-Ausgaben Vorjahre ]]</f>
        <v>0</v>
      </c>
      <c r="F100" s="310"/>
      <c r="G100" s="311"/>
      <c r="H100" s="311"/>
    </row>
    <row r="101" spans="1:8">
      <c r="A101" s="265" t="s">
        <v>595</v>
      </c>
      <c r="B101" s="115" t="s">
        <v>690</v>
      </c>
      <c r="C101" s="115"/>
      <c r="D101" s="115"/>
      <c r="E101" s="260">
        <f>Tabelle4[[#This Row],[Kredit-  / Budgetsumme
(RADAR: Gesamtkosten S)]]-Tabelle4[[#This Row],[Netto-Ausgaben Vorjahre ]]</f>
        <v>0</v>
      </c>
      <c r="F101" s="310"/>
      <c r="G101" s="311"/>
      <c r="H101" s="311"/>
    </row>
    <row r="102" spans="1:8">
      <c r="A102" s="265" t="s">
        <v>597</v>
      </c>
      <c r="B102" s="115" t="s">
        <v>690</v>
      </c>
      <c r="C102" s="115"/>
      <c r="D102" s="115"/>
      <c r="E102" s="260">
        <f>Tabelle4[[#This Row],[Kredit-  / Budgetsumme
(RADAR: Gesamtkosten S)]]-Tabelle4[[#This Row],[Netto-Ausgaben Vorjahre ]]</f>
        <v>0</v>
      </c>
      <c r="F102" s="310"/>
      <c r="G102" s="311"/>
      <c r="H102" s="311"/>
    </row>
    <row r="103" spans="1:8">
      <c r="A103" s="265" t="s">
        <v>910</v>
      </c>
      <c r="B103" s="115" t="s">
        <v>690</v>
      </c>
      <c r="C103" s="115"/>
      <c r="D103" s="115"/>
      <c r="E103" s="260">
        <f>Tabelle4[[#This Row],[Kredit-  / Budgetsumme
(RADAR: Gesamtkosten S)]]-Tabelle4[[#This Row],[Netto-Ausgaben Vorjahre ]]</f>
        <v>0</v>
      </c>
      <c r="F103" s="310"/>
      <c r="G103" s="311"/>
      <c r="H103" s="311"/>
    </row>
    <row r="104" spans="1:8">
      <c r="A104" s="255" t="s">
        <v>481</v>
      </c>
      <c r="B104" s="115" t="s">
        <v>621</v>
      </c>
      <c r="C104" s="115"/>
      <c r="D104" s="115"/>
      <c r="E104" s="260">
        <f>Tabelle4[[#This Row],[Kredit-  / Budgetsumme
(RADAR: Gesamtkosten S)]]-Tabelle4[[#This Row],[Netto-Ausgaben Vorjahre ]]</f>
        <v>0</v>
      </c>
      <c r="F104" s="310"/>
      <c r="G104" s="311"/>
      <c r="H104" s="311"/>
    </row>
    <row r="105" spans="1:8">
      <c r="A105" s="255" t="s">
        <v>484</v>
      </c>
      <c r="B105" s="115" t="s">
        <v>621</v>
      </c>
      <c r="C105" s="115"/>
      <c r="D105" s="115"/>
      <c r="E105" s="260">
        <f>Tabelle4[[#This Row],[Kredit-  / Budgetsumme
(RADAR: Gesamtkosten S)]]-Tabelle4[[#This Row],[Netto-Ausgaben Vorjahre ]]</f>
        <v>0</v>
      </c>
      <c r="F105" s="310"/>
      <c r="G105" s="311"/>
      <c r="H105" s="311"/>
    </row>
    <row r="106" spans="1:8">
      <c r="A106" s="255" t="s">
        <v>291</v>
      </c>
      <c r="B106" s="115" t="s">
        <v>690</v>
      </c>
      <c r="C106" s="115"/>
      <c r="D106" s="115"/>
      <c r="E106" s="260">
        <f>Tabelle4[[#This Row],[Kredit-  / Budgetsumme
(RADAR: Gesamtkosten S)]]-Tabelle4[[#This Row],[Netto-Ausgaben Vorjahre ]]</f>
        <v>0</v>
      </c>
      <c r="F106" s="310"/>
      <c r="G106" s="311"/>
      <c r="H106" s="311"/>
    </row>
    <row r="107" spans="1:8">
      <c r="A107" s="255" t="s">
        <v>487</v>
      </c>
      <c r="B107" s="115" t="s">
        <v>621</v>
      </c>
      <c r="C107" s="115"/>
      <c r="D107" s="115"/>
      <c r="E107" s="260">
        <f>Tabelle4[[#This Row],[Kredit-  / Budgetsumme
(RADAR: Gesamtkosten S)]]-Tabelle4[[#This Row],[Netto-Ausgaben Vorjahre ]]</f>
        <v>0</v>
      </c>
      <c r="F107" s="310"/>
      <c r="G107" s="311"/>
      <c r="H107" s="311"/>
    </row>
    <row r="108" spans="1:8">
      <c r="A108" s="255" t="s">
        <v>489</v>
      </c>
      <c r="B108" s="115" t="s">
        <v>621</v>
      </c>
      <c r="C108" s="115"/>
      <c r="D108" s="115"/>
      <c r="E108" s="260">
        <f>Tabelle4[[#This Row],[Kredit-  / Budgetsumme
(RADAR: Gesamtkosten S)]]-Tabelle4[[#This Row],[Netto-Ausgaben Vorjahre ]]</f>
        <v>0</v>
      </c>
      <c r="F108" s="310"/>
      <c r="G108" s="311"/>
      <c r="H108" s="311"/>
    </row>
    <row r="109" spans="1:8">
      <c r="A109" s="255" t="s">
        <v>491</v>
      </c>
      <c r="B109" s="115" t="s">
        <v>802</v>
      </c>
      <c r="C109" s="115"/>
      <c r="D109" s="115"/>
      <c r="E109" s="260"/>
      <c r="F109" s="310"/>
      <c r="G109" s="311"/>
      <c r="H109" s="311"/>
    </row>
    <row r="110" spans="1:8">
      <c r="A110" s="255" t="s">
        <v>398</v>
      </c>
      <c r="B110" s="115" t="s">
        <v>857</v>
      </c>
      <c r="C110" s="115"/>
      <c r="D110" s="115"/>
      <c r="E110" s="260">
        <f>Tabelle4[[#This Row],[Kredit-  / Budgetsumme
(RADAR: Gesamtkosten S)]]-Tabelle4[[#This Row],[Netto-Ausgaben Vorjahre ]]</f>
        <v>0</v>
      </c>
      <c r="F110" s="310"/>
      <c r="G110" s="311"/>
      <c r="H110" s="311"/>
    </row>
    <row r="111" spans="1:8">
      <c r="A111" s="265" t="s">
        <v>343</v>
      </c>
      <c r="B111" s="115" t="s">
        <v>802</v>
      </c>
      <c r="C111" s="115"/>
      <c r="D111" s="115">
        <v>70384.3</v>
      </c>
      <c r="E111" s="260">
        <f>Tabelle4[[#This Row],[Kredit-  / Budgetsumme
(RADAR: Gesamtkosten S)]]-Tabelle4[[#This Row],[Netto-Ausgaben Vorjahre ]]</f>
        <v>0</v>
      </c>
      <c r="F111" s="310"/>
      <c r="G111" s="311"/>
      <c r="H111" s="311"/>
    </row>
    <row r="112" spans="1:8">
      <c r="A112" s="248" t="s">
        <v>818</v>
      </c>
      <c r="B112" s="260" t="s">
        <v>21</v>
      </c>
      <c r="C112" s="260">
        <v>3000000</v>
      </c>
      <c r="D112" s="260"/>
      <c r="E112" s="260">
        <f>Tabelle4[[#This Row],[Kredit-  / Budgetsumme
(RADAR: Gesamtkosten S)]]-Tabelle4[[#This Row],[Netto-Ausgaben Vorjahre ]]</f>
        <v>0</v>
      </c>
      <c r="F112" s="310"/>
      <c r="G112" s="310">
        <v>150000</v>
      </c>
      <c r="H112" s="310">
        <v>150000</v>
      </c>
    </row>
    <row r="113" spans="1:8">
      <c r="A113" s="265" t="s">
        <v>493</v>
      </c>
      <c r="B113" s="115" t="s">
        <v>621</v>
      </c>
      <c r="C113" s="115"/>
      <c r="D113" s="115"/>
      <c r="E113" s="260">
        <f>Tabelle4[[#This Row],[Kredit-  / Budgetsumme
(RADAR: Gesamtkosten S)]]-Tabelle4[[#This Row],[Netto-Ausgaben Vorjahre ]]</f>
        <v>0</v>
      </c>
      <c r="F113" s="310"/>
      <c r="G113" s="311"/>
      <c r="H113" s="311"/>
    </row>
    <row r="114" spans="1:8">
      <c r="A114" s="255" t="s">
        <v>495</v>
      </c>
      <c r="B114" s="115" t="s">
        <v>621</v>
      </c>
      <c r="C114" s="115"/>
      <c r="D114" s="115"/>
      <c r="E114" s="260">
        <f>Tabelle4[[#This Row],[Kredit-  / Budgetsumme
(RADAR: Gesamtkosten S)]]-Tabelle4[[#This Row],[Netto-Ausgaben Vorjahre ]]</f>
        <v>-70384.3</v>
      </c>
      <c r="F114" s="310"/>
      <c r="G114" s="311"/>
      <c r="H114" s="311"/>
    </row>
    <row r="115" spans="1:8">
      <c r="A115" s="265" t="s">
        <v>347</v>
      </c>
      <c r="B115" s="115" t="s">
        <v>802</v>
      </c>
      <c r="C115" s="115"/>
      <c r="D115" s="115"/>
      <c r="E115" s="260">
        <f>Tabelle4[[#This Row],[Kredit-  / Budgetsumme
(RADAR: Gesamtkosten S)]]-Tabelle4[[#This Row],[Netto-Ausgaben Vorjahre ]]</f>
        <v>3000000</v>
      </c>
      <c r="F115" s="310"/>
      <c r="G115" s="311"/>
      <c r="H115" s="311"/>
    </row>
    <row r="116" spans="1:8">
      <c r="A116" s="265" t="s">
        <v>350</v>
      </c>
      <c r="B116" s="115" t="s">
        <v>802</v>
      </c>
      <c r="C116" s="115"/>
      <c r="D116" s="115"/>
      <c r="E116" s="260">
        <f>Tabelle4[[#This Row],[Kredit-  / Budgetsumme
(RADAR: Gesamtkosten S)]]-Tabelle4[[#This Row],[Netto-Ausgaben Vorjahre ]]</f>
        <v>0</v>
      </c>
      <c r="F116" s="310"/>
      <c r="G116" s="311"/>
      <c r="H116" s="311"/>
    </row>
    <row r="117" spans="1:8">
      <c r="A117" s="255" t="s">
        <v>497</v>
      </c>
      <c r="B117" s="115" t="s">
        <v>621</v>
      </c>
      <c r="C117" s="115"/>
      <c r="D117" s="115"/>
      <c r="E117" s="260">
        <f>Tabelle4[[#This Row],[Kredit-  / Budgetsumme
(RADAR: Gesamtkosten S)]]-Tabelle4[[#This Row],[Netto-Ausgaben Vorjahre ]]</f>
        <v>0</v>
      </c>
      <c r="F117" s="310"/>
      <c r="G117" s="311"/>
      <c r="H117" s="311"/>
    </row>
    <row r="118" spans="1:8">
      <c r="A118" s="255" t="s">
        <v>353</v>
      </c>
      <c r="B118" s="115" t="s">
        <v>802</v>
      </c>
      <c r="C118" s="115">
        <v>108000</v>
      </c>
      <c r="D118" s="115">
        <f>Tabelle4[[#This Row],[Kredit-  / Budgetsumme
(RADAR: Gesamtkosten S)]]-Tabelle4[[#This Row],[Kreditrest per 1.1. aktuelles Jahr]]</f>
        <v>0</v>
      </c>
      <c r="E118" s="260">
        <v>28900</v>
      </c>
      <c r="F118" s="310"/>
      <c r="G118" s="311">
        <v>28900</v>
      </c>
      <c r="H118" s="311"/>
    </row>
    <row r="119" spans="1:8">
      <c r="A119" s="265" t="s">
        <v>147</v>
      </c>
      <c r="B119" s="115" t="s">
        <v>690</v>
      </c>
      <c r="C119" s="115"/>
      <c r="D119" s="115"/>
      <c r="E119" s="260">
        <f>Tabelle4[[#This Row],[Kredit-  / Budgetsumme
(RADAR: Gesamtkosten S)]]-Tabelle4[[#This Row],[Netto-Ausgaben Vorjahre ]]</f>
        <v>0</v>
      </c>
      <c r="F119" s="310"/>
      <c r="G119" s="311"/>
      <c r="H119" s="311"/>
    </row>
    <row r="120" spans="1:8">
      <c r="A120" s="255" t="s">
        <v>1084</v>
      </c>
      <c r="B120" s="115" t="s">
        <v>1092</v>
      </c>
      <c r="C120" s="115"/>
      <c r="D120" s="115"/>
      <c r="E120" s="115"/>
      <c r="F120" s="311"/>
      <c r="G120" s="311">
        <v>20000</v>
      </c>
      <c r="H120" s="311">
        <v>20000</v>
      </c>
    </row>
    <row r="121" spans="1:8">
      <c r="A121" s="255" t="s">
        <v>149</v>
      </c>
      <c r="B121" s="115" t="s">
        <v>690</v>
      </c>
      <c r="C121" s="115"/>
      <c r="D121" s="115"/>
      <c r="E121" s="260">
        <f>Tabelle4[[#This Row],[Kredit-  / Budgetsumme
(RADAR: Gesamtkosten S)]]-Tabelle4[[#This Row],[Netto-Ausgaben Vorjahre ]]</f>
        <v>28900</v>
      </c>
      <c r="F121" s="310"/>
      <c r="G121" s="311"/>
      <c r="H121" s="311"/>
    </row>
    <row r="122" spans="1:8">
      <c r="A122" s="255" t="s">
        <v>499</v>
      </c>
      <c r="B122" s="115" t="s">
        <v>621</v>
      </c>
      <c r="C122" s="115"/>
      <c r="D122" s="115"/>
      <c r="E122" s="260">
        <f>Tabelle4[[#This Row],[Kredit-  / Budgetsumme
(RADAR: Gesamtkosten S)]]-Tabelle4[[#This Row],[Netto-Ausgaben Vorjahre ]]</f>
        <v>0</v>
      </c>
      <c r="F122" s="310"/>
      <c r="G122" s="311"/>
      <c r="H122" s="311"/>
    </row>
    <row r="123" spans="1:8">
      <c r="A123" s="255" t="s">
        <v>151</v>
      </c>
      <c r="B123" s="115" t="s">
        <v>690</v>
      </c>
      <c r="C123" s="115"/>
      <c r="D123" s="115"/>
      <c r="E123" s="260">
        <f>Tabelle4[[#This Row],[Kredit-  / Budgetsumme
(RADAR: Gesamtkosten S)]]-Tabelle4[[#This Row],[Netto-Ausgaben Vorjahre ]]</f>
        <v>0</v>
      </c>
      <c r="F123" s="310"/>
      <c r="G123" s="311"/>
      <c r="H123" s="311"/>
    </row>
    <row r="124" spans="1:8">
      <c r="A124" s="255" t="s">
        <v>357</v>
      </c>
      <c r="B124" s="115" t="s">
        <v>802</v>
      </c>
      <c r="C124" s="115">
        <v>200000</v>
      </c>
      <c r="D124" s="115">
        <v>248</v>
      </c>
      <c r="E124" s="260">
        <f>Tabelle4[[#This Row],[Kredit-  / Budgetsumme
(RADAR: Gesamtkosten S)]]-Tabelle4[[#This Row],[Netto-Ausgaben Vorjahre ]]</f>
        <v>0</v>
      </c>
      <c r="F124" s="310"/>
      <c r="G124" s="311">
        <v>180000</v>
      </c>
      <c r="H124" s="311">
        <v>19752</v>
      </c>
    </row>
    <row r="125" spans="1:8">
      <c r="A125" s="255" t="s">
        <v>502</v>
      </c>
      <c r="B125" s="115" t="s">
        <v>623</v>
      </c>
      <c r="C125" s="115"/>
      <c r="D125" s="115"/>
      <c r="E125" s="260">
        <f>Tabelle4[[#This Row],[Kredit-  / Budgetsumme
(RADAR: Gesamtkosten S)]]-Tabelle4[[#This Row],[Netto-Ausgaben Vorjahre ]]</f>
        <v>0</v>
      </c>
      <c r="F125" s="310"/>
      <c r="G125" s="311">
        <v>15000</v>
      </c>
      <c r="H125" s="311"/>
    </row>
    <row r="126" spans="1:8">
      <c r="A126" s="255" t="s">
        <v>401</v>
      </c>
      <c r="B126" s="115" t="s">
        <v>799</v>
      </c>
      <c r="C126" s="115">
        <v>150000</v>
      </c>
      <c r="D126" s="115">
        <v>1565</v>
      </c>
      <c r="E126" s="260">
        <f>Tabelle4[[#This Row],[Kredit-  / Budgetsumme
(RADAR: Gesamtkosten S)]]-Tabelle4[[#This Row],[Netto-Ausgaben Vorjahre ]]</f>
        <v>0</v>
      </c>
      <c r="F126" s="310"/>
      <c r="G126" s="311">
        <v>120000</v>
      </c>
      <c r="H126" s="311">
        <v>28435</v>
      </c>
    </row>
    <row r="127" spans="1:8">
      <c r="A127" s="265" t="s">
        <v>505</v>
      </c>
      <c r="B127" s="115" t="s">
        <v>621</v>
      </c>
      <c r="C127" s="115"/>
      <c r="D127" s="115"/>
      <c r="E127" s="260">
        <f>Tabelle4[[#This Row],[Kredit-  / Budgetsumme
(RADAR: Gesamtkosten S)]]-Tabelle4[[#This Row],[Netto-Ausgaben Vorjahre ]]</f>
        <v>199752</v>
      </c>
      <c r="F127" s="310"/>
      <c r="G127" s="311"/>
      <c r="H127" s="311"/>
    </row>
    <row r="128" spans="1:8">
      <c r="A128" s="255" t="s">
        <v>507</v>
      </c>
      <c r="B128" s="115" t="s">
        <v>1093</v>
      </c>
      <c r="C128" s="115"/>
      <c r="D128" s="115"/>
      <c r="E128" s="260"/>
      <c r="F128" s="310"/>
      <c r="G128" s="311"/>
      <c r="H128" s="311"/>
    </row>
    <row r="129" spans="1:8">
      <c r="A129" s="255" t="s">
        <v>361</v>
      </c>
      <c r="B129" s="115" t="s">
        <v>802</v>
      </c>
      <c r="C129" s="115">
        <v>175000</v>
      </c>
      <c r="D129" s="115">
        <v>156835.29999999999</v>
      </c>
      <c r="E129" s="260">
        <f>Tabelle4[[#This Row],[Kredit-  / Budgetsumme
(RADAR: Gesamtkosten S)]]-Tabelle4[[#This Row],[Netto-Ausgaben Vorjahre ]]</f>
        <v>148435</v>
      </c>
      <c r="F129" s="310"/>
      <c r="G129" s="311"/>
      <c r="H129" s="311"/>
    </row>
    <row r="130" spans="1:8">
      <c r="A130" s="255" t="s">
        <v>509</v>
      </c>
      <c r="B130" s="115" t="s">
        <v>621</v>
      </c>
      <c r="C130" s="115"/>
      <c r="D130" s="115"/>
      <c r="E130" s="260">
        <f>Tabelle4[[#This Row],[Kredit-  / Budgetsumme
(RADAR: Gesamtkosten S)]]-Tabelle4[[#This Row],[Netto-Ausgaben Vorjahre ]]</f>
        <v>0</v>
      </c>
      <c r="F130" s="310"/>
      <c r="G130" s="311"/>
      <c r="H130" s="311"/>
    </row>
    <row r="131" spans="1:8">
      <c r="A131" s="255" t="s">
        <v>909</v>
      </c>
      <c r="B131" s="115" t="s">
        <v>621</v>
      </c>
      <c r="C131" s="115"/>
      <c r="D131" s="115"/>
      <c r="E131" s="260">
        <f>Tabelle4[[#This Row],[Kredit-  / Budgetsumme
(RADAR: Gesamtkosten S)]]-Tabelle4[[#This Row],[Netto-Ausgaben Vorjahre ]]</f>
        <v>0</v>
      </c>
      <c r="F131" s="310"/>
      <c r="G131" s="311"/>
      <c r="H131" s="311"/>
    </row>
    <row r="132" spans="1:8">
      <c r="A132" s="255" t="s">
        <v>513</v>
      </c>
      <c r="B132" s="115" t="s">
        <v>621</v>
      </c>
      <c r="C132" s="115"/>
      <c r="D132" s="115"/>
      <c r="E132" s="260">
        <f>Tabelle4[[#This Row],[Kredit-  / Budgetsumme
(RADAR: Gesamtkosten S)]]-Tabelle4[[#This Row],[Netto-Ausgaben Vorjahre ]]</f>
        <v>18164.700000000012</v>
      </c>
      <c r="F132" s="310"/>
      <c r="G132" s="311"/>
      <c r="H132" s="311"/>
    </row>
    <row r="133" spans="1:8">
      <c r="A133" s="255" t="s">
        <v>516</v>
      </c>
      <c r="B133" s="115" t="s">
        <v>621</v>
      </c>
      <c r="C133" s="115"/>
      <c r="D133" s="115"/>
      <c r="E133" s="260">
        <f>Tabelle4[[#This Row],[Kredit-  / Budgetsumme
(RADAR: Gesamtkosten S)]]-Tabelle4[[#This Row],[Netto-Ausgaben Vorjahre ]]</f>
        <v>0</v>
      </c>
      <c r="F133" s="310"/>
      <c r="G133" s="311"/>
      <c r="H133" s="311"/>
    </row>
    <row r="134" spans="1:8">
      <c r="A134" s="255" t="s">
        <v>518</v>
      </c>
      <c r="B134" s="115" t="s">
        <v>621</v>
      </c>
      <c r="C134" s="115"/>
      <c r="D134" s="115"/>
      <c r="E134" s="260">
        <f>Tabelle4[[#This Row],[Kredit-  / Budgetsumme
(RADAR: Gesamtkosten S)]]-Tabelle4[[#This Row],[Netto-Ausgaben Vorjahre ]]</f>
        <v>0</v>
      </c>
      <c r="F134" s="310"/>
      <c r="G134" s="311"/>
      <c r="H134" s="311"/>
    </row>
    <row r="135" spans="1:8">
      <c r="A135" s="255" t="s">
        <v>153</v>
      </c>
      <c r="B135" s="115" t="s">
        <v>690</v>
      </c>
      <c r="C135" s="115"/>
      <c r="D135" s="115"/>
      <c r="E135" s="260">
        <f>Tabelle4[[#This Row],[Kredit-  / Budgetsumme
(RADAR: Gesamtkosten S)]]-Tabelle4[[#This Row],[Netto-Ausgaben Vorjahre ]]</f>
        <v>0</v>
      </c>
      <c r="F135" s="310"/>
      <c r="G135" s="311"/>
      <c r="H135" s="311"/>
    </row>
    <row r="136" spans="1:8">
      <c r="A136" s="255" t="s">
        <v>321</v>
      </c>
      <c r="B136" s="115" t="s">
        <v>858</v>
      </c>
      <c r="C136" s="115">
        <v>294000</v>
      </c>
      <c r="D136" s="115"/>
      <c r="E136" s="260">
        <f>Tabelle4[[#This Row],[Kredit-  / Budgetsumme
(RADAR: Gesamtkosten S)]]-Tabelle4[[#This Row],[Netto-Ausgaben Vorjahre ]]</f>
        <v>0</v>
      </c>
      <c r="F136" s="310"/>
      <c r="G136" s="311">
        <v>294000</v>
      </c>
      <c r="H136" s="311"/>
    </row>
    <row r="137" spans="1:8">
      <c r="A137" s="255" t="s">
        <v>294</v>
      </c>
      <c r="B137" s="115" t="s">
        <v>802</v>
      </c>
      <c r="C137" s="115">
        <v>2000000</v>
      </c>
      <c r="D137" s="115"/>
      <c r="E137" s="260">
        <f>Tabelle4[[#This Row],[Kredit-  / Budgetsumme
(RADAR: Gesamtkosten S)]]-Tabelle4[[#This Row],[Netto-Ausgaben Vorjahre ]]</f>
        <v>0</v>
      </c>
      <c r="F137" s="310"/>
      <c r="G137" s="311">
        <v>50000</v>
      </c>
      <c r="H137" s="311">
        <v>1200000</v>
      </c>
    </row>
    <row r="138" spans="1:8">
      <c r="A138" s="255" t="s">
        <v>520</v>
      </c>
      <c r="B138" s="115" t="s">
        <v>621</v>
      </c>
      <c r="C138" s="115"/>
      <c r="D138" s="115"/>
      <c r="E138" s="260">
        <f>Tabelle4[[#This Row],[Kredit-  / Budgetsumme
(RADAR: Gesamtkosten S)]]-Tabelle4[[#This Row],[Netto-Ausgaben Vorjahre ]]</f>
        <v>0</v>
      </c>
      <c r="F138" s="310"/>
      <c r="G138" s="311"/>
      <c r="H138" s="311"/>
    </row>
    <row r="139" spans="1:8">
      <c r="A139" s="288" t="s">
        <v>1218</v>
      </c>
      <c r="B139" s="296" t="s">
        <v>1087</v>
      </c>
      <c r="C139" s="296"/>
      <c r="D139" s="296"/>
      <c r="E139" s="296"/>
      <c r="F139" s="314"/>
      <c r="G139" s="314">
        <v>15000</v>
      </c>
      <c r="H139" s="314"/>
    </row>
    <row r="140" spans="1:8">
      <c r="A140" s="255" t="s">
        <v>522</v>
      </c>
      <c r="B140" s="115" t="s">
        <v>621</v>
      </c>
      <c r="C140" s="115"/>
      <c r="D140" s="115"/>
      <c r="E140" s="260">
        <f>Tabelle4[[#This Row],[Kredit-  / Budgetsumme
(RADAR: Gesamtkosten S)]]-Tabelle4[[#This Row],[Netto-Ausgaben Vorjahre ]]</f>
        <v>2000000</v>
      </c>
      <c r="F140" s="310"/>
      <c r="G140" s="311"/>
      <c r="H140" s="311"/>
    </row>
    <row r="141" spans="1:8">
      <c r="A141" s="255" t="s">
        <v>419</v>
      </c>
      <c r="B141" s="115" t="s">
        <v>21</v>
      </c>
      <c r="C141" s="115">
        <v>232000</v>
      </c>
      <c r="D141" s="115">
        <v>9628</v>
      </c>
      <c r="E141" s="260">
        <v>222372</v>
      </c>
      <c r="F141" s="310"/>
      <c r="G141" s="311">
        <v>222372</v>
      </c>
      <c r="H141" s="311"/>
    </row>
    <row r="142" spans="1:8">
      <c r="A142" s="255" t="s">
        <v>208</v>
      </c>
      <c r="B142" s="115" t="s">
        <v>1092</v>
      </c>
      <c r="C142" s="115"/>
      <c r="D142" s="115"/>
      <c r="E142" s="260"/>
      <c r="F142" s="310"/>
      <c r="G142" s="311"/>
      <c r="H142" s="311"/>
    </row>
    <row r="143" spans="1:8">
      <c r="A143" s="248" t="s">
        <v>851</v>
      </c>
      <c r="B143" s="115" t="s">
        <v>1092</v>
      </c>
      <c r="C143" s="260"/>
      <c r="D143" s="260"/>
      <c r="E143" s="260"/>
      <c r="F143" s="310"/>
      <c r="G143" s="310">
        <v>3000</v>
      </c>
      <c r="H143" s="310">
        <v>3000</v>
      </c>
    </row>
    <row r="144" spans="1:8">
      <c r="A144" s="255" t="s">
        <v>211</v>
      </c>
      <c r="B144" s="115" t="s">
        <v>621</v>
      </c>
      <c r="C144" s="115"/>
      <c r="D144" s="115"/>
      <c r="E144" s="260">
        <f>Tabelle4[[#This Row],[Kredit-  / Budgetsumme
(RADAR: Gesamtkosten S)]]-Tabelle4[[#This Row],[Netto-Ausgaben Vorjahre ]]</f>
        <v>222372</v>
      </c>
      <c r="F144" s="310"/>
      <c r="G144" s="311"/>
      <c r="H144" s="311"/>
    </row>
    <row r="145" spans="1:8">
      <c r="A145" s="255" t="s">
        <v>213</v>
      </c>
      <c r="B145" s="115" t="s">
        <v>1092</v>
      </c>
      <c r="C145" s="115"/>
      <c r="D145" s="115"/>
      <c r="E145" s="260"/>
      <c r="F145" s="310"/>
      <c r="G145" s="311">
        <v>15000</v>
      </c>
      <c r="H145" s="311">
        <v>15000</v>
      </c>
    </row>
    <row r="146" spans="1:8">
      <c r="A146" s="255" t="s">
        <v>182</v>
      </c>
      <c r="B146" s="115" t="s">
        <v>690</v>
      </c>
      <c r="C146" s="115"/>
      <c r="D146" s="115"/>
      <c r="E146" s="260">
        <f>Tabelle4[[#This Row],[Kredit-  / Budgetsumme
(RADAR: Gesamtkosten S)]]-Tabelle4[[#This Row],[Netto-Ausgaben Vorjahre ]]</f>
        <v>0</v>
      </c>
      <c r="F146" s="310"/>
      <c r="G146" s="311"/>
      <c r="H146" s="311"/>
    </row>
    <row r="147" spans="1:8">
      <c r="A147" s="255" t="s">
        <v>185</v>
      </c>
      <c r="B147" s="260" t="s">
        <v>690</v>
      </c>
      <c r="C147" s="260"/>
      <c r="D147" s="260"/>
      <c r="E147" s="260">
        <f>Tabelle4[[#This Row],[Kredit-  / Budgetsumme
(RADAR: Gesamtkosten S)]]-Tabelle4[[#This Row],[Netto-Ausgaben Vorjahre ]]</f>
        <v>0</v>
      </c>
      <c r="F147" s="310"/>
      <c r="G147" s="310"/>
      <c r="H147" s="310"/>
    </row>
    <row r="148" spans="1:8">
      <c r="A148" s="255" t="s">
        <v>187</v>
      </c>
      <c r="B148" s="115" t="s">
        <v>1092</v>
      </c>
      <c r="C148" s="115"/>
      <c r="D148" s="115"/>
      <c r="E148" s="260"/>
      <c r="F148" s="310"/>
      <c r="G148" s="311">
        <v>60000</v>
      </c>
      <c r="H148" s="311">
        <v>60000</v>
      </c>
    </row>
    <row r="149" spans="1:8">
      <c r="A149" s="248" t="s">
        <v>847</v>
      </c>
      <c r="B149" s="115" t="s">
        <v>1092</v>
      </c>
      <c r="C149" s="260"/>
      <c r="D149" s="260"/>
      <c r="E149" s="260"/>
      <c r="F149" s="310"/>
      <c r="G149" s="310"/>
      <c r="H149" s="310"/>
    </row>
    <row r="150" spans="1:8">
      <c r="A150" s="255" t="s">
        <v>524</v>
      </c>
      <c r="B150" s="115" t="s">
        <v>621</v>
      </c>
      <c r="C150" s="115"/>
      <c r="D150" s="115"/>
      <c r="E150" s="260">
        <f>Tabelle4[[#This Row],[Kredit-  / Budgetsumme
(RADAR: Gesamtkosten S)]]-Tabelle4[[#This Row],[Netto-Ausgaben Vorjahre ]]</f>
        <v>0</v>
      </c>
      <c r="F150" s="310"/>
      <c r="G150" s="311"/>
      <c r="H150" s="311" t="s">
        <v>804</v>
      </c>
    </row>
    <row r="151" spans="1:8">
      <c r="A151" s="255" t="s">
        <v>1216</v>
      </c>
      <c r="B151" s="296" t="s">
        <v>1089</v>
      </c>
      <c r="C151" s="296"/>
      <c r="D151" s="296"/>
      <c r="E151" s="296"/>
      <c r="F151" s="314"/>
      <c r="G151" s="314">
        <v>20000</v>
      </c>
      <c r="H151" s="314"/>
    </row>
    <row r="152" spans="1:8">
      <c r="A152" s="255" t="s">
        <v>325</v>
      </c>
      <c r="B152" s="115" t="s">
        <v>690</v>
      </c>
      <c r="C152" s="115"/>
      <c r="D152" s="115"/>
      <c r="E152" s="260">
        <f>Tabelle4[[#This Row],[Kredit-  / Budgetsumme
(RADAR: Gesamtkosten S)]]-Tabelle4[[#This Row],[Netto-Ausgaben Vorjahre ]]</f>
        <v>0</v>
      </c>
      <c r="F152" s="310"/>
      <c r="G152" s="311"/>
      <c r="H152" s="311"/>
    </row>
    <row r="153" spans="1:8">
      <c r="A153" s="288" t="s">
        <v>1217</v>
      </c>
      <c r="B153" s="115" t="s">
        <v>1089</v>
      </c>
      <c r="C153" s="296"/>
      <c r="D153" s="296"/>
      <c r="E153" s="296"/>
      <c r="F153" s="314"/>
      <c r="G153" s="314">
        <v>8000</v>
      </c>
      <c r="H153" s="314"/>
    </row>
    <row r="154" spans="1:8">
      <c r="A154" s="255" t="s">
        <v>587</v>
      </c>
      <c r="B154" s="115" t="s">
        <v>690</v>
      </c>
      <c r="C154" s="115"/>
      <c r="D154" s="115"/>
      <c r="E154" s="260">
        <f>Tabelle4[[#This Row],[Kredit-  / Budgetsumme
(RADAR: Gesamtkosten S)]]-Tabelle4[[#This Row],[Netto-Ausgaben Vorjahre ]]</f>
        <v>0</v>
      </c>
      <c r="F154" s="310"/>
      <c r="G154" s="311"/>
      <c r="H154" s="311"/>
    </row>
    <row r="155" spans="1:8">
      <c r="A155" s="255" t="s">
        <v>589</v>
      </c>
      <c r="B155" s="115" t="s">
        <v>690</v>
      </c>
      <c r="C155" s="115"/>
      <c r="D155" s="115"/>
      <c r="E155" s="260">
        <f>Tabelle4[[#This Row],[Kredit-  / Budgetsumme
(RADAR: Gesamtkosten S)]]-Tabelle4[[#This Row],[Netto-Ausgaben Vorjahre ]]</f>
        <v>0</v>
      </c>
      <c r="F155" s="310"/>
      <c r="G155" s="311"/>
      <c r="H155" s="311"/>
    </row>
    <row r="156" spans="1:8">
      <c r="A156" s="255" t="s">
        <v>216</v>
      </c>
      <c r="B156" s="115" t="s">
        <v>1092</v>
      </c>
      <c r="C156" s="115"/>
      <c r="D156" s="115"/>
      <c r="E156" s="260"/>
      <c r="F156" s="310"/>
      <c r="G156" s="311">
        <v>1500</v>
      </c>
      <c r="H156" s="311">
        <v>1500</v>
      </c>
    </row>
    <row r="157" spans="1:8">
      <c r="A157" s="255" t="s">
        <v>527</v>
      </c>
      <c r="B157" s="115" t="s">
        <v>621</v>
      </c>
      <c r="C157" s="115"/>
      <c r="D157" s="115"/>
      <c r="E157" s="260">
        <f>Tabelle4[[#This Row],[Kredit-  / Budgetsumme
(RADAR: Gesamtkosten S)]]-Tabelle4[[#This Row],[Netto-Ausgaben Vorjahre ]]</f>
        <v>0</v>
      </c>
      <c r="F157" s="310"/>
      <c r="G157" s="311"/>
      <c r="H157" s="311"/>
    </row>
    <row r="158" spans="1:8">
      <c r="A158" s="255" t="s">
        <v>1086</v>
      </c>
      <c r="B158" s="115" t="s">
        <v>1090</v>
      </c>
      <c r="C158" s="115"/>
      <c r="D158" s="115"/>
      <c r="E158" s="115"/>
      <c r="F158" s="311"/>
      <c r="G158" s="311">
        <v>14000</v>
      </c>
      <c r="H158" s="311"/>
    </row>
    <row r="159" spans="1:8">
      <c r="A159" s="255" t="s">
        <v>426</v>
      </c>
      <c r="B159" s="115" t="s">
        <v>21</v>
      </c>
      <c r="C159" s="115">
        <v>600000</v>
      </c>
      <c r="D159" s="115"/>
      <c r="E159" s="260">
        <f>Tabelle4[[#This Row],[Kredit-  / Budgetsumme
(RADAR: Gesamtkosten S)]]-Tabelle4[[#This Row],[Netto-Ausgaben Vorjahre ]]</f>
        <v>0</v>
      </c>
      <c r="F159" s="310"/>
      <c r="G159" s="311">
        <v>120000</v>
      </c>
      <c r="H159" s="311">
        <v>120000</v>
      </c>
    </row>
    <row r="160" spans="1:8">
      <c r="A160" s="255" t="s">
        <v>155</v>
      </c>
      <c r="B160" s="115" t="s">
        <v>690</v>
      </c>
      <c r="C160" s="115"/>
      <c r="D160" s="115"/>
      <c r="E160" s="260">
        <f>Tabelle4[[#This Row],[Kredit-  / Budgetsumme
(RADAR: Gesamtkosten S)]]-Tabelle4[[#This Row],[Netto-Ausgaben Vorjahre ]]</f>
        <v>0</v>
      </c>
      <c r="F160" s="310"/>
      <c r="G160" s="311"/>
      <c r="H160" s="311"/>
    </row>
    <row r="161" spans="1:8">
      <c r="A161" s="248" t="s">
        <v>870</v>
      </c>
      <c r="B161" s="115" t="s">
        <v>1087</v>
      </c>
      <c r="C161" s="260"/>
      <c r="D161" s="260"/>
      <c r="E161" s="260"/>
      <c r="F161" s="310"/>
      <c r="G161" s="310">
        <v>6500</v>
      </c>
      <c r="H161" s="310"/>
    </row>
    <row r="162" spans="1:8">
      <c r="A162" s="255" t="s">
        <v>1081</v>
      </c>
      <c r="B162" s="115" t="s">
        <v>1092</v>
      </c>
      <c r="C162" s="115"/>
      <c r="D162" s="115"/>
      <c r="E162" s="115"/>
      <c r="F162" s="311"/>
      <c r="G162" s="311">
        <v>7000</v>
      </c>
      <c r="H162" s="311">
        <v>2000</v>
      </c>
    </row>
    <row r="163" spans="1:8">
      <c r="A163" s="255" t="s">
        <v>189</v>
      </c>
      <c r="B163" s="115" t="s">
        <v>621</v>
      </c>
      <c r="C163" s="115"/>
      <c r="D163" s="115"/>
      <c r="E163" s="260">
        <f>Tabelle4[[#This Row],[Kredit-  / Budgetsumme
(RADAR: Gesamtkosten S)]]-Tabelle4[[#This Row],[Netto-Ausgaben Vorjahre ]]</f>
        <v>0</v>
      </c>
      <c r="F163" s="310"/>
      <c r="G163" s="311"/>
      <c r="H163" s="311"/>
    </row>
    <row r="164" spans="1:8">
      <c r="A164" s="248" t="s">
        <v>848</v>
      </c>
      <c r="B164" s="115" t="s">
        <v>798</v>
      </c>
      <c r="C164" s="260">
        <v>500000</v>
      </c>
      <c r="D164" s="260"/>
      <c r="E164" s="260">
        <f>Tabelle4[[#This Row],[Kredit-  / Budgetsumme
(RADAR: Gesamtkosten S)]]-Tabelle4[[#This Row],[Netto-Ausgaben Vorjahre ]]</f>
        <v>0</v>
      </c>
      <c r="F164" s="310"/>
      <c r="G164" s="310"/>
      <c r="H164" s="310">
        <v>50000</v>
      </c>
    </row>
    <row r="165" spans="1:8">
      <c r="A165" s="255" t="s">
        <v>219</v>
      </c>
      <c r="B165" s="115" t="s">
        <v>798</v>
      </c>
      <c r="C165" s="115"/>
      <c r="D165" s="115"/>
      <c r="E165" s="260"/>
      <c r="F165" s="310"/>
      <c r="G165" s="311">
        <v>25000</v>
      </c>
      <c r="H165" s="311">
        <v>25000</v>
      </c>
    </row>
    <row r="166" spans="1:8">
      <c r="A166" s="255" t="s">
        <v>364</v>
      </c>
      <c r="B166" s="115" t="s">
        <v>809</v>
      </c>
      <c r="C166" s="115">
        <v>120000</v>
      </c>
      <c r="D166" s="115">
        <v>39666</v>
      </c>
      <c r="E166" s="260">
        <f>Tabelle4[[#This Row],[Kredit-  / Budgetsumme
(RADAR: Gesamtkosten S)]]-Tabelle4[[#This Row],[Netto-Ausgaben Vorjahre ]]</f>
        <v>0</v>
      </c>
      <c r="F166" s="310"/>
      <c r="G166" s="311">
        <v>80334</v>
      </c>
      <c r="H166" s="311"/>
    </row>
    <row r="167" spans="1:8">
      <c r="A167" s="255" t="s">
        <v>297</v>
      </c>
      <c r="B167" s="115" t="s">
        <v>1094</v>
      </c>
      <c r="C167" s="115"/>
      <c r="D167" s="115"/>
      <c r="E167" s="260"/>
      <c r="F167" s="310"/>
      <c r="G167" s="311">
        <v>19000</v>
      </c>
      <c r="H167" s="311"/>
    </row>
    <row r="168" spans="1:8">
      <c r="A168" s="255" t="s">
        <v>529</v>
      </c>
      <c r="B168" s="115" t="s">
        <v>621</v>
      </c>
      <c r="C168" s="115"/>
      <c r="D168" s="115"/>
      <c r="E168" s="260">
        <f>Tabelle4[[#This Row],[Kredit-  / Budgetsumme
(RADAR: Gesamtkosten S)]]-Tabelle4[[#This Row],[Netto-Ausgaben Vorjahre ]]</f>
        <v>0</v>
      </c>
      <c r="F168" s="310"/>
      <c r="G168" s="311"/>
      <c r="H168" s="311"/>
    </row>
    <row r="169" spans="1:8">
      <c r="A169" s="255" t="s">
        <v>531</v>
      </c>
      <c r="B169" s="115" t="s">
        <v>621</v>
      </c>
      <c r="C169" s="115"/>
      <c r="D169" s="115"/>
      <c r="E169" s="260">
        <f>Tabelle4[[#This Row],[Kredit-  / Budgetsumme
(RADAR: Gesamtkosten S)]]-Tabelle4[[#This Row],[Netto-Ausgaben Vorjahre ]]</f>
        <v>80334</v>
      </c>
      <c r="F169" s="310"/>
      <c r="G169" s="311"/>
      <c r="H169" s="311"/>
    </row>
    <row r="170" spans="1:8">
      <c r="A170" s="255" t="s">
        <v>251</v>
      </c>
      <c r="B170" s="115" t="s">
        <v>1091</v>
      </c>
      <c r="C170" s="115">
        <v>4000</v>
      </c>
      <c r="D170" s="115"/>
      <c r="E170" s="260">
        <v>4000</v>
      </c>
      <c r="F170" s="310"/>
      <c r="G170" s="311">
        <v>4000</v>
      </c>
      <c r="H170" s="311"/>
    </row>
    <row r="171" spans="1:8">
      <c r="A171" s="255" t="s">
        <v>255</v>
      </c>
      <c r="B171" s="260" t="s">
        <v>802</v>
      </c>
      <c r="C171" s="115">
        <v>200000</v>
      </c>
      <c r="D171" s="115"/>
      <c r="E171" s="260">
        <f>Tabelle4[[#This Row],[Kredit-  / Budgetsumme
(RADAR: Gesamtkosten S)]]-Tabelle4[[#This Row],[Netto-Ausgaben Vorjahre ]]</f>
        <v>0</v>
      </c>
      <c r="F171" s="310"/>
      <c r="G171" s="311">
        <v>50000</v>
      </c>
      <c r="H171" s="311">
        <v>150000</v>
      </c>
    </row>
    <row r="172" spans="1:8">
      <c r="A172" s="255" t="s">
        <v>688</v>
      </c>
      <c r="B172" s="260" t="s">
        <v>802</v>
      </c>
      <c r="C172" s="115">
        <v>126000</v>
      </c>
      <c r="D172" s="115">
        <v>24857</v>
      </c>
      <c r="E172" s="260">
        <f>Tabelle4[[#This Row],[Kredit-  / Budgetsumme
(RADAR: Gesamtkosten S)]]-Tabelle4[[#This Row],[Netto-Ausgaben Vorjahre ]]</f>
        <v>0</v>
      </c>
      <c r="F172" s="310"/>
      <c r="G172" s="311"/>
      <c r="H172" s="311"/>
    </row>
    <row r="173" spans="1:8">
      <c r="A173" s="255" t="s">
        <v>261</v>
      </c>
      <c r="B173" s="260" t="s">
        <v>802</v>
      </c>
      <c r="C173" s="115">
        <v>245000</v>
      </c>
      <c r="D173" s="115"/>
      <c r="E173" s="260">
        <f>Tabelle4[[#This Row],[Kredit-  / Budgetsumme
(RADAR: Gesamtkosten S)]]-Tabelle4[[#This Row],[Netto-Ausgaben Vorjahre ]]</f>
        <v>4000</v>
      </c>
      <c r="F173" s="310"/>
      <c r="G173" s="311">
        <v>200000</v>
      </c>
      <c r="H173" s="311">
        <v>45000</v>
      </c>
    </row>
    <row r="174" spans="1:8">
      <c r="A174" s="255" t="s">
        <v>1160</v>
      </c>
      <c r="B174" s="115" t="s">
        <v>1093</v>
      </c>
      <c r="C174" s="260"/>
      <c r="D174" s="260"/>
      <c r="E174" s="260"/>
      <c r="F174" s="310"/>
      <c r="G174" s="310"/>
      <c r="H174" s="310"/>
    </row>
    <row r="175" spans="1:8">
      <c r="A175" s="255" t="s">
        <v>1113</v>
      </c>
      <c r="B175" s="115" t="s">
        <v>21</v>
      </c>
      <c r="C175" s="115">
        <v>158400</v>
      </c>
      <c r="D175" s="115"/>
      <c r="E175" s="115"/>
      <c r="F175" s="311"/>
      <c r="G175" s="311"/>
      <c r="H175" s="311"/>
    </row>
    <row r="176" spans="1:8">
      <c r="A176" s="248" t="s">
        <v>853</v>
      </c>
      <c r="B176" s="115" t="s">
        <v>802</v>
      </c>
      <c r="C176" s="260">
        <v>2700000</v>
      </c>
      <c r="D176" s="260"/>
      <c r="E176" s="260">
        <f>Tabelle4[[#This Row],[Kredit-  / Budgetsumme
(RADAR: Gesamtkosten S)]]-Tabelle4[[#This Row],[Netto-Ausgaben Vorjahre ]]</f>
        <v>245000</v>
      </c>
      <c r="F176" s="310"/>
      <c r="G176" s="310">
        <v>30000</v>
      </c>
      <c r="H176" s="310">
        <v>50000</v>
      </c>
    </row>
    <row r="177" spans="1:8">
      <c r="A177" s="255" t="s">
        <v>1156</v>
      </c>
      <c r="B177" s="115" t="s">
        <v>21</v>
      </c>
      <c r="C177" s="115">
        <v>220500</v>
      </c>
      <c r="D177" s="115">
        <f>Tabelle4[[#This Row],[Kredit-  / Budgetsumme
(RADAR: Gesamtkosten S)]]-Tabelle4[[#This Row],[Kreditrest per 1.1. aktuelles Jahr]]</f>
        <v>0</v>
      </c>
      <c r="E177" s="115">
        <v>62094</v>
      </c>
      <c r="F177" s="311"/>
      <c r="G177" s="311"/>
      <c r="H177" s="311"/>
    </row>
    <row r="178" spans="1:8">
      <c r="A178" s="255" t="s">
        <v>265</v>
      </c>
      <c r="B178" s="260" t="s">
        <v>802</v>
      </c>
      <c r="C178" s="115"/>
      <c r="D178" s="115"/>
      <c r="E178" s="260">
        <f>Tabelle4[[#This Row],[Kredit-  / Budgetsumme
(RADAR: Gesamtkosten S)]]-Tabelle4[[#This Row],[Netto-Ausgaben Vorjahre ]]</f>
        <v>158400</v>
      </c>
      <c r="F178" s="310"/>
      <c r="G178" s="311"/>
      <c r="H178" s="311"/>
    </row>
    <row r="179" spans="1:8">
      <c r="A179" s="255" t="s">
        <v>533</v>
      </c>
      <c r="B179" s="115" t="s">
        <v>621</v>
      </c>
      <c r="C179" s="115"/>
      <c r="D179" s="115"/>
      <c r="E179" s="260">
        <f>Tabelle4[[#This Row],[Kredit-  / Budgetsumme
(RADAR: Gesamtkosten S)]]-Tabelle4[[#This Row],[Netto-Ausgaben Vorjahre ]]</f>
        <v>2700000</v>
      </c>
      <c r="F179" s="310"/>
      <c r="G179" s="311"/>
      <c r="H179" s="311"/>
    </row>
    <row r="180" spans="1:8">
      <c r="A180" s="255" t="s">
        <v>1117</v>
      </c>
      <c r="B180" s="115" t="s">
        <v>21</v>
      </c>
      <c r="C180" s="115">
        <v>153000</v>
      </c>
      <c r="D180" s="115">
        <v>121816</v>
      </c>
      <c r="E180" s="260">
        <f>Tabelle4[[#This Row],[Kredit-  / Budgetsumme
(RADAR: Gesamtkosten S)]]-Tabelle4[[#This Row],[Netto-Ausgaben Vorjahre ]]</f>
        <v>62094</v>
      </c>
      <c r="F180" s="310"/>
      <c r="G180" s="311"/>
      <c r="H180" s="311"/>
    </row>
    <row r="181" spans="1:8">
      <c r="A181" s="255" t="s">
        <v>535</v>
      </c>
      <c r="B181" s="115" t="s">
        <v>621</v>
      </c>
      <c r="C181" s="115"/>
      <c r="D181" s="115"/>
      <c r="E181" s="260">
        <f>Tabelle4[[#This Row],[Kredit-  / Budgetsumme
(RADAR: Gesamtkosten S)]]-Tabelle4[[#This Row],[Netto-Ausgaben Vorjahre ]]</f>
        <v>0</v>
      </c>
      <c r="F181" s="310"/>
      <c r="G181" s="311"/>
      <c r="H181" s="311"/>
    </row>
    <row r="182" spans="1:8">
      <c r="A182" s="255" t="s">
        <v>537</v>
      </c>
      <c r="B182" s="115" t="s">
        <v>621</v>
      </c>
      <c r="C182" s="115"/>
      <c r="D182" s="115"/>
      <c r="E182" s="260">
        <f>Tabelle4[[#This Row],[Kredit-  / Budgetsumme
(RADAR: Gesamtkosten S)]]-Tabelle4[[#This Row],[Netto-Ausgaben Vorjahre ]]</f>
        <v>0</v>
      </c>
      <c r="F182" s="310"/>
      <c r="G182" s="311"/>
      <c r="H182" s="311"/>
    </row>
    <row r="183" spans="1:8">
      <c r="A183" s="255" t="s">
        <v>222</v>
      </c>
      <c r="B183" s="115" t="s">
        <v>1092</v>
      </c>
      <c r="C183" s="115"/>
      <c r="D183" s="115"/>
      <c r="E183" s="260"/>
      <c r="F183" s="310"/>
      <c r="G183" s="311">
        <v>2500</v>
      </c>
      <c r="H183" s="311">
        <v>2500</v>
      </c>
    </row>
    <row r="184" spans="1:8">
      <c r="A184" s="255" t="s">
        <v>302</v>
      </c>
      <c r="B184" s="115" t="s">
        <v>690</v>
      </c>
      <c r="C184" s="115">
        <v>250000</v>
      </c>
      <c r="D184" s="115">
        <v>33484</v>
      </c>
      <c r="E184" s="260">
        <f>Tabelle4[[#This Row],[Kredit-  / Budgetsumme
(RADAR: Gesamtkosten S)]]-Tabelle4[[#This Row],[Netto-Ausgaben Vorjahre ]]</f>
        <v>0</v>
      </c>
      <c r="F184" s="310"/>
      <c r="G184" s="311">
        <v>100000</v>
      </c>
      <c r="H184" s="311"/>
    </row>
    <row r="185" spans="1:8">
      <c r="A185" s="255" t="s">
        <v>368</v>
      </c>
      <c r="B185" s="260" t="s">
        <v>802</v>
      </c>
      <c r="C185" s="115">
        <v>200000</v>
      </c>
      <c r="D185" s="115">
        <v>36461</v>
      </c>
      <c r="E185" s="260">
        <f>Tabelle4[[#This Row],[Kredit-  / Budgetsumme
(RADAR: Gesamtkosten S)]]-Tabelle4[[#This Row],[Netto-Ausgaben Vorjahre ]]</f>
        <v>0</v>
      </c>
      <c r="F185" s="310"/>
      <c r="G185" s="311"/>
      <c r="H185" s="311"/>
    </row>
    <row r="186" spans="1:8">
      <c r="A186" s="255" t="s">
        <v>840</v>
      </c>
      <c r="B186" s="260" t="s">
        <v>802</v>
      </c>
      <c r="C186" s="115"/>
      <c r="D186" s="115"/>
      <c r="E186" s="260">
        <f>Tabelle4[[#This Row],[Kredit-  / Budgetsumme
(RADAR: Gesamtkosten S)]]-Tabelle4[[#This Row],[Netto-Ausgaben Vorjahre ]]</f>
        <v>0</v>
      </c>
      <c r="F186" s="310"/>
      <c r="G186" s="311"/>
      <c r="H186" s="311"/>
    </row>
    <row r="187" spans="1:8">
      <c r="A187" s="255" t="s">
        <v>540</v>
      </c>
      <c r="B187" s="115" t="s">
        <v>621</v>
      </c>
      <c r="C187" s="115"/>
      <c r="D187" s="115"/>
      <c r="E187" s="260">
        <f>Tabelle4[[#This Row],[Kredit-  / Budgetsumme
(RADAR: Gesamtkosten S)]]-Tabelle4[[#This Row],[Netto-Ausgaben Vorjahre ]]</f>
        <v>216516</v>
      </c>
      <c r="F187" s="310"/>
      <c r="G187" s="311"/>
      <c r="H187" s="311"/>
    </row>
    <row r="188" spans="1:8">
      <c r="A188" s="265" t="s">
        <v>370</v>
      </c>
      <c r="B188" s="115" t="s">
        <v>857</v>
      </c>
      <c r="C188" s="115">
        <v>151000</v>
      </c>
      <c r="D188" s="115">
        <f>Tabelle4[[#This Row],[Kredit-  / Budgetsumme
(RADAR: Gesamtkosten S)]]-Tabelle4[[#This Row],[Kreditrest per 1.1. aktuelles Jahr]]</f>
        <v>36461</v>
      </c>
      <c r="E188" s="260">
        <v>25696</v>
      </c>
      <c r="F188" s="310"/>
      <c r="G188" s="311"/>
      <c r="H188" s="311"/>
    </row>
    <row r="189" spans="1:8">
      <c r="A189" s="255" t="s">
        <v>192</v>
      </c>
      <c r="B189" s="115" t="s">
        <v>621</v>
      </c>
      <c r="C189" s="115"/>
      <c r="D189" s="115"/>
      <c r="E189" s="260">
        <f>Tabelle4[[#This Row],[Kredit-  / Budgetsumme
(RADAR: Gesamtkosten S)]]-Tabelle4[[#This Row],[Netto-Ausgaben Vorjahre ]]</f>
        <v>0</v>
      </c>
      <c r="F189" s="310"/>
      <c r="G189" s="311"/>
      <c r="H189" s="311"/>
    </row>
    <row r="190" spans="1:8">
      <c r="A190" s="255" t="s">
        <v>543</v>
      </c>
      <c r="B190" s="115" t="s">
        <v>621</v>
      </c>
      <c r="C190" s="115"/>
      <c r="D190" s="115"/>
      <c r="E190" s="260">
        <f>Tabelle4[[#This Row],[Kredit-  / Budgetsumme
(RADAR: Gesamtkosten S)]]-Tabelle4[[#This Row],[Netto-Ausgaben Vorjahre ]]</f>
        <v>0</v>
      </c>
      <c r="F190" s="310"/>
      <c r="G190" s="311"/>
      <c r="H190" s="311"/>
    </row>
    <row r="191" spans="1:8">
      <c r="A191" s="255" t="s">
        <v>546</v>
      </c>
      <c r="B191" s="115" t="s">
        <v>621</v>
      </c>
      <c r="C191" s="115"/>
      <c r="D191" s="115"/>
      <c r="E191" s="260">
        <f>Tabelle4[[#This Row],[Kredit-  / Budgetsumme
(RADAR: Gesamtkosten S)]]-Tabelle4[[#This Row],[Netto-Ausgaben Vorjahre ]]</f>
        <v>25696</v>
      </c>
      <c r="F191" s="310"/>
      <c r="G191" s="311"/>
      <c r="H191" s="311"/>
    </row>
    <row r="192" spans="1:8">
      <c r="A192" s="255" t="s">
        <v>849</v>
      </c>
      <c r="B192" s="115" t="s">
        <v>1092</v>
      </c>
      <c r="C192" s="115"/>
      <c r="D192" s="115"/>
      <c r="E192" s="115"/>
      <c r="F192" s="311"/>
      <c r="G192" s="311">
        <v>2500</v>
      </c>
      <c r="H192" s="311">
        <v>2500</v>
      </c>
    </row>
    <row r="193" spans="1:8">
      <c r="A193" s="255" t="s">
        <v>849</v>
      </c>
      <c r="B193" s="115" t="s">
        <v>798</v>
      </c>
      <c r="C193" s="115">
        <v>35000</v>
      </c>
      <c r="D193" s="115"/>
      <c r="E193" s="260">
        <f>Tabelle4[[#This Row],[Kredit-  / Budgetsumme
(RADAR: Gesamtkosten S)]]-Tabelle4[[#This Row],[Netto-Ausgaben Vorjahre ]]</f>
        <v>0</v>
      </c>
      <c r="F193" s="310"/>
      <c r="G193" s="311"/>
      <c r="H193" s="311"/>
    </row>
    <row r="194" spans="1:8">
      <c r="A194" s="255" t="s">
        <v>548</v>
      </c>
      <c r="B194" s="115" t="s">
        <v>621</v>
      </c>
      <c r="C194" s="115"/>
      <c r="D194" s="115"/>
      <c r="E194" s="260">
        <f>Tabelle4[[#This Row],[Kredit-  / Budgetsumme
(RADAR: Gesamtkosten S)]]-Tabelle4[[#This Row],[Netto-Ausgaben Vorjahre ]]</f>
        <v>0</v>
      </c>
      <c r="F194" s="310"/>
      <c r="G194" s="311"/>
      <c r="H194" s="311"/>
    </row>
    <row r="195" spans="1:8">
      <c r="A195" s="255" t="s">
        <v>550</v>
      </c>
      <c r="B195" s="115" t="s">
        <v>799</v>
      </c>
      <c r="C195" s="115">
        <v>60000</v>
      </c>
      <c r="D195" s="115"/>
      <c r="E195" s="260">
        <f>Tabelle4[[#This Row],[Kredit-  / Budgetsumme
(RADAR: Gesamtkosten S)]]-Tabelle4[[#This Row],[Netto-Ausgaben Vorjahre ]]</f>
        <v>0</v>
      </c>
      <c r="F195" s="310"/>
      <c r="G195" s="311"/>
      <c r="H195" s="311">
        <v>60000</v>
      </c>
    </row>
    <row r="196" spans="1:8">
      <c r="A196" s="255" t="s">
        <v>655</v>
      </c>
      <c r="B196" s="115" t="s">
        <v>1090</v>
      </c>
      <c r="C196" s="115"/>
      <c r="D196" s="115"/>
      <c r="E196" s="260"/>
      <c r="F196" s="310"/>
      <c r="G196" s="311"/>
      <c r="H196" s="311"/>
    </row>
    <row r="197" spans="1:8">
      <c r="A197" s="255" t="s">
        <v>553</v>
      </c>
      <c r="B197" s="115" t="s">
        <v>621</v>
      </c>
      <c r="C197" s="115"/>
      <c r="D197" s="115"/>
      <c r="E197" s="260">
        <f>Tabelle4[[#This Row],[Kredit-  / Budgetsumme
(RADAR: Gesamtkosten S)]]-Tabelle4[[#This Row],[Netto-Ausgaben Vorjahre ]]</f>
        <v>0</v>
      </c>
      <c r="F197" s="310"/>
      <c r="G197" s="311"/>
      <c r="H197" s="311"/>
    </row>
    <row r="198" spans="1:8">
      <c r="A198" s="255" t="s">
        <v>556</v>
      </c>
      <c r="B198" s="115" t="s">
        <v>621</v>
      </c>
      <c r="C198" s="115"/>
      <c r="D198" s="115"/>
      <c r="E198" s="260">
        <f>Tabelle4[[#This Row],[Kredit-  / Budgetsumme
(RADAR: Gesamtkosten S)]]-Tabelle4[[#This Row],[Netto-Ausgaben Vorjahre ]]</f>
        <v>60000</v>
      </c>
      <c r="F198" s="310"/>
      <c r="G198" s="311"/>
      <c r="H198" s="311"/>
    </row>
    <row r="199" spans="1:8">
      <c r="A199" s="255" t="s">
        <v>374</v>
      </c>
      <c r="B199" s="115" t="s">
        <v>809</v>
      </c>
      <c r="C199" s="115">
        <v>1505000</v>
      </c>
      <c r="D199" s="115">
        <v>1015459</v>
      </c>
      <c r="E199" s="260">
        <f>Tabelle4[[#This Row],[Kredit-  / Budgetsumme
(RADAR: Gesamtkosten S)]]-Tabelle4[[#This Row],[Netto-Ausgaben Vorjahre ]]</f>
        <v>0</v>
      </c>
      <c r="F199" s="310"/>
      <c r="G199" s="311">
        <v>350000</v>
      </c>
      <c r="H199" s="311"/>
    </row>
    <row r="200" spans="1:8">
      <c r="A200" s="255" t="s">
        <v>558</v>
      </c>
      <c r="B200" s="115" t="s">
        <v>621</v>
      </c>
      <c r="C200" s="115"/>
      <c r="D200" s="115"/>
      <c r="E200" s="260">
        <f>Tabelle4[[#This Row],[Kredit-  / Budgetsumme
(RADAR: Gesamtkosten S)]]-Tabelle4[[#This Row],[Netto-Ausgaben Vorjahre ]]</f>
        <v>0</v>
      </c>
      <c r="F200" s="310"/>
      <c r="G200" s="311"/>
      <c r="H200" s="311"/>
    </row>
    <row r="201" spans="1:8">
      <c r="A201" s="255" t="s">
        <v>377</v>
      </c>
      <c r="B201" s="115" t="s">
        <v>809</v>
      </c>
      <c r="C201" s="115">
        <v>200000</v>
      </c>
      <c r="D201" s="115">
        <v>1690</v>
      </c>
      <c r="E201" s="260">
        <f>Tabelle4[[#This Row],[Kredit-  / Budgetsumme
(RADAR: Gesamtkosten S)]]-Tabelle4[[#This Row],[Netto-Ausgaben Vorjahre ]]</f>
        <v>0</v>
      </c>
      <c r="F201" s="310"/>
      <c r="G201" s="311">
        <v>130000</v>
      </c>
      <c r="H201" s="311"/>
    </row>
    <row r="202" spans="1:8">
      <c r="A202" s="255" t="s">
        <v>157</v>
      </c>
      <c r="B202" s="115" t="s">
        <v>21</v>
      </c>
      <c r="C202" s="115"/>
      <c r="D202" s="115"/>
      <c r="E202" s="260">
        <f>Tabelle4[[#This Row],[Kredit-  / Budgetsumme
(RADAR: Gesamtkosten S)]]-Tabelle4[[#This Row],[Netto-Ausgaben Vorjahre ]]</f>
        <v>489541</v>
      </c>
      <c r="F202" s="310"/>
      <c r="G202" s="311"/>
      <c r="H202" s="311"/>
    </row>
    <row r="203" spans="1:8">
      <c r="A203" s="255" t="s">
        <v>561</v>
      </c>
      <c r="B203" s="115" t="s">
        <v>621</v>
      </c>
      <c r="C203" s="115"/>
      <c r="D203" s="115"/>
      <c r="E203" s="260">
        <f>Tabelle4[[#This Row],[Kredit-  / Budgetsumme
(RADAR: Gesamtkosten S)]]-Tabelle4[[#This Row],[Netto-Ausgaben Vorjahre ]]</f>
        <v>0</v>
      </c>
      <c r="F203" s="310"/>
      <c r="G203" s="311"/>
      <c r="H203" s="311"/>
    </row>
    <row r="204" spans="1:8">
      <c r="A204" s="255" t="s">
        <v>564</v>
      </c>
      <c r="B204" s="115" t="s">
        <v>621</v>
      </c>
      <c r="C204" s="115"/>
      <c r="D204" s="115"/>
      <c r="E204" s="260">
        <f>Tabelle4[[#This Row],[Kredit-  / Budgetsumme
(RADAR: Gesamtkosten S)]]-Tabelle4[[#This Row],[Netto-Ausgaben Vorjahre ]]</f>
        <v>198310</v>
      </c>
      <c r="F204" s="310"/>
      <c r="G204" s="311"/>
      <c r="H204" s="311"/>
    </row>
    <row r="205" spans="1:8">
      <c r="A205" s="255" t="s">
        <v>566</v>
      </c>
      <c r="B205" s="115" t="s">
        <v>621</v>
      </c>
      <c r="C205" s="115"/>
      <c r="D205" s="115"/>
      <c r="E205" s="260">
        <f>Tabelle4[[#This Row],[Kredit-  / Budgetsumme
(RADAR: Gesamtkosten S)]]-Tabelle4[[#This Row],[Netto-Ausgaben Vorjahre ]]</f>
        <v>0</v>
      </c>
      <c r="F205" s="310"/>
      <c r="G205" s="311"/>
      <c r="H205" s="311"/>
    </row>
    <row r="206" spans="1:8">
      <c r="A206" s="255" t="s">
        <v>160</v>
      </c>
      <c r="B206" s="115" t="s">
        <v>690</v>
      </c>
      <c r="C206" s="115"/>
      <c r="D206" s="115"/>
      <c r="E206" s="260">
        <f>Tabelle4[[#This Row],[Kredit-  / Budgetsumme
(RADAR: Gesamtkosten S)]]-Tabelle4[[#This Row],[Netto-Ausgaben Vorjahre ]]</f>
        <v>0</v>
      </c>
      <c r="F206" s="310"/>
      <c r="G206" s="311"/>
      <c r="H206" s="311"/>
    </row>
    <row r="207" spans="1:8">
      <c r="A207" s="248" t="s">
        <v>911</v>
      </c>
      <c r="B207" s="115" t="s">
        <v>800</v>
      </c>
      <c r="C207" s="260"/>
      <c r="D207" s="260"/>
      <c r="E207" s="260">
        <f>Tabelle4[[#This Row],[Kredit-  / Budgetsumme
(RADAR: Gesamtkosten S)]]-Tabelle4[[#This Row],[Netto-Ausgaben Vorjahre ]]</f>
        <v>0</v>
      </c>
      <c r="F207" s="310"/>
      <c r="G207" s="310">
        <v>50000</v>
      </c>
      <c r="H207" s="310">
        <v>50000</v>
      </c>
    </row>
    <row r="208" spans="1:8">
      <c r="A208" s="255" t="s">
        <v>820</v>
      </c>
      <c r="B208" s="115" t="s">
        <v>21</v>
      </c>
      <c r="C208" s="115">
        <v>19800000</v>
      </c>
      <c r="D208" s="115"/>
      <c r="E208" s="260">
        <f>Tabelle4[[#This Row],[Kredit-  / Budgetsumme
(RADAR: Gesamtkosten S)]]-Tabelle4[[#This Row],[Netto-Ausgaben Vorjahre ]]</f>
        <v>0</v>
      </c>
      <c r="F208" s="310"/>
      <c r="G208" s="311"/>
      <c r="H208" s="311">
        <v>250000</v>
      </c>
    </row>
    <row r="209" spans="1:8">
      <c r="A209" s="255" t="s">
        <v>328</v>
      </c>
      <c r="B209" s="115" t="s">
        <v>799</v>
      </c>
      <c r="C209" s="115"/>
      <c r="D209" s="115"/>
      <c r="E209" s="260">
        <f>Tabelle4[[#This Row],[Kredit-  / Budgetsumme
(RADAR: Gesamtkosten S)]]-Tabelle4[[#This Row],[Netto-Ausgaben Vorjahre ]]</f>
        <v>0</v>
      </c>
      <c r="F209" s="310"/>
      <c r="G209" s="311"/>
      <c r="H209" s="311"/>
    </row>
    <row r="210" spans="1:8">
      <c r="A210" s="255" t="s">
        <v>569</v>
      </c>
      <c r="B210" s="115" t="s">
        <v>621</v>
      </c>
      <c r="C210" s="115"/>
      <c r="D210" s="115"/>
      <c r="E210" s="260">
        <f>Tabelle4[[#This Row],[Kredit-  / Budgetsumme
(RADAR: Gesamtkosten S)]]-Tabelle4[[#This Row],[Netto-Ausgaben Vorjahre ]]</f>
        <v>0</v>
      </c>
      <c r="F210" s="310"/>
      <c r="G210" s="311"/>
      <c r="H210" s="311"/>
    </row>
    <row r="211" spans="1:8">
      <c r="A211" s="255" t="s">
        <v>382</v>
      </c>
      <c r="B211" s="260" t="s">
        <v>802</v>
      </c>
      <c r="C211" s="115"/>
      <c r="D211" s="115"/>
      <c r="E211" s="260">
        <f>Tabelle4[[#This Row],[Kredit-  / Budgetsumme
(RADAR: Gesamtkosten S)]]-Tabelle4[[#This Row],[Netto-Ausgaben Vorjahre ]]</f>
        <v>19800000</v>
      </c>
      <c r="F211" s="310"/>
      <c r="G211" s="311"/>
      <c r="H211" s="311"/>
    </row>
    <row r="212" spans="1:8">
      <c r="A212" s="255" t="s">
        <v>1214</v>
      </c>
      <c r="B212" s="115" t="s">
        <v>1089</v>
      </c>
      <c r="C212" s="115"/>
      <c r="D212" s="115"/>
      <c r="E212" s="115"/>
      <c r="F212" s="311"/>
      <c r="G212" s="311">
        <v>25000</v>
      </c>
      <c r="H212" s="311"/>
    </row>
    <row r="213" spans="1:8">
      <c r="A213" s="288" t="s">
        <v>1215</v>
      </c>
      <c r="B213" s="296" t="s">
        <v>1089</v>
      </c>
      <c r="C213" s="296"/>
      <c r="D213" s="296"/>
      <c r="E213" s="296"/>
      <c r="F213" s="314"/>
      <c r="G213" s="314">
        <v>10000</v>
      </c>
      <c r="H213" s="314"/>
    </row>
    <row r="214" spans="1:8">
      <c r="A214" s="255" t="s">
        <v>162</v>
      </c>
      <c r="B214" s="115" t="s">
        <v>690</v>
      </c>
      <c r="C214" s="115"/>
      <c r="D214" s="115"/>
      <c r="E214" s="260">
        <f>Tabelle4[[#This Row],[Kredit-  / Budgetsumme
(RADAR: Gesamtkosten S)]]-Tabelle4[[#This Row],[Netto-Ausgaben Vorjahre ]]</f>
        <v>0</v>
      </c>
      <c r="F214" s="310"/>
      <c r="G214" s="311"/>
      <c r="H214" s="311"/>
    </row>
    <row r="215" spans="1:8">
      <c r="A215" s="248" t="s">
        <v>852</v>
      </c>
      <c r="B215" s="115" t="s">
        <v>621</v>
      </c>
      <c r="C215" s="260"/>
      <c r="D215" s="260"/>
      <c r="E215" s="260">
        <f>Tabelle4[[#This Row],[Kredit-  / Budgetsumme
(RADAR: Gesamtkosten S)]]-Tabelle4[[#This Row],[Netto-Ausgaben Vorjahre ]]</f>
        <v>0</v>
      </c>
      <c r="F215" s="310"/>
      <c r="G215" s="310"/>
      <c r="H215" s="310"/>
    </row>
    <row r="216" spans="1:8">
      <c r="A216" s="255" t="s">
        <v>571</v>
      </c>
      <c r="B216" s="115" t="s">
        <v>621</v>
      </c>
      <c r="C216" s="115"/>
      <c r="D216" s="115"/>
      <c r="E216" s="260">
        <f>Tabelle4[[#This Row],[Kredit-  / Budgetsumme
(RADAR: Gesamtkosten S)]]-Tabelle4[[#This Row],[Netto-Ausgaben Vorjahre ]]</f>
        <v>0</v>
      </c>
      <c r="F216" s="310"/>
      <c r="G216" s="311"/>
      <c r="H216" s="311"/>
    </row>
    <row r="217" spans="1:8">
      <c r="A217" s="255" t="s">
        <v>573</v>
      </c>
      <c r="B217" s="115" t="s">
        <v>621</v>
      </c>
      <c r="C217" s="115"/>
      <c r="D217" s="115"/>
      <c r="E217" s="260">
        <f>Tabelle4[[#This Row],[Kredit-  / Budgetsumme
(RADAR: Gesamtkosten S)]]-Tabelle4[[#This Row],[Netto-Ausgaben Vorjahre ]]</f>
        <v>0</v>
      </c>
      <c r="F217" s="310"/>
      <c r="G217" s="311"/>
      <c r="H217" s="311"/>
    </row>
    <row r="218" spans="1:8">
      <c r="A218" s="265" t="s">
        <v>575</v>
      </c>
      <c r="B218" s="115" t="s">
        <v>621</v>
      </c>
      <c r="C218" s="115"/>
      <c r="D218" s="115"/>
      <c r="E218" s="260">
        <f>Tabelle4[[#This Row],[Kredit-  / Budgetsumme
(RADAR: Gesamtkosten S)]]-Tabelle4[[#This Row],[Netto-Ausgaben Vorjahre ]]</f>
        <v>0</v>
      </c>
      <c r="F218" s="310"/>
      <c r="G218" s="311"/>
      <c r="H218" s="311"/>
    </row>
    <row r="219" spans="1:8">
      <c r="A219" s="255" t="s">
        <v>577</v>
      </c>
      <c r="B219" s="260" t="s">
        <v>802</v>
      </c>
      <c r="C219" s="115"/>
      <c r="D219" s="115"/>
      <c r="E219" s="260">
        <f>Tabelle4[[#This Row],[Kredit-  / Budgetsumme
(RADAR: Gesamtkosten S)]]-Tabelle4[[#This Row],[Netto-Ausgaben Vorjahre ]]</f>
        <v>0</v>
      </c>
      <c r="F219" s="310"/>
      <c r="G219" s="311"/>
      <c r="H219" s="311"/>
    </row>
    <row r="220" spans="1:8">
      <c r="A220" s="255" t="s">
        <v>579</v>
      </c>
      <c r="B220" s="115" t="s">
        <v>621</v>
      </c>
      <c r="C220" s="115"/>
      <c r="D220" s="115"/>
      <c r="E220" s="260">
        <f>Tabelle4[[#This Row],[Kredit-  / Budgetsumme
(RADAR: Gesamtkosten S)]]-Tabelle4[[#This Row],[Netto-Ausgaben Vorjahre ]]</f>
        <v>0</v>
      </c>
      <c r="F220" s="310"/>
      <c r="G220" s="311"/>
      <c r="H220" s="311"/>
    </row>
    <row r="221" spans="1:8">
      <c r="A221" s="255" t="s">
        <v>305</v>
      </c>
      <c r="B221" s="115" t="s">
        <v>802</v>
      </c>
      <c r="C221" s="115"/>
      <c r="D221" s="115"/>
      <c r="E221" s="260">
        <f>Tabelle4[[#This Row],[Kredit-  / Budgetsumme
(RADAR: Gesamtkosten S)]]-Tabelle4[[#This Row],[Netto-Ausgaben Vorjahre ]]</f>
        <v>0</v>
      </c>
      <c r="F221" s="310"/>
      <c r="G221" s="311">
        <v>20000</v>
      </c>
      <c r="H221" s="311">
        <v>200000</v>
      </c>
    </row>
    <row r="222" spans="1:8">
      <c r="A222" s="255" t="s">
        <v>165</v>
      </c>
      <c r="B222" s="115" t="s">
        <v>690</v>
      </c>
      <c r="C222" s="115"/>
      <c r="D222" s="115"/>
      <c r="E222" s="260">
        <f>Tabelle4[[#This Row],[Kredit-  / Budgetsumme
(RADAR: Gesamtkosten S)]]-Tabelle4[[#This Row],[Netto-Ausgaben Vorjahre ]]</f>
        <v>0</v>
      </c>
      <c r="F222" s="310"/>
      <c r="G222" s="311"/>
      <c r="H222" s="311"/>
    </row>
    <row r="223" spans="1:8">
      <c r="A223" s="255" t="s">
        <v>581</v>
      </c>
      <c r="B223" s="115" t="s">
        <v>621</v>
      </c>
      <c r="C223" s="115"/>
      <c r="D223" s="115"/>
      <c r="E223" s="260">
        <f>Tabelle4[[#This Row],[Kredit-  / Budgetsumme
(RADAR: Gesamtkosten S)]]-Tabelle4[[#This Row],[Netto-Ausgaben Vorjahre ]]</f>
        <v>0</v>
      </c>
      <c r="F223" s="310"/>
      <c r="G223" s="311"/>
      <c r="H223" s="311"/>
    </row>
    <row r="224" spans="1:8">
      <c r="A224" s="248" t="s">
        <v>854</v>
      </c>
      <c r="B224" s="260" t="s">
        <v>802</v>
      </c>
      <c r="C224" s="260"/>
      <c r="D224" s="260"/>
      <c r="E224" s="260">
        <f>Tabelle4[[#This Row],[Kredit-  / Budgetsumme
(RADAR: Gesamtkosten S)]]-Tabelle4[[#This Row],[Netto-Ausgaben Vorjahre ]]</f>
        <v>0</v>
      </c>
      <c r="F224" s="310"/>
      <c r="G224" s="310"/>
      <c r="H224" s="310">
        <v>250000</v>
      </c>
    </row>
    <row r="225" spans="1:8">
      <c r="A225" s="255" t="s">
        <v>167</v>
      </c>
      <c r="B225" s="115" t="s">
        <v>690</v>
      </c>
      <c r="C225" s="115"/>
      <c r="D225" s="115"/>
      <c r="E225" s="260">
        <f>Tabelle4[[#This Row],[Kredit-  / Budgetsumme
(RADAR: Gesamtkosten S)]]-Tabelle4[[#This Row],[Netto-Ausgaben Vorjahre ]]</f>
        <v>0</v>
      </c>
      <c r="F225" s="310"/>
      <c r="G225" s="311"/>
      <c r="H225" s="311"/>
    </row>
    <row r="226" spans="1:8">
      <c r="A226" s="255" t="s">
        <v>268</v>
      </c>
      <c r="B226" s="260" t="s">
        <v>802</v>
      </c>
      <c r="C226" s="115">
        <v>260000</v>
      </c>
      <c r="D226" s="115"/>
      <c r="E226" s="260">
        <f>Tabelle4[[#This Row],[Kredit-  / Budgetsumme
(RADAR: Gesamtkosten S)]]-Tabelle4[[#This Row],[Netto-Ausgaben Vorjahre ]]</f>
        <v>0</v>
      </c>
      <c r="F226" s="310"/>
      <c r="G226" s="311">
        <v>260000</v>
      </c>
      <c r="H226" s="311"/>
    </row>
    <row r="227" spans="1:8">
      <c r="A227" s="255" t="s">
        <v>599</v>
      </c>
      <c r="B227" s="115" t="s">
        <v>1092</v>
      </c>
      <c r="C227" s="115"/>
      <c r="D227" s="115"/>
      <c r="E227" s="260"/>
      <c r="F227" s="310"/>
      <c r="G227" s="311">
        <v>25000</v>
      </c>
      <c r="H227" s="311">
        <v>35000</v>
      </c>
    </row>
    <row r="228" spans="1:8">
      <c r="A228" s="255" t="s">
        <v>227</v>
      </c>
      <c r="B228" s="115" t="s">
        <v>75</v>
      </c>
      <c r="C228" s="115"/>
      <c r="D228" s="115"/>
      <c r="E228" s="260">
        <f>Tabelle4[[#This Row],[Kredit-  / Budgetsumme
(RADAR: Gesamtkosten S)]]-Tabelle4[[#This Row],[Netto-Ausgaben Vorjahre ]]</f>
        <v>0</v>
      </c>
      <c r="F228" s="310"/>
      <c r="G228" s="311"/>
      <c r="H228" s="311"/>
    </row>
    <row r="229" spans="1:8">
      <c r="A229" s="255" t="s">
        <v>406</v>
      </c>
      <c r="B229" s="115" t="s">
        <v>799</v>
      </c>
      <c r="C229" s="115">
        <v>200000</v>
      </c>
      <c r="D229" s="115">
        <v>282</v>
      </c>
      <c r="E229" s="260">
        <f>Tabelle4[[#This Row],[Kredit-  / Budgetsumme
(RADAR: Gesamtkosten S)]]-Tabelle4[[#This Row],[Netto-Ausgaben Vorjahre ]]</f>
        <v>260000</v>
      </c>
      <c r="F229" s="310"/>
      <c r="G229" s="311">
        <v>50000</v>
      </c>
      <c r="H229" s="311">
        <v>149718</v>
      </c>
    </row>
    <row r="230" spans="1:8">
      <c r="A230" s="255" t="s">
        <v>169</v>
      </c>
      <c r="B230" s="115" t="s">
        <v>690</v>
      </c>
      <c r="C230" s="115"/>
      <c r="D230" s="115"/>
      <c r="E230" s="260">
        <f>Tabelle4[[#This Row],[Kredit-  / Budgetsumme
(RADAR: Gesamtkosten S)]]-Tabelle4[[#This Row],[Netto-Ausgaben Vorjahre ]]</f>
        <v>0</v>
      </c>
      <c r="F230" s="310"/>
      <c r="G230" s="311"/>
      <c r="H230" s="311"/>
    </row>
    <row r="231" spans="1:8">
      <c r="A231" s="255" t="s">
        <v>230</v>
      </c>
      <c r="B231" s="115" t="s">
        <v>690</v>
      </c>
      <c r="C231" s="115"/>
      <c r="D231" s="115"/>
      <c r="E231" s="260">
        <f>Tabelle4[[#This Row],[Kredit-  / Budgetsumme
(RADAR: Gesamtkosten S)]]-Tabelle4[[#This Row],[Netto-Ausgaben Vorjahre ]]</f>
        <v>0</v>
      </c>
      <c r="F231" s="310"/>
      <c r="G231" s="311"/>
      <c r="H231" s="311"/>
    </row>
    <row r="232" spans="1:8">
      <c r="A232" s="255" t="s">
        <v>331</v>
      </c>
      <c r="B232" s="115" t="s">
        <v>857</v>
      </c>
      <c r="C232" s="115"/>
      <c r="D232" s="115">
        <v>793793.45</v>
      </c>
      <c r="E232" s="260">
        <f>Tabelle4[[#This Row],[Kredit-  / Budgetsumme
(RADAR: Gesamtkosten S)]]-Tabelle4[[#This Row],[Netto-Ausgaben Vorjahre ]]</f>
        <v>199718</v>
      </c>
      <c r="F232" s="310"/>
      <c r="G232" s="311"/>
      <c r="H232" s="311"/>
    </row>
    <row r="233" spans="1:8">
      <c r="A233" s="255" t="s">
        <v>334</v>
      </c>
      <c r="B233" s="115" t="s">
        <v>690</v>
      </c>
      <c r="C233" s="115"/>
      <c r="D233" s="115"/>
      <c r="E233" s="260">
        <f>Tabelle4[[#This Row],[Kredit-  / Budgetsumme
(RADAR: Gesamtkosten S)]]-Tabelle4[[#This Row],[Netto-Ausgaben Vorjahre ]]</f>
        <v>0</v>
      </c>
      <c r="F233" s="310"/>
      <c r="G233" s="311"/>
      <c r="H233" s="311"/>
    </row>
    <row r="234" spans="1:8">
      <c r="A234" s="248" t="s">
        <v>837</v>
      </c>
      <c r="B234" s="115" t="s">
        <v>800</v>
      </c>
      <c r="C234" s="260">
        <v>2000000</v>
      </c>
      <c r="D234" s="260"/>
      <c r="E234" s="260">
        <f>Tabelle4[[#This Row],[Kredit-  / Budgetsumme
(RADAR: Gesamtkosten S)]]-Tabelle4[[#This Row],[Netto-Ausgaben Vorjahre ]]</f>
        <v>0</v>
      </c>
      <c r="F234" s="310"/>
      <c r="G234" s="310"/>
      <c r="H234" s="310"/>
    </row>
    <row r="235" spans="1:8">
      <c r="A235" s="255" t="s">
        <v>841</v>
      </c>
      <c r="B235" s="115" t="s">
        <v>856</v>
      </c>
      <c r="C235" s="115">
        <v>2000000</v>
      </c>
      <c r="D235" s="115"/>
      <c r="E235" s="260">
        <f>Tabelle4[[#This Row],[Kredit-  / Budgetsumme
(RADAR: Gesamtkosten S)]]-Tabelle4[[#This Row],[Netto-Ausgaben Vorjahre ]]</f>
        <v>-793793.45</v>
      </c>
      <c r="F235" s="310"/>
      <c r="G235" s="311"/>
      <c r="H235" s="311"/>
    </row>
    <row r="236" spans="1:8">
      <c r="A236" s="255" t="s">
        <v>385</v>
      </c>
      <c r="B236" s="115" t="s">
        <v>857</v>
      </c>
      <c r="C236" s="115">
        <v>167000</v>
      </c>
      <c r="D236" s="115">
        <v>4301</v>
      </c>
      <c r="E236" s="260">
        <f>Tabelle4[[#This Row],[Kredit-  / Budgetsumme
(RADAR: Gesamtkosten S)]]-Tabelle4[[#This Row],[Netto-Ausgaben Vorjahre ]]</f>
        <v>0</v>
      </c>
      <c r="F236" s="310"/>
      <c r="G236" s="311">
        <v>150000</v>
      </c>
      <c r="H236" s="311"/>
    </row>
    <row r="237" spans="1:8">
      <c r="A237" s="255" t="s">
        <v>583</v>
      </c>
      <c r="B237" s="115" t="s">
        <v>21</v>
      </c>
      <c r="C237" s="115">
        <v>450000</v>
      </c>
      <c r="D237" s="115"/>
      <c r="E237" s="260">
        <f>Tabelle4[[#This Row],[Kredit-  / Budgetsumme
(RADAR: Gesamtkosten S)]]-Tabelle4[[#This Row],[Netto-Ausgaben Vorjahre ]]</f>
        <v>2000000</v>
      </c>
      <c r="F237" s="310"/>
      <c r="G237" s="115">
        <v>50000</v>
      </c>
      <c r="H237" s="115">
        <v>50000</v>
      </c>
    </row>
    <row r="238" spans="1:8">
      <c r="A238" s="255" t="s">
        <v>585</v>
      </c>
      <c r="B238" s="115" t="s">
        <v>621</v>
      </c>
      <c r="C238" s="115"/>
      <c r="D238" s="115"/>
      <c r="E238" s="260">
        <f>Tabelle4[[#This Row],[Kredit-  / Budgetsumme
(RADAR: Gesamtkosten S)]]-Tabelle4[[#This Row],[Netto-Ausgaben Vorjahre ]]</f>
        <v>2000000</v>
      </c>
      <c r="F238" s="310"/>
      <c r="G238" s="311"/>
      <c r="H238" s="311"/>
    </row>
    <row r="239" spans="1:8">
      <c r="A239" s="255" t="s">
        <v>388</v>
      </c>
      <c r="B239" s="115" t="s">
        <v>21</v>
      </c>
      <c r="C239" s="298">
        <v>108000</v>
      </c>
      <c r="D239" s="298">
        <f>Tabelle4[[#This Row],[Kredit-  / Budgetsumme
(RADAR: Gesamtkosten S)]]-Tabelle4[[#This Row],[Kreditrest per 1.1. aktuelles Jahr]]</f>
        <v>4301</v>
      </c>
      <c r="E239" s="260">
        <v>9146</v>
      </c>
      <c r="F239" s="310"/>
      <c r="G239" s="316"/>
      <c r="H239" s="316"/>
    </row>
    <row r="240" spans="1:8">
      <c r="A240" s="255" t="s">
        <v>1219</v>
      </c>
      <c r="B240" s="115" t="s">
        <v>1089</v>
      </c>
      <c r="C240" s="115"/>
      <c r="D240" s="115"/>
      <c r="E240" s="260"/>
      <c r="F240" s="310"/>
      <c r="G240" s="311">
        <v>70800</v>
      </c>
      <c r="H240" s="311">
        <v>95000</v>
      </c>
    </row>
    <row r="241" spans="1:8">
      <c r="A241" s="299"/>
      <c r="B241" s="307"/>
      <c r="C241" s="307"/>
      <c r="D241" s="307"/>
      <c r="E241" s="307"/>
      <c r="F241" s="132"/>
      <c r="G241" s="132"/>
      <c r="H241" s="132"/>
    </row>
    <row r="242" spans="1:8">
      <c r="A242" s="299"/>
      <c r="B242" s="307"/>
      <c r="C242" s="307"/>
      <c r="D242" s="307"/>
      <c r="E242" s="307"/>
      <c r="F242" s="132"/>
      <c r="G242" s="132"/>
      <c r="H242" s="132"/>
    </row>
    <row r="243" spans="1:8">
      <c r="A243" s="345"/>
      <c r="B243" s="351"/>
      <c r="C243" s="351"/>
      <c r="D243" s="351"/>
      <c r="E243" s="351"/>
      <c r="F243" s="352"/>
      <c r="G243" s="352"/>
      <c r="H243" s="352"/>
    </row>
    <row r="244" spans="1:8">
      <c r="A244" s="46"/>
      <c r="B244" s="47"/>
      <c r="C244" s="47"/>
      <c r="D244" s="50"/>
      <c r="E244" s="50"/>
      <c r="F244" s="311"/>
      <c r="G244" s="311"/>
      <c r="H244" s="311"/>
    </row>
    <row r="245" spans="1:8" ht="15.75">
      <c r="A245" s="144" t="s">
        <v>797</v>
      </c>
      <c r="B245" s="145"/>
      <c r="C245" s="145"/>
      <c r="D245" s="145">
        <f>SUBTOTAL(9,D8:D242)</f>
        <v>2553905.6799999997</v>
      </c>
      <c r="E245" s="145">
        <f>SUBTOTAL(9,E8:E242)</f>
        <v>47263866.949999996</v>
      </c>
      <c r="F245" s="148"/>
      <c r="G245" s="148">
        <f>SUBTOTAL(9,G8:G242)</f>
        <v>5607168</v>
      </c>
      <c r="H245" s="148">
        <f>SUBTOTAL(9,H8:H242)</f>
        <v>6740978</v>
      </c>
    </row>
  </sheetData>
  <sheetProtection sort="0" autoFilter="0"/>
  <conditionalFormatting sqref="B242 B151:B155 B157:B185 B4:B148 B187:B240">
    <cfRule type="cellIs" dxfId="273" priority="10" operator="equal">
      <formula>"offen"</formula>
    </cfRule>
  </conditionalFormatting>
  <conditionalFormatting sqref="B186">
    <cfRule type="cellIs" dxfId="272" priority="7" operator="equal">
      <formula>"offen"</formula>
    </cfRule>
  </conditionalFormatting>
  <conditionalFormatting sqref="B241">
    <cfRule type="cellIs" dxfId="271" priority="6" operator="equal">
      <formula>"offen"</formula>
    </cfRule>
  </conditionalFormatting>
  <conditionalFormatting sqref="B150">
    <cfRule type="cellIs" dxfId="270" priority="5" operator="equal">
      <formula>"offen"</formula>
    </cfRule>
  </conditionalFormatting>
  <conditionalFormatting sqref="C237">
    <cfRule type="cellIs" dxfId="269" priority="4" operator="equal">
      <formula>"offen"</formula>
    </cfRule>
  </conditionalFormatting>
  <conditionalFormatting sqref="D237">
    <cfRule type="cellIs" dxfId="268" priority="3" operator="equal">
      <formula>"offen"</formula>
    </cfRule>
  </conditionalFormatting>
  <conditionalFormatting sqref="G237">
    <cfRule type="cellIs" dxfId="267" priority="2" operator="equal">
      <formula>"offen"</formula>
    </cfRule>
  </conditionalFormatting>
  <conditionalFormatting sqref="H237">
    <cfRule type="cellIs" dxfId="266" priority="1" operator="equal">
      <formula>"offen"</formula>
    </cfRule>
  </conditionalFormatting>
  <dataValidations count="3">
    <dataValidation errorStyle="warning" allowBlank="1" showInputMessage="1" showErrorMessage="1" sqref="C37:C40 C43:C79 D66 C83:C148 C151:C173 C175:C242 C6:C35" xr:uid="{2BF10BFB-DDF9-4A30-B876-062E3F9464B6}"/>
    <dataValidation type="list" allowBlank="1" showInputMessage="1" showErrorMessage="1" sqref="E82:F242 E7:F79 D9:D11 C36:D36" xr:uid="{26312949-7B97-4C5E-84AF-1E13E622DD38}">
      <formula1>Finanzierungsart</formula1>
    </dataValidation>
    <dataValidation type="list" allowBlank="1" showInputMessage="1" showErrorMessage="1" sqref="B233 B215 B230" xr:uid="{A8A3DD04-94FA-4E64-A78A-6C9EE5DF5B1A}">
      <formula1>#REF!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33807E5-C4B4-466A-9108-2461B2AEA154}">
          <x14:formula1>
            <xm:f>Quellendaten!$AA$3:$AA$25</xm:f>
          </x14:formula1>
          <xm:sqref>B150:B155 B234:B242 B157:B214 B216:B229 B231:B232 B6:B148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F89443EA-9FF7-4B5A-BF12-615AAAE702E7}">
  <ds:schemaRefs/>
</ds:datastoreItem>
</file>

<file path=customXml/itemProps2.xml><?xml version="1.0" encoding="utf-8"?>
<ds:datastoreItem xmlns:ds="http://schemas.openxmlformats.org/officeDocument/2006/customXml" ds:itemID="{E42CFB07-3EB4-464C-B50C-077AEB129297}">
  <ds:schemaRefs/>
</ds:datastoreItem>
</file>

<file path=customXml/itemProps3.xml><?xml version="1.0" encoding="utf-8"?>
<ds:datastoreItem xmlns:ds="http://schemas.openxmlformats.org/officeDocument/2006/customXml" ds:itemID="{76470EFE-2588-4764-AD39-D126552A006F}">
  <ds:schemaRefs/>
</ds:datastoreItem>
</file>

<file path=customXml/itemProps4.xml><?xml version="1.0" encoding="utf-8"?>
<ds:datastoreItem xmlns:ds="http://schemas.openxmlformats.org/officeDocument/2006/customXml" ds:itemID="{64DC6CEB-B641-4074-8084-DE8E87B980A8}">
  <ds:schemaRefs/>
</ds:datastoreItem>
</file>

<file path=customXml/itemProps5.xml><?xml version="1.0" encoding="utf-8"?>
<ds:datastoreItem xmlns:ds="http://schemas.openxmlformats.org/officeDocument/2006/customXml" ds:itemID="{9B9CC98D-22C6-4738-B9F5-2F6CC62DBE11}">
  <ds:schemaRefs/>
</ds:datastoreItem>
</file>

<file path=customXml/itemProps6.xml><?xml version="1.0" encoding="utf-8"?>
<ds:datastoreItem xmlns:ds="http://schemas.openxmlformats.org/officeDocument/2006/customXml" ds:itemID="{8F9970DE-EE7B-44B8-85D0-C769B44392AC}">
  <ds:schemaRefs/>
</ds:datastoreItem>
</file>

<file path=customXml/itemProps7.xml><?xml version="1.0" encoding="utf-8"?>
<ds:datastoreItem xmlns:ds="http://schemas.openxmlformats.org/officeDocument/2006/customXml" ds:itemID="{0DA105FE-F56F-480F-B50F-5ED5E36C7297}">
  <ds:schemaRefs/>
</ds:datastoreItem>
</file>

<file path=customXml/itemProps8.xml><?xml version="1.0" encoding="utf-8"?>
<ds:datastoreItem xmlns:ds="http://schemas.openxmlformats.org/officeDocument/2006/customXml" ds:itemID="{3C28F935-27BA-4A95-A04F-1371C4C5CB7A}">
  <ds:schemaRefs/>
</ds:datastoreItem>
</file>

<file path=customXml/itemProps9.xml><?xml version="1.0" encoding="utf-8"?>
<ds:datastoreItem xmlns:ds="http://schemas.openxmlformats.org/officeDocument/2006/customXml" ds:itemID="{74C7F822-448B-4535-86CE-938C99E2B1FC}">
  <ds:schemaRefs/>
</ds:datastoreItem>
</file>

<file path=customXml/itemProps10.xml><?xml version="1.0" encoding="utf-8"?>
<ds:datastoreItem xmlns:ds="http://schemas.openxmlformats.org/officeDocument/2006/customXml" ds:itemID="{8F6778E6-E559-4524-B95B-0DB2A2D8D382}">
  <ds:schemaRefs/>
</ds:datastoreItem>
</file>

<file path=customXml/itemProps11.xml><?xml version="1.0" encoding="utf-8"?>
<ds:datastoreItem xmlns:ds="http://schemas.openxmlformats.org/officeDocument/2006/customXml" ds:itemID="{6AD190C7-5D72-41CB-A238-3F95C1D231FB}">
  <ds:schemaRefs/>
</ds:datastoreItem>
</file>

<file path=customXml/itemProps12.xml><?xml version="1.0" encoding="utf-8"?>
<ds:datastoreItem xmlns:ds="http://schemas.openxmlformats.org/officeDocument/2006/customXml" ds:itemID="{61A70D0F-5D0E-4B42-AE9A-F0A53DAF5E89}">
  <ds:schemaRefs/>
</ds:datastoreItem>
</file>

<file path=customXml/itemProps13.xml><?xml version="1.0" encoding="utf-8"?>
<ds:datastoreItem xmlns:ds="http://schemas.openxmlformats.org/officeDocument/2006/customXml" ds:itemID="{CA8903DF-C032-4AE6-A046-CBF00283E2DE}">
  <ds:schemaRefs/>
</ds:datastoreItem>
</file>

<file path=customXml/itemProps14.xml><?xml version="1.0" encoding="utf-8"?>
<ds:datastoreItem xmlns:ds="http://schemas.openxmlformats.org/officeDocument/2006/customXml" ds:itemID="{FBBE194E-8B2A-4FF2-A118-D60E46896008}">
  <ds:schemaRefs/>
</ds:datastoreItem>
</file>

<file path=customXml/itemProps15.xml><?xml version="1.0" encoding="utf-8"?>
<ds:datastoreItem xmlns:ds="http://schemas.openxmlformats.org/officeDocument/2006/customXml" ds:itemID="{9C28BF71-0194-43CB-9513-43AE1FAC2CFC}">
  <ds:schemaRefs/>
</ds:datastoreItem>
</file>

<file path=customXml/itemProps16.xml><?xml version="1.0" encoding="utf-8"?>
<ds:datastoreItem xmlns:ds="http://schemas.openxmlformats.org/officeDocument/2006/customXml" ds:itemID="{BF8DB132-A21E-4686-A8D7-79379E4A5F23}">
  <ds:schemaRefs/>
</ds:datastoreItem>
</file>

<file path=customXml/itemProps17.xml><?xml version="1.0" encoding="utf-8"?>
<ds:datastoreItem xmlns:ds="http://schemas.openxmlformats.org/officeDocument/2006/customXml" ds:itemID="{5D2B9B72-E0D5-48B3-AE41-B60B98A7FCC6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44</vt:i4>
      </vt:variant>
    </vt:vector>
  </HeadingPairs>
  <TitlesOfParts>
    <vt:vector size="53" baseType="lpstr">
      <vt:lpstr>Projektportfolio</vt:lpstr>
      <vt:lpstr>Projekt-Cockpit</vt:lpstr>
      <vt:lpstr>Cockpit-Daten</vt:lpstr>
      <vt:lpstr>Quellendaten</vt:lpstr>
      <vt:lpstr>Auswertungen</vt:lpstr>
      <vt:lpstr>Grundstock_MAs</vt:lpstr>
      <vt:lpstr>Pensen_MAs</vt:lpstr>
      <vt:lpstr>Ausdruck_Projektfinanzierung</vt:lpstr>
      <vt:lpstr>Ausdruck_Projektfinanzierung_T1</vt:lpstr>
      <vt:lpstr>Abhängigkeit</vt:lpstr>
      <vt:lpstr>Abhängigkeiten</vt:lpstr>
      <vt:lpstr>Art</vt:lpstr>
      <vt:lpstr>Aufwand</vt:lpstr>
      <vt:lpstr>Bedürfnisabklärung</vt:lpstr>
      <vt:lpstr>Begleitprojekt</vt:lpstr>
      <vt:lpstr>Fachgruppe</vt:lpstr>
      <vt:lpstr>Federführung</vt:lpstr>
      <vt:lpstr>Finanzierungsart_</vt:lpstr>
      <vt:lpstr>Finazierungsart</vt:lpstr>
      <vt:lpstr>Geschäftsantrag</vt:lpstr>
      <vt:lpstr>Infrastruktur_Werterhalt</vt:lpstr>
      <vt:lpstr>Infrastruktur_Wertvermehrung</vt:lpstr>
      <vt:lpstr>Involviert</vt:lpstr>
      <vt:lpstr>Jahr</vt:lpstr>
      <vt:lpstr>Kommunikation</vt:lpstr>
      <vt:lpstr>Meilensteine</vt:lpstr>
      <vt:lpstr>Namen</vt:lpstr>
      <vt:lpstr>offen</vt:lpstr>
      <vt:lpstr>Politische_Bedeutung</vt:lpstr>
      <vt:lpstr>Politisches_Projekt</vt:lpstr>
      <vt:lpstr>'Projekt-Cockpit'!Print_Area</vt:lpstr>
      <vt:lpstr>Projektportfolio!Print_Area</vt:lpstr>
      <vt:lpstr>Prognosen</vt:lpstr>
      <vt:lpstr>Projektart</vt:lpstr>
      <vt:lpstr>Projektcharakter</vt:lpstr>
      <vt:lpstr>Projekte</vt:lpstr>
      <vt:lpstr>Projekthandbuch</vt:lpstr>
      <vt:lpstr>Projektleitung</vt:lpstr>
      <vt:lpstr>Projektpriorität</vt:lpstr>
      <vt:lpstr>Projektselektion</vt:lpstr>
      <vt:lpstr>Projekttyp</vt:lpstr>
      <vt:lpstr>Projektverantwortung</vt:lpstr>
      <vt:lpstr>Quartal</vt:lpstr>
      <vt:lpstr>Radar</vt:lpstr>
      <vt:lpstr>Radar_oder_PP</vt:lpstr>
      <vt:lpstr>Risikobeurteilung</vt:lpstr>
      <vt:lpstr>SIA_112</vt:lpstr>
      <vt:lpstr>SIA_Phasen_112</vt:lpstr>
      <vt:lpstr>Status</vt:lpstr>
      <vt:lpstr>Status_Projektkedit</vt:lpstr>
      <vt:lpstr>Strategisches_Projekt</vt:lpstr>
      <vt:lpstr>Tendenz</vt:lpstr>
      <vt:lpstr>Wahl_Fachgruppe</vt:lpstr>
    </vt:vector>
  </TitlesOfParts>
  <Company>Stadtverwaltung Bern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Würsch Tobias, TVS SGB</dc:creator>
  <cp:lastModifiedBy>Timo Klingler</cp:lastModifiedBy>
  <cp:lastPrinted>2018-01-24T08:19:49Z</cp:lastPrinted>
  <dcterms:created xsi:type="dcterms:W3CDTF">2017-07-14T12:28:40Z</dcterms:created>
  <dcterms:modified xsi:type="dcterms:W3CDTF">2018-05-04T17:58:00Z</dcterms:modified>
</cp:coreProperties>
</file>